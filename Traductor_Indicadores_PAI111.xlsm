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726" codeName="{AE6600E7-7A62-396C-DE95-9942FA9DD81E}"/>
  <workbookPr filterPrivacy="1" codeName="ThisWorkbook"/>
  <xr:revisionPtr revIDLastSave="0" documentId="13_ncr:1_{1FAFEB80-B995-4E2D-8AB0-A9FA3245F699}" xr6:coauthVersionLast="47" xr6:coauthVersionMax="47" xr10:uidLastSave="{00000000-0000-0000-0000-000000000000}"/>
  <bookViews>
    <workbookView xWindow="-120" yWindow="-120" windowWidth="20730" windowHeight="11160" activeTab="3" xr2:uid="{00000000-000D-0000-FFFF-FFFF00000000}"/>
  </bookViews>
  <sheets>
    <sheet name="BD_Traductor" sheetId="7" r:id="rId1"/>
    <sheet name="Indicadores" sheetId="13" r:id="rId2"/>
    <sheet name="BD_Indicadores" sheetId="16" r:id="rId3"/>
    <sheet name="BD_Reporte_Ind" sheetId="17" r:id="rId4"/>
    <sheet name="BD_Reporte_Cualitativo" sheetId="18" r:id="rId5"/>
  </sheets>
  <externalReferences>
    <externalReference r:id="rId6"/>
  </externalReferences>
  <definedNames>
    <definedName name="_xlnm._FilterDatabase" localSheetId="2" hidden="1">BD_Indicadores!$A$1:$S$41</definedName>
    <definedName name="_xlnm._FilterDatabase" localSheetId="4" hidden="1">BD_Reporte_Cualitativo!$A$1:$E$41</definedName>
    <definedName name="_xlnm._FilterDatabase" localSheetId="3" hidden="1">BD_Reporte_Ind!$A$1:$R$41</definedName>
    <definedName name="_xlnm._FilterDatabase" localSheetId="1" hidden="1">Indicadores!$A$3:$AD$43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 i="17" l="1"/>
  <c r="L44" i="13" l="1"/>
  <c r="B41" i="17" l="1"/>
  <c r="A41" i="17"/>
  <c r="B40" i="17"/>
  <c r="A40" i="17"/>
  <c r="B39" i="17"/>
  <c r="A39" i="17"/>
  <c r="B38" i="17"/>
  <c r="A38" i="17"/>
  <c r="B37" i="17"/>
  <c r="A37" i="17"/>
  <c r="B36" i="17"/>
  <c r="A36" i="17"/>
  <c r="B35" i="17"/>
  <c r="A35" i="17"/>
  <c r="B34" i="17"/>
  <c r="A34" i="17"/>
  <c r="B33" i="17"/>
  <c r="A33" i="17"/>
  <c r="B32" i="17"/>
  <c r="A32" i="17"/>
  <c r="B31" i="17"/>
  <c r="A31" i="17"/>
  <c r="B30" i="17"/>
  <c r="A30" i="17"/>
  <c r="B29" i="17"/>
  <c r="A29" i="17"/>
  <c r="B28" i="17"/>
  <c r="A28" i="17"/>
  <c r="B27" i="17"/>
  <c r="A27" i="17"/>
  <c r="B26" i="17"/>
  <c r="A26" i="17"/>
  <c r="B25" i="17"/>
  <c r="A25" i="17"/>
  <c r="B24" i="17"/>
  <c r="A24" i="17"/>
  <c r="B23" i="17"/>
  <c r="A23" i="17"/>
  <c r="B22" i="17"/>
  <c r="A22" i="17"/>
  <c r="B21" i="17"/>
  <c r="A21" i="17"/>
  <c r="B20" i="17"/>
  <c r="A20" i="17"/>
  <c r="B19" i="17"/>
  <c r="A19" i="17"/>
  <c r="B18" i="17"/>
  <c r="A18" i="17"/>
  <c r="B17" i="17"/>
  <c r="A17" i="17"/>
  <c r="B16" i="17"/>
  <c r="A16" i="17"/>
  <c r="B15" i="17"/>
  <c r="A15" i="17"/>
  <c r="B14" i="17"/>
  <c r="A14" i="17"/>
  <c r="B13" i="17"/>
  <c r="A13" i="17"/>
  <c r="B12" i="17"/>
  <c r="A12" i="17"/>
  <c r="B11" i="17"/>
  <c r="A11" i="17"/>
  <c r="B10" i="17"/>
  <c r="A10" i="17"/>
  <c r="B9" i="17"/>
  <c r="A9" i="17"/>
  <c r="B8" i="17"/>
  <c r="A8" i="17"/>
  <c r="B7" i="17"/>
  <c r="A7" i="17"/>
  <c r="B6" i="17"/>
  <c r="A6" i="17"/>
  <c r="B5" i="17"/>
  <c r="A5" i="17"/>
  <c r="B4" i="17"/>
  <c r="A4" i="17"/>
  <c r="B3" i="17"/>
  <c r="A3" i="17"/>
  <c r="B2" i="17"/>
</calcChain>
</file>

<file path=xl/sharedStrings.xml><?xml version="1.0" encoding="utf-8"?>
<sst xmlns="http://schemas.openxmlformats.org/spreadsheetml/2006/main" count="1072" uniqueCount="466">
  <si>
    <t>IDENTIFICACIÓN</t>
  </si>
  <si>
    <t>Control registro</t>
  </si>
  <si>
    <t>Control revisión</t>
  </si>
  <si>
    <t>Año 1: 2021</t>
  </si>
  <si>
    <t>Año 2: 2022</t>
  </si>
  <si>
    <t>Año 3: 2023</t>
  </si>
  <si>
    <t>Año 4: 2024</t>
  </si>
  <si>
    <t>Código del indicador</t>
  </si>
  <si>
    <t>Descripción</t>
  </si>
  <si>
    <t>Dependencia líder</t>
  </si>
  <si>
    <t>Fecha de registro</t>
  </si>
  <si>
    <t>¿Es acumulativo?</t>
  </si>
  <si>
    <t>Línea base</t>
  </si>
  <si>
    <t>Año de la línea base</t>
  </si>
  <si>
    <t>Semestre 2 2021</t>
  </si>
  <si>
    <t>Semestre 1 2022</t>
  </si>
  <si>
    <t>Semestre 2 2022</t>
  </si>
  <si>
    <t>Semestre 1 2023</t>
  </si>
  <si>
    <t>Semestre 2 2023</t>
  </si>
  <si>
    <t>Semestre 1 de 2024</t>
  </si>
  <si>
    <t>Real Año 1 Semestre 2</t>
  </si>
  <si>
    <t>Real Año 2 Semestre 1</t>
  </si>
  <si>
    <t>¿Registrado en el sistema?</t>
  </si>
  <si>
    <t>Persona que registró</t>
  </si>
  <si>
    <t>Persona que revisó</t>
  </si>
  <si>
    <t>Fecha de revisión</t>
  </si>
  <si>
    <t>Caso de corrección aplicado</t>
  </si>
  <si>
    <t>SI</t>
  </si>
  <si>
    <t>No</t>
  </si>
  <si>
    <t>Porcentaje de implementación de teletrabajo</t>
  </si>
  <si>
    <t>Porcentaje planificación y retroalimentación de la labor</t>
  </si>
  <si>
    <t>Nivel de optimización de recursos en los procesos académicos o administrativos intervenidos</t>
  </si>
  <si>
    <t>Reporte 2021 
Semestre 2</t>
  </si>
  <si>
    <t>Reporte 2022
Semestre 1</t>
  </si>
  <si>
    <t>Reporte 2022
Semestre 2</t>
  </si>
  <si>
    <t>Reporte 2023
Semestre 1</t>
  </si>
  <si>
    <t>Reporte 2023
Semestre 2</t>
  </si>
  <si>
    <t>Reporte 2024
Semestre 1</t>
  </si>
  <si>
    <t>Reporte
Trienio</t>
  </si>
  <si>
    <t>Armonización de currículos con adaptabilidad a las nuevas condiciones internacionales en lo educativo</t>
  </si>
  <si>
    <t>Vicerrectoría de Docencia</t>
  </si>
  <si>
    <t>Consolidación de la Unidad de Estudios Pedagógicos en Educación Superior</t>
  </si>
  <si>
    <t>Sí</t>
  </si>
  <si>
    <t>Relacionamiento estrategico regional, nacional e internacional de la Universidad de Antioquia</t>
  </si>
  <si>
    <t>Dirección de Relaciones Internacionales</t>
  </si>
  <si>
    <t>Fortalecimiento y fomento de capacidades en internacionalización, interculturalidad y ciudadanía global en la Universidad de Antioquia</t>
  </si>
  <si>
    <t>Vicerrectoría de Extensión</t>
  </si>
  <si>
    <t>Vicerrectoría de Investigación</t>
  </si>
  <si>
    <t>Democratización de la creación, investigación e innovación a través de la comunicación pública de la ciencia, la apropiación social del conocimiento,  y la Ciencia Abierta en la Universidad de Antioquia</t>
  </si>
  <si>
    <t>Dirección de Bienestar Universitario</t>
  </si>
  <si>
    <t>Realización de concursos públicos de méritos para empleos administrativos de la Universidad de Antioquia</t>
  </si>
  <si>
    <t>Vicerrectoría Administrativa</t>
  </si>
  <si>
    <t>Depuración y compilación normativa</t>
  </si>
  <si>
    <t>Dirección Jurídica</t>
  </si>
  <si>
    <t>Democracia y gobierno universitario: deliberación, debate y coconstrucción</t>
  </si>
  <si>
    <t>Secretaría General</t>
  </si>
  <si>
    <t>Innovación de procesos académicos y administrativos priorizados como acción para enfrentar los retos de la postpandemía.</t>
  </si>
  <si>
    <t>Dirección de Planeación y Desarrollo Institucional</t>
  </si>
  <si>
    <t>Bienestar en Línea</t>
  </si>
  <si>
    <t>Paz al territorio: construcción social de la paz</t>
  </si>
  <si>
    <t>Vicerrectoría General</t>
  </si>
  <si>
    <t xml:space="preserve">Formulación del proyecto de Sostenibilidad y Plan de Gestión Ambiental Institucional </t>
  </si>
  <si>
    <t>Modalidades educativas y sus integraciones curriculares</t>
  </si>
  <si>
    <t>UJAMAA: Formalización de la permanencia, la inclusión y la accesibilidad universitaria con criterios de equidad y corresponsabilidad</t>
  </si>
  <si>
    <t>Fortalecimiento de una nueva cultura de la labor universitaria</t>
  </si>
  <si>
    <t>Meta 2021</t>
  </si>
  <si>
    <t>Número de indicadores</t>
  </si>
  <si>
    <t>Archivo traductor</t>
  </si>
  <si>
    <t>Generar traductor</t>
  </si>
  <si>
    <t>En el primer semestre del 2022, encontramos desafiante la participación masiva de los estamentos convocados a las actividades organizadas desde la DRI. Por un lado, encontramos que la oferta de actividades virtuales y presenciales de la UdeA ha incrementado notablemente luego de la pandemia, lo que ha generado una sobreoferta de actividades en la que los estudiantes, profesores e investigadores pueden participar.  Lo anterior, indiscutiblemente divide la asistencia a los eventos, ya que los horarios por un lado coinciden y la demanda laboral o académica los hace escoger o priorizar a que actividades asistir.  
También es importante reconocer que la comunidad universitaria tanto académica como administrativa, aún desconoce en su mayoría la apuesta estratégica para la internacionalización de la investigación que desde la Dirección de Relaciones Internacionales se lidera. Si bien la DRI propende por los espacios con actores claves del sistema universitarios de investigación (Centros de investigación, Vicerrectorías, Unidades Académicas, entre otros) es una tarea que demanda constancia para lograr que la información sea apropiada y transmitida plenamente.  Lo anterior debido a los cambios administrativos que se implementa al interior de la unidad académica y el volumen de información que desde la DRI podemos compartir. 
Finalmente, aunque el ideal es contar con los principales socios identificados como los más estratégicos para la UdeA, no es posible materializar con todos ellos las actividades propuestas. Por un lado, debido a las agendas que estos socios han priorizado y que no necesariamente nos incluye y, por otro lado, debido a la disponibilidad y capacidad operativa que desde la Dirección de Relaciones Internacionales podemos tener para responder a la demanda desde muchos frentes al mismo tiempo.</t>
  </si>
  <si>
    <t>Durante el primer semestre de 2022 se realizaron 176 actividades de la Academia Glocal, entre las que se destacan la ceremonia de graduación de los tres primeros estudiantes en el Certificado de Ciudadanía Intercultural y Global, la realización del primer taller del aula de aprendizaje en internacionalización del currículo y en casa, la creación del Aula de aprendizaje en diplomacia científica y el inicio de la primera cohorte del Curso de formación complementaria en Ciudadanía Intercultural y Global.
También se continuó el trabajo articulado con la Vicerrectoría de Docencia, presentando de manera conjunta los Lineamientos de internacionalización del currículo y creando un Toolbox con herramientas de internacionalización del currículo y en casa para aplicar en el aula. Se han sostenido 7 reuniones con diferentes unidades académicas para tratar de temas relacionados con la internacionalización del currículo y sus diferentes componentes. Se realizaron los primeros talleres de gestión de la internacionalización, con el propósito de capacitar y acompañar a las unidades académicas en el direccionamiento estratégico y programático de la internacionalización, acogiendo las metas planteadas en el actual Plan de Acción Institucional 2021-2024. Las personas que participaron están involucradas en procesos de internacionalización, autoevaluación, acreditación, posgrado y comités de currículo.
Se continuó apoyando a los coordinadores de relaciones internacionales y de posgrados para su participación activa en iniciativas y proyectos de internacionalización, como becas, convocatorias y eventos organizados por socios internacionales.</t>
  </si>
  <si>
    <t xml:space="preserve">El regreso gradual a la presencialidad ha representado un reto para la Academia Glocal, respecto a la modalidad de las actividades, ya que hay personas que prefieren estar de manera presencial y otras de manera virtual, pero el formato híbrido no siempre es posible e implica ciertos desafíos logísticos.
El programa Suelta la lengua, abre tu mente llegó por primera vez a las regiones de manera presencial (Seccionales de Oriente y Urabá) y aunque la asistencia ha sido muy baja, se están explorando nuevas maneras de convocar a los estudiantes. Algunas sesiones de Suelta la lengua, abre tu mente se continuaron realizando de manera presencial, con ciertos inconvenientes ocasionados por las protestas al interior del campus central y por la falta de disponibilidad de aulas en la Escuela de Idiomas. Esta situación también se mejorará para el segundo semestre. </t>
  </si>
  <si>
    <t>Ninguna</t>
  </si>
  <si>
    <t>Dificultad para establecer definitivamente las plazas que deberán salir a concurso. Existen observaciones que en algunos casos provienen de las mismas dependencias a las cuales están adscritas las plazas, y  en otros, de diferentes instancias universitarias. Se encuentra resistencia en algunos casos a asignar la plaza mediante concurso, dado que a veces por facilidad se prefieren opciones que suplan la necesidad a través de vnculaciones transitorias.</t>
  </si>
  <si>
    <t>Ninguna.</t>
  </si>
  <si>
    <t>La entrega del informe de valoración del proceso de reporte de la cuenta a las plataformas SECOPII y SIA observa e inicio de la implementación de la solución tecnológica basada en una fuerza digital [Robot] que realizará el reporte incrementando la eficiencia y minimizará el incumplimiento de los tiempos establecidos por la ley, a partir del 1 de agosto de 2022. 
Adicionalmente, se avanzó en un 80% de los informes de valoración de los procesos de asignación de categoría y puntaje a profesores, evaluación de profesores y contratación de profesores ocasionales conforme a la priorización definida por el Consejo Académico de la Universidad.</t>
  </si>
  <si>
    <t>La contratación durante la ley de garantías por la elecciones programadas en el primer semestre de 2022, por lo cual se reprogramaron la fechas de implementación de las soluciones tecnológicas a los procesos  y las fechas de la capacitación en las nuevas técnicas y metodologías de innovación de procesos al equipo de la división de arquitectura de procesos.</t>
  </si>
  <si>
    <t xml:space="preserve">El trabajo llevado a cabo por la Unidad Especial de Paz en articulación con la Facultad de Educación y la Facultad de Artes en la Casa de Reincorporación de Belén, durante el año 2021, se constituye en una labor trascendental en cuanto al desarrollo de acciones concretas y soporte para avanzar en la construcción de la paz en Medellín. 
Configurar dicha Casa como espacio cultural y social para la reincorporación de firmantes y la reconciliación es un proceso sui generis en términos de la paz urbana. Este objetivo y gran logro, se describe ampliamente: primero, a través de la construcción y configuración del Aula Lúdica Infantil, primer espacio de esta índole para los y las firmantes de paz a nivel nacional, en sus palabras, “modelo para otros espacios de reincorporación”, el Aula se configura además como un espacio de encuentro y de procesos pedagógicos de educación para la paz desde el concepto de familias en proceso de reincorporación, acciones en las que los hijos, hijas de firmantes ocupan un lugar central. Con estas acciones comprometidas con el proceso de paz, la comunidad de la Casa de Belén abrió las puertas a la Universidad de Antioquia depositando toda su confianza para que esta se convierta en un centro de prácticas para estudiantes interesados en la construcción de la paz.
La Casa, además, es ahora un espacio de encuentro cultural y artístico, las prácticas llevadas a cabo por estudiantes de la Facultad de Artes, permitieron transformar ambientalmente el espacio, dándole una dimensión estética a través del diseño artístico, pintura de sus muros, y distribución del espacio, en ambientes acogedores e identitarios con la paz. Exposiciones artísticas y talleres de reconciliación con líderes barriales, los cuales fueron desarrollados por la UEP y la alcaldía de Medellín, han comenzado a convertir este espacio en algo más que una casa de reincorporación, en un espacio abierto a la comunidad aledaña y otras de la ciudad.  Finalmente, dichas acciones convocaron la articulación entusiasmada de diferentes Instituciones (Alcaldía de Medellín, Naciones Unidas, ARN) al trabajo con la UEP.
</t>
  </si>
  <si>
    <t xml:space="preserve">Las dificultades que se sortearon para este importante logro no se hicieron esperar con la llegada de la pandemia a causa del COVID-19; lo que impidió desarrollar muchas otras actividades que nos habíamos propuesto; así las cosas, fue necesario realizar estrategias de trabajo creativas a tiempos distintos de los planeados, pues se hizo fundamental el cuidado de todos y todas. Se desarrollaron jornadas según las necesidades de la comunidad de firmantes y fue necesario la gestión articulada de dineros para transportes de las familias, cuya capacidad económica, a causa también de la pandemia, se vio altamente perjudicada; fue así que su participación en distintas actividades planeadas previamente, no fue posible; la gestión entonces y la flexibilidad de la cuarentena nos permitieron, finalmente, adecuar el proceso y cumplir nuestras metas satisfactoriamente para unos y otros. </t>
  </si>
  <si>
    <t>Haber posibilitado la concurrencia del màs amplio espectro de la sociedad y de la academia, en las discusiones para el diseño de una polìtica pùblica de construcciòn de paz, que se constituya en una propuesta que desde la Universidad de Antiquia haremos a la estrategia "Plias con el Futuro", en la que particpan 16 universidades del paìs, entre pùblicas y privadas.</t>
  </si>
  <si>
    <t>El uso ded las herramientas virtuales de trabajo colaborativo, para implementar los espacios de discusión e interacción, contemplados en la propuesta metodológica de la Semana Universitaria por la Paz</t>
  </si>
  <si>
    <t xml:space="preserve">Avance en la inclusión de la mayoría de unidades académicas y administrativas en la estrategia de teletrabajo. Finalizando el segundo semestre de 2021 se logró formalizar 123 servidores como teletrabajadores y contar con 650 mas que tienen las condiciones necesarias que se requieren para la modalidad de teletabajo. </t>
  </si>
  <si>
    <t>El cumplimiento de las metas depende, en parte, de la disposición y participación de los servidores y la toma de decisiones por parte de las unidades, lo cual, en algunas oportunidades, puede retrazar los tiempos proyectados.</t>
  </si>
  <si>
    <t>Número de dependencias</t>
  </si>
  <si>
    <t>INDICADORES DE PROGRAMA PAI (Fecha: 10/10/2022; Cantidad: 40)</t>
  </si>
  <si>
    <t>1. Indicador de programa PAI</t>
  </si>
  <si>
    <t>2. Metas indicador de programa</t>
  </si>
  <si>
    <t>3. Avances indicador de programa</t>
  </si>
  <si>
    <t>Número del Programa</t>
  </si>
  <si>
    <t>Indicador
(Nombre corto)</t>
  </si>
  <si>
    <t>Nombre completo
(Nombre largo)</t>
  </si>
  <si>
    <t>Tipo de indicador</t>
  </si>
  <si>
    <t>Meta final del plan</t>
  </si>
  <si>
    <t>Logros Año 1 Semestre 2</t>
  </si>
  <si>
    <t>Dificultades Año 1 Semestre 2</t>
  </si>
  <si>
    <t>Logros Año 2 Semestre 1</t>
  </si>
  <si>
    <t>Dificultades Año 2 Semestre 1</t>
  </si>
  <si>
    <t># cursos pregrado asignaturas distinta modalidad</t>
  </si>
  <si>
    <t>Número de cursos de pregrado que integren o combinen  asignaturas en distintas modalidades</t>
  </si>
  <si>
    <t>Tradicionalmente, en la Universidad de Antioquia los cursos que integran los programas académicos se ofrecen de acuerdo a la modalidad declarada, es decir, los programas presenciales tienen sus cursos presenciales, al igual que los programas virtuales, sus cursos son virtuales. El objetivo de este indicador es que los programas académicos de pregrado de la Universidad ofrezcan cursos en diferentes modalidades (un mismo curso en modalidad presencial, virtual, o con apoyo de TIC) . Fórmula o forma de medición: Número de cursos de diferentes planes de estudio transformados  en varias modalidades</t>
  </si>
  <si>
    <t>De valor</t>
  </si>
  <si>
    <t>David Montoya</t>
  </si>
  <si>
    <t>Laura Molina</t>
  </si>
  <si>
    <t># programas pregrado armonización curricular</t>
  </si>
  <si>
    <t>Número de programas de pregrado que estén en armonización curricular</t>
  </si>
  <si>
    <t xml:space="preserve">La armonización curricular es un proceso de convergencia entre diseños curriculares compatibles que posibilitan la articulación entre los niveles macro, meso y microcurricular, promueven la interdisciplinariedad y la internacionalización; con el firme propósito de garantizar la pertinencia académica y social de los programas académicos de pregrado que se ofrecen . Fórmula o forma de medición: Del número total de programs (102) se tomarán 15 </t>
  </si>
  <si>
    <t>Jose Larrea</t>
  </si>
  <si>
    <t># estrateg didácticas innovadoras pre y posgrado</t>
  </si>
  <si>
    <t>Número de estrategias didácticas innovadoras aplicadas en los programas de pregrado y posgrado en correspondencia con los cambios en los entornos de aprendizaje</t>
  </si>
  <si>
    <t>Nuevas acciones formativas que promuevan el diálogo, la participación, la cocreación y la divulgación social de aprendizajes y prácticas para favorecer las interacciones entre los integrantes de la comunidad universitaria y la visibilización de los desarrollos universitarios en el contexto local, regional y nacional y la cualificación de los ambientes de aprendizaje apoyados en medios y TIC.                                                                                                                                                                                                                                                                                                  . Fórmula o forma de medición: Número de Innovaciones Educativas en el contexto de la Educación Superior</t>
  </si>
  <si>
    <t># integrantes comunidad U participando internal</t>
  </si>
  <si>
    <t>Número de integrantes de la comunidad universitaria participando en la nueva plataforma de fortalecimiento de capacidades en internacionalización, interculturalidad y ciudadanía global</t>
  </si>
  <si>
    <t>El indicador busca cuantificar el número de estudiantes de pregrado y posgrado, profesores, investigadores, personal administrativo y egresados que participan en actividades de la estratégia Academia Glocal, una plataforma para el desarrollo de competencias interculturales, de ciudadanía global y de segunda lengua, y para la reflexión sobre la internacionalización y sobre problemáticas globales. . Fórmula o forma de medición:  Cantidad de participantes por tipo de público, por sede o seccional y por espacio de formación, durante un año.</t>
  </si>
  <si>
    <t># aliados estrateticos internal cooperación x año</t>
  </si>
  <si>
    <t>Número de aliados estratégicos internacionales con los que se realizan actividades de cooperación científica, docente y de extensión por año.</t>
  </si>
  <si>
    <t>El indicador busca cuantificar el número de aliados internacionales, entendidos como: Universidades, Centros de Investigación, Extensión e Innovación, Entidades financiadoras, Redes de cooperación científica, Embajadas, Agencias de cooperación, entre otros, con quienes se desarrollen proyectos (Actividades) estratégicos en los ejes misionales y que contribuyan al posiconamiento de la Institución en el entorno global desde la generación y divulgación del conocimiento de cara a la transformación de los territorios. . Fórmula o forma de medición: Cantidad de aliados estratégicos por año con proyectos (Actividades)  de cooperación científica, docente y de extensión.</t>
  </si>
  <si>
    <t># participantes cursos oferta formación Bienestar</t>
  </si>
  <si>
    <t>Número de participantes en los cursos ofertados en el marco de formación complementaria, deportiva, cultural  y de Bienestar</t>
  </si>
  <si>
    <t xml:space="preserve">El indicador da cuenta del número de estudiantes de posgrado participantes por año en las actividades que hacen parte de la oferta formativa de la Dirección de Bienestar Universitario orientadas a la formación integral de los estudiantes de pregrado y posgrado, a través del estímulo de capacidades y la promoción de hábitos y estílos de vida saludables. . Fórmula o forma de medición: Número de estudiantes por año que participan en los cursos ofertados por el FBU + Número de estudiantes por año que participan en los cursos ofertados por el Departamento de Desarrollo Humano + Número de estudiantes por año que participan en los cursos ofertados por el Departamentos de Deportes + Número de estudiantes por año que participan en los cursos ofertados por el Departamento de Promoción de la Salud y Prevención de la Enfermedad </t>
  </si>
  <si>
    <t>Cantidad de publicaciones en bases de datos</t>
  </si>
  <si>
    <t>El indicador busca cuantificar el número de publicaciones en las bases de datos Web of Science, Scopus, Lens.org, Scielo. . Fórmula o forma de medición: Conteo de publicaciones únicas con afiliación Universidad de Antioquia</t>
  </si>
  <si>
    <t xml:space="preserve"># participaciones estudiantes formación investig
</t>
  </si>
  <si>
    <t>Número de participaciones de los estudiantes en actividades y estrategias que permiten fortalecer la formación en investigación</t>
  </si>
  <si>
    <t xml:space="preserve">El indicador buscar cuantificar el número de participaciones de cada estudiante (en diferentes roles) en actividades y estrategias que permiten fortalecer la formación en investigación a partir de su participación en proyectos de investigación, creación y extensión incluidos en el SUI durante la vigencia. . Fórmula o forma de medición:  ∑ (participaciones de cada estudiante en diferentes roles en todos los proyectos iniciados en la vigencia i...n + participaciones en los convenios de JI iniciados en la vigencia  </t>
  </si>
  <si>
    <t># emprendimientos beneficiados nuevos programas</t>
  </si>
  <si>
    <t>Número de emprendimientos  beneficiados de los nuevos  programas institucionales  para el fortalecimiento empresarial</t>
  </si>
  <si>
    <t>El indicador busca dar a conocer las iniciativas que han pasado por el proceso de identificación, estructuración, puesta en marcha y/o fortalecimiento ya sean beneficiados por acciones desarrolladas por la División de Innovación UdeA y las provenientes de actores externos que han sido acompañados por la dependencia con el apoyo de cooperantes del ecosistema de ciencia, tecnología e innovación . Fórmula o forma de medición: El indicador de registra de la siguiente manera # iniciativas con planes de intervención</t>
  </si>
  <si>
    <t># proyectos, convenios y contratos en CTI emprend.</t>
  </si>
  <si>
    <t>Número de proyectos, convenios y contratos en actividades de ciencia, tecnología, innovación y emprendimiento entre Universidad - Empresa - Estado - Sociedad</t>
  </si>
  <si>
    <t>El indicador busca relacionar todo tipo de acción de relacionamiento con actores del ecosistema de Ciencia, tecnología e innovación local, regional, nacional e internacional, ya sea otras Universidades, empresas, actores estatales o sociales, materializado en proyectos, convenios y contratos en ciencia, tecnología y emprendimiento firmados . Fórmula o forma de medición: Número de convenios y contratos en ciencia, tecnología y emprendimiento firmados</t>
  </si>
  <si>
    <t>Número proyectos de innovación social</t>
  </si>
  <si>
    <t>El indicador busca relacionar todo tipo de acción de relacionamiento con actores del ecosistema de Ciencia, tecnología e innovación local, regional, nacional e internacional, ya sea otras Universidades, empresas, actores estatales o sociales, materializado en proyectos, convenios y contratos para la promoción y difusión de la innovación social . Fórmula o forma de medición: Número de proyectos firmados  de proyectos, convenios y contratos en innovación social firmados</t>
  </si>
  <si>
    <t># citaciones de Google Scholar x año recibe UdeA</t>
  </si>
  <si>
    <t>Número de citaciones de Google Scholar por año que recibe la UdeA</t>
  </si>
  <si>
    <t>El indicador busca cuantificar el número de citaciones en Google Scholar que reciben las publicaciones con afiliación UdeA en las bases de datos Web of Science, Scopus, Lens.org, Scielo. . Fórmula o forma de medición: Conteo de citaciones de Google Scholar que reciben las publicaciones con afiliación Universidad de Antioquia según el año de la citación.</t>
  </si>
  <si>
    <t xml:space="preserve"># estudiantes beneficiarios programas permanencia </t>
  </si>
  <si>
    <t>Número de estudiantes beneficiarios de los programas y servicios orientados a promover la permanencia estudiantil</t>
  </si>
  <si>
    <t>El indicador da cuenta del número de estudiantes de pregrado y posgrado que son beneficiarios de los programas y servicios de la Dirección de Bienestar UNiversitario orientados a promover el desarrollo y culminación oportuna del ciclo de vida académico, a través del fomento de condiciones de equidad entre la comunidad estudiantíl. . Fórmula o forma de medición: Número de estudiantes beneficiarios por año de apoyos socioeconómicos, de salud, becas o estímulos académicos + Número de estudiantes beneficiarios por año del servicio de psicoorientación + Número de estudiantes beneficiarios por año de la Clínica de Adicciones + Número de estudiantes beneficiarios por año de actividades de deporte recreativo, formativo, representativo y deporte en tu región + Número de estudiantes beneficiarios por año de actividades orientadas a promover sus habilidades y expresiones artisticas .</t>
  </si>
  <si>
    <t>Tasa de deserción por semestre</t>
  </si>
  <si>
    <t>El indicador busca porcentualizar la tasa de deserción semestral en la universidad de antioquia a partir de la división entre el numero de estudiantes de pregrado que desertan por semestre sobre el número de estudiantes de pregrado matriculados en el semestre  *100 . Fórmula o forma de medición: No. de estudiantes de pregrado que desertan</t>
  </si>
  <si>
    <t># participantes actividades buen vivir comunidad u</t>
  </si>
  <si>
    <t>Número de participantes en actividades desarrolladas para promover  el buen vivir en la comunidad universitaria</t>
  </si>
  <si>
    <t>De acuerdo con el plan de Desarrollo Institucional 2017-2027  el Buen Vivir “es una alternativa para la idea del desarrollo. Es un concepto de bienestar colectivo (…) es una visión ética de una vida digna, siempre vinculada al contexto, cuyo valor fundamental es el respeto por la vida y la naturaleza (…) A diferencia del desarrollismo que tiene como fin cambiar las realidades de los demás, se trata de la coexistencia de varios mundos.” . Fórmula o forma de medición: Número de personas participantes de las acciones  de promoción y formación del Buen Vivir (estrategias educomunicativas y espacios de formación).</t>
  </si>
  <si>
    <t xml:space="preserve">% profesores procesos formativos y cualificación </t>
  </si>
  <si>
    <t>Porcentaje de profesores que realizan procesos formativos y de cualificación docente ofertados por la Universidad</t>
  </si>
  <si>
    <t>Los procesos de formación docente, que incluyen a la cualificación docente, se refieren a la creación, difusión y evaluación de estrategias intencionadas por la Universidad para la reflexión, problematización y actualización de los saberes de los docentes universitarios en beneficio de una educación superior de calidad. . Fórmula o forma de medición: Porcentaje de profesores matriculados en espacios de formación del Programa de Desarrollo Docente y Ude@, de un total de 7000</t>
  </si>
  <si>
    <t>% planificación y retroalimentación de la labor</t>
  </si>
  <si>
    <t># nuevos empleados vinculados x concurso público</t>
  </si>
  <si>
    <t>Número de nuevos empleados vinculados en carrera administrativa por concurso público</t>
  </si>
  <si>
    <t># plazas docentes de TCtos equivalentes ocupadas</t>
  </si>
  <si>
    <t>Número de plazas docentes de tiempo completos equivalentes ocupadas</t>
  </si>
  <si>
    <t>Cantidad de plazas docentes de planta vinculados por medio de Concursos Públicos de Méritos Profesoral . Fórmula o forma de medición: Numero de plazas en tiempo completo equivalente</t>
  </si>
  <si>
    <t># plazas docentes de TC equivalentes creadas</t>
  </si>
  <si>
    <t>Número de plazas docentes de tiempo completos equivalentes creadas</t>
  </si>
  <si>
    <t>Cantidad de plazas docentes creadas por Acuerdo Superior (Nuevas) . Fórmula o forma de medición: Número de plazas en tiempo completo equivalente creadas</t>
  </si>
  <si>
    <t># temas interés priorizados actualizados en normas</t>
  </si>
  <si>
    <t>Número de temas de interés institucional priorizados que se actualizan desde lo normativo</t>
  </si>
  <si>
    <t>Son contenidos normativos que requieren ser revisados, a propuesta de diferentes grupos de interés de la Universidad, los cuales  por su transcendencia o impacto institucional, requieren ser actualizados.  . Fórmula o forma de medición: (#temas priorizados actualizados/#temas priorizados) *100</t>
  </si>
  <si>
    <t>Talleres de reforma de regulaciones específicas</t>
  </si>
  <si>
    <t xml:space="preserve">Talleres de apoyo para la deliberación y proyección de la reforma de regulaciones específicas, priorizados por la Dirección Jurídica </t>
  </si>
  <si>
    <t xml:space="preserve">Ejercicios de debate y coconstrucción de proyectos de reforma.   . Fórmula o forma de medición: Número de talleres realizados </t>
  </si>
  <si>
    <t>Eventos formación y divulgación gobierno y otros</t>
  </si>
  <si>
    <t>Eventos de formación y divulgación sobre temas   de gobierno, democracia, participación, ciudadanía y covivencia para la comunidad universitaria</t>
  </si>
  <si>
    <t xml:space="preserve">Actividades formativas, talleres, debates reglados, publicaciones en serie y cartillas didácticas. . Fórmula o forma de medición: Número de eventos </t>
  </si>
  <si>
    <t>Participación comunidad elección y consulta repres</t>
  </si>
  <si>
    <t>Participación de la comunidad universitaria en los procesos de elección y consulta para la designación de autoridades y de representantes en órganos de decisión universitarios</t>
  </si>
  <si>
    <t xml:space="preserve">Miembros de la comunidad univesitaria que participan efectivamente en los procesos de consultas y elecciones . Fórmula o forma de medición: Porcentaje </t>
  </si>
  <si>
    <t>Nivel optimización recursos nuevos procesos interv</t>
  </si>
  <si>
    <t>Nivel de optimización de recursos en los nuevos procesos académicos o administrativos intervenidos</t>
  </si>
  <si>
    <t>Nivel de optimización de recursos en los procesos académicos o administrativos intervenidos . Fórmula o forma de medición: Mide la eficiencia o la reducción de los costos en la operación de los procesos académicos o administrativos intervenidos</t>
  </si>
  <si>
    <t># procesos academ-adm prioritarios estandarizados</t>
  </si>
  <si>
    <t>Número de procesos académicos y administrativos prioritarios estandarizados</t>
  </si>
  <si>
    <t>Mide el número de procesos académicos o administrativos o servicios ciudadanos digitales nuevos o actualizados en la Institución orientados a las necesidades de los usuarios finales por período. . Fórmula o forma de medición: Número de procesos académicos y administrativos prioritarios estandarizados</t>
  </si>
  <si>
    <t>Índice de madurez de la transformación digital</t>
  </si>
  <si>
    <t xml:space="preserve">Mide los avances de las personas (estamentos universitarios: personal administrativo, profesores, estudiantes y egresados) en relación con la transformación digital, desde cuatro perspectivas: apropiación, adopción, competencias digitales y satisfacción. No todas las perspectivas aplican a los estamentos involucrados
Deben establecerse los criterios técnicos que definan los niveles de vulneración  por parte de Planeación . Fórmula o forma de medición: Se mide el nivel de digitalización con respecto a la apropiación y competencias digitales                                                                                                                                                                                                    61-70 Uso de herramientas de ofimática y comprensión de algunos elementos conceptuales del entorno digital                                                                                                                                              71-80 Uso de medios y aplicaciones disponibles en la institución como herramientas para la labor y desarrollo personal                                                                                                                          81-90 Uso de herramientas informáticas, redes sociales y aplicaciones web e institucionales para las tareas y dar soluciones a los usuarios                                                                                                                                                                                                                                    91-100    Capacidades de manejo de las herramientas digitales, y comprensión de los elementos conceptuales, metodológicos y culturales asociados con el entorno digital           </t>
  </si>
  <si>
    <t>Índice de apropiación de la transformación digital</t>
  </si>
  <si>
    <t xml:space="preserve">Mide los avances de las personas (estamentos universitarios: personal administrativo, profesores, estudiantes y egresados) en relación con la transformación digital, desde cuatro perspectivas: apropiación, adopción, competencias digitales y satisfacción. No todas las perspectivas aplican a los estamentos involucrados
Deben establecerse los criterios técnicos que definan los niveles de vulneración  por parte de Planeación                                . Fórmula o forma de medición: Se mide el nivel de digitalización con respecto a la apropiación y competencias digitales                                                                                                                                                                                                    61-70 Uso de herramientas de ofimática y comprensión de algunos elementos conceptuales del entorno digital                                                                                                                                              71-80 Uso de medios y aplicaciones disponibles en la institución como herramientas para la labor y desarrollo personal                                                                                                                          81-90 Uso de herramientas informáticas, redes sociales y aplicaciones web e institucionales para las tareas y dar soluciones a los usuarios                                                                                                                                                                                                                                    91-100    Capacidades de manejo de las herramientas digitales, y comprensión de los elementos conceptuales, metodológicos y culturales asociados con el entorno digital           </t>
  </si>
  <si>
    <t># Mts2 construidos adaptar infra. nuevas dinámicas</t>
  </si>
  <si>
    <t>Número de metros cuadrados construidos para adaptar la infraestructura universitaria a  nuevas dinámicas institucionales</t>
  </si>
  <si>
    <t># Mts2 adecuados adaptar infraes. nuevas dinámicas</t>
  </si>
  <si>
    <t>Número de metros cuadrados adecuados para adaptar la infraestructura universitaria a nuevas dinámicas institucionales</t>
  </si>
  <si>
    <t># estudiantes con capacidades diversas participes</t>
  </si>
  <si>
    <t>Número de estudiantes con capacidades diversas partícipes o beneficiarios de las actividades, programas y servicios de la Dirección de Bienestar Universitario</t>
  </si>
  <si>
    <t xml:space="preserve"> Fórmula o forma de medición: Número de estudiantes con diversidad funcional (discapacitados) + Número de estudiantes con capacidades excepcionales (deportistas de alto rendimiento) participes o beneficiarios de las actividades, programas y servicios de la Dirección de Bienestar Universitario.</t>
  </si>
  <si>
    <t xml:space="preserve">Nivel implementación adecuaciones para inclusión
</t>
  </si>
  <si>
    <t>Nivel de implementación de adecuaciones en la Ciudad Universitaria que faciliten procesos de inclusión de personas con capacidades diversas (fase: circulación y espacio público)</t>
  </si>
  <si>
    <t xml:space="preserve">Nivel de implementación de adecuaciones en la Ciudad Universitaria que faciliten procesos de inclusión de personas con capacidades diversas (fase: circulación y espacio público)
</t>
  </si>
  <si>
    <t># programas pre-posgrado interdiscipl. enfoque paz</t>
  </si>
  <si>
    <t>Número de programas académicos de pregrado y posgrado interdisciplinarios ofertados con enfoque en paz</t>
  </si>
  <si>
    <t>Los programas académicos de pregrado con enfoque de paz tienen espacios curriculares con contenido de paz sotenible y dudadera . Fórmula o forma de medición: Numero de programas con espacios curriculares con enfoque de paz</t>
  </si>
  <si>
    <t># proyectos investigac-extensión construcción paz</t>
  </si>
  <si>
    <t>Número de proyectos de investigación y extensión con comunidades, que fortalezcan los procesos de construcción de paz con enfoque territorial</t>
  </si>
  <si>
    <t>en el marco del fin del conflicto y la construcción de una paz estable y duradera, las medidas de seguridad que se adopten deben tener un enfoque territorial y diferencial que tenga en cuenta las diferentes amenazas, particularidades y experiencias de las personas en su diversidad, de las comunidades y los territorios, para así contribuir a una mayor gobernabilidad, legitimidad y al goce efectivo de los derechos y libertades de las ciudadanas y ciudadanos. . Fórmula o forma de medición: Iniciativas de acompañamiento a las comunidades</t>
  </si>
  <si>
    <t># participantes en espacios construcción de paz</t>
  </si>
  <si>
    <t>Número de participantes en espacios educativos, políticos y culturales implementados para la construcción de paz</t>
  </si>
  <si>
    <t>construir la paz se concibe como un proceso social, en este sentido, se trata de una pedagogía de la paz que trascienda el ámbito académico y proyecte reflexiones acerca del papel que tiene la Universidad de Antioquia como constructora social de la paz, lo cual ha de traducirse en la vivencia cotidiana de nuevas formas de relacionamiento comunitario y social, mediadas por el respeto a las diferencias, por el reconocimiento y valoración de las potencialidades de las diversidades culturales, étnicas, políticas y sociales, por una estética de la vida que ponga al centro la dignidad humana. En otras palabras,“Construcción de paz se refiere a la creación de un conjunto de actitudes, medidas, planteamientos, procesos y etapas encaminadas a transformar los conflictos violentos en relaciones y estructuras más inclusivas y sostenibles” (Barbero, 2006, p.5). . Fórmula o forma de medición: Eventos académicos culturales y políticos.</t>
  </si>
  <si>
    <t>% avance implementación política gestión ambiental</t>
  </si>
  <si>
    <t>Porcentaje de avance en la implementación de la política de gestión ambiental</t>
  </si>
  <si>
    <t># iniciativas ambientales en campus y sedes U</t>
  </si>
  <si>
    <t>Número de iniciativas ambientales en los campus y sedes universitarios</t>
  </si>
  <si>
    <t xml:space="preserve">Número de iniciativas ambientales en los campus y sedes universitarios
</t>
  </si>
  <si>
    <t># eventos culturales y patrimonio realizados en U</t>
  </si>
  <si>
    <t>Número de eventos culturales y de patrimonio realizados en la Universidad</t>
  </si>
  <si>
    <t>Número de eventos culturales y de patrimonio realizados en la Universidad . Fórmula o forma de medición: Número de eventos culturales y de patrimonio reportados durante el año en el sistema Portafolio por la Vicerrectoría de Extensión + Número de eventos culturales y de patrimonio reportados durante el año en el sistema Portafolio por otras dependencias administrativas y académicas con oferta cultural y de patrimonio</t>
  </si>
  <si>
    <t>Beneficiarios actividades cultural y patrimonio U</t>
  </si>
  <si>
    <t>Beneficiarios de la actividad cultural y de patrimonio universitaria</t>
  </si>
  <si>
    <t xml:space="preserve">Número de beneficiarios de la actividad cultural y de patrimonio universitaria . Fórmula o forma de medición: Número de asistentes sincrónicos a eventos y a procesos de formación en cultura y patrimonio (mediaciones, visitas a exposiciones, etc.) presenciales y virtuales reportados en Portafolio + Número de reproducciones de contenidos culturales y patrimoniales en medios virtuales (podcasts, videos, etc.) registrados para las plataformas de comunicación de la Universidad </t>
  </si>
  <si>
    <t>Dependencia</t>
  </si>
  <si>
    <t>Vicerrector General</t>
  </si>
  <si>
    <t>Indicador</t>
  </si>
  <si>
    <t>Relación con el PDI</t>
  </si>
  <si>
    <t>Descripción del indicador</t>
  </si>
  <si>
    <t>Línea base 2016</t>
  </si>
  <si>
    <t>Línea base 2017</t>
  </si>
  <si>
    <t>Línea base 2018</t>
  </si>
  <si>
    <t>Línea base 2019</t>
  </si>
  <si>
    <t>Línea base 2020</t>
  </si>
  <si>
    <t>Meta trienio definitiva</t>
  </si>
  <si>
    <t>Meta 2022</t>
  </si>
  <si>
    <t>Meta 2023</t>
  </si>
  <si>
    <t>Meta 2024
(Enero a marzo)</t>
  </si>
  <si>
    <t>Código de la dependencia responsable</t>
  </si>
  <si>
    <t xml:space="preserve">Dependencia responsable del indicador </t>
  </si>
  <si>
    <t>Código del proyecto PAI que contribuye al indicador</t>
  </si>
  <si>
    <t>Proyecto PAI que contribuye al indicador</t>
  </si>
  <si>
    <t>NO</t>
  </si>
  <si>
    <t>Tradicionalmente, en la Universidad de Antioquia los cursos que integran los programas académicos se ofrecen de acuerdo a la modalidad declarada, es decir, los programas presenciales tienen sus cursos presenciales, al igual que los programas virtuales, sus cursos son virtuales. El objetivo de este indicador es que los programas académicos de pregrado de la Universidad ofrezcan cursos en diferentes modalidades (un mismo curso en modalidad presencial, virtual, o con apoyo de TIC)</t>
  </si>
  <si>
    <t>La armonización curricular es un proceso de convergencia entre diseños curriculares compatibles que posibilitan la articulación entre los niveles macro, meso y microcurricular, promueven la interdisciplinariedad y la internacionalización; con el firme propósito de garantizar la pertinencia académica y social de los programas académicos de pregrado que se ofrecen</t>
  </si>
  <si>
    <t xml:space="preserve">Nuevas acciones formativas que promuevan el diálogo, la participación, la cocreación y la divulgación social de aprendizajes y prácticas para favorecer las interacciones entre los integrantes de la comunidad universitaria y la visibilización de los desarrollos universitarios en el contexto local, regional y nacional y la cualificación de los ambientes de aprendizaje apoyados en medios y TIC.                                                                                                                                                                                                                                                                                                 </t>
  </si>
  <si>
    <t>La articulación de las prácticas académicas: una interacción con el mundo</t>
  </si>
  <si>
    <t>El indicador busca cuantificar el número de estudiantes de pregrado y posgrado, profesores, investigadores, personal administrativo y egresados que participan en actividades de la estratégia Academia Glocal, una plataforma para el desarrollo de competencias interculturales, de ciudadanía global y de segunda lengua, y para la reflexión sobre la internacionalización y sobre problemáticas globales.</t>
  </si>
  <si>
    <t>El indicador busca cuantificar el número de aliados internacionales, entendidos como: Universidades, Centros de Investigación, Extensión e Innovación, Entidades financiadoras, Redes de cooperación científica, Embajadas, Agencias de cooperación, entre otros, con quienes se desarrollen proyectos (Actividades) estratégicos en los ejes misionales y que contribuyan al posiconamiento de la Institución en el entorno global desde la generación y divulgación del conocimiento de cara a la transformación de los territorios.</t>
  </si>
  <si>
    <t>El indicador da cuenta del número de estudiantes de posgrado participantes por año en las actividades que hacen parte de la oferta formativa de la Dirección de Bienestar Universitario orientadas a la formación integral de los estudiantes de pregrado y posgrado, a través del estímulo de capacidades y la promoción de hábitos y estílos de vida saludables.</t>
  </si>
  <si>
    <t>09</t>
  </si>
  <si>
    <t>Mantener un promedio anual de 940 artículos publicados en SCOPUS</t>
  </si>
  <si>
    <t>El indicador busca cuantificar el número de publicaciones en las bases de datos Web of Science, Scopus, Lens.org, Scielo.</t>
  </si>
  <si>
    <t>El indicador buscar cuantificar el número de participaciones de cada estudiante (en diferentes roles) en actividades y estrategias que permiten fortalecer la formación en investigación a partir de su participación en proyectos de investigación, creación y extensión incluidos en el SUI durante la vigencia.</t>
  </si>
  <si>
    <t>Formulación de una agenda de creación e investigación para la UdeA</t>
  </si>
  <si>
    <t>Alcanzar 80  nuevas Start up incubadas en la Universidad</t>
  </si>
  <si>
    <t>El indicador busca dar a conocer las iniciativas que han pasado por el proceso de identificación, estructuración, puesta en marcha y/o fortalecimiento ya sean beneficiados por acciones desarrolladas por la División de Innovación UdeA y las provenientes de actores externos que han sido acompañados por la dependencia con el apoyo de cooperantes del ecosistema de ciencia, tecnología e innovación</t>
  </si>
  <si>
    <t>Diseño de un modelo de Gestión del Emprendimiento e innovación en la comunidad universitaria de la UdeA</t>
  </si>
  <si>
    <t>El indicador busca relacionar todo tipo de acción de relacionamiento con actores del ecosistema de Ciencia, tecnología e innovación local, regional, nacional e internacional, ya sea otras Universidades, empresas, actores estatales o sociales, materializado en proyectos, convenios y contratos en ciencia, tecnología y emprendimiento firmados</t>
  </si>
  <si>
    <t>El indicador busca relacionar todo tipo de acción de relacionamiento con actores del ecosistema de Ciencia, tecnología e innovación local, regional, nacional e internacional, ya sea otras Universidades, empresas, actores estatales o sociales, materializado en proyectos, convenios y contratos para la promoción y difusión de la innovación social</t>
  </si>
  <si>
    <t>No se dispone</t>
  </si>
  <si>
    <t>El indicador busca cuantificar el número de citaciones en Google Scholar que reciben las publicaciones con afiliación UdeA en las bases de datos Web of Science, Scopus, Lens.org, Scielo.</t>
  </si>
  <si>
    <t>El indicador da cuenta del número de estudiantes de pregrado y posgrado que son beneficiarios de los programas y servicios de la Dirección de Bienestar UNiversitario orientados a promover el desarrollo y culminación oportuna del ciclo de vida académico, a través del fomento de condiciones de equidad entre la comunidad estudiantíl.</t>
  </si>
  <si>
    <t>Universidad Saludable
Consolidación del Modelo de Bienestar Universitario en Regiones</t>
  </si>
  <si>
    <t>Disminuir la tasa de deserción por cohorte al 43%</t>
  </si>
  <si>
    <t>El indicador busca porcentualizar la tasa de deserción semestral en la universidad de antioquia a partir de la división entre el numero de estudiantes de pregrado que desertan por semestre sobre el número de estudiantes de pregrado matriculados en el semestre  *100</t>
  </si>
  <si>
    <t>46, 79%</t>
  </si>
  <si>
    <t xml:space="preserve">Pedagogía del buen vivir para la construcción de paz y la convivencia universitaria </t>
  </si>
  <si>
    <t>De acuerdo con el plan de Desarrollo Institucional 2017-2027  el Buen Vivir “es una alternativa para la idea del desarrollo. Es un concepto de bienestar colectivo (…) es una visión ética de una vida digna, siempre vinculada al contexto, cuyo valor fundamental es el respeto por la vida y la naturaleza (…) A diferencia del desarrollismo que tiene como fin cambiar las realidades de los demás, se trata de la coexistencia de varios mundos.”</t>
  </si>
  <si>
    <t>Los procesos de formación docente, que incluyen a la cualificación docente, se refieren a la creación, difusión y evaluación de estrategias intencionadas por la Universidad para la reflexión, problematización y actualización de los saberes de los docentes universitarios en beneficio de una educación superior de calidad.</t>
  </si>
  <si>
    <t>El teletrabajo entendido como una estrategia de alternancia laboral, que combina el trabajo en casa y trabajo presencial</t>
  </si>
  <si>
    <t>Busca fortalecer la planeación, el desarrollo de los servidores y el mejoramiento de los procesos, así como promover la conversación en el entorno laboral.</t>
  </si>
  <si>
    <t>Aumentar al 70% la vinculación de empleados en carrera administrativa</t>
  </si>
  <si>
    <t>Como resultado de los concursos públicos de méritos a ser abordados para plazas vacantes de los niveles técnico y profesional</t>
  </si>
  <si>
    <t>Crear 300 nuevas plazas de profesores de tiempo completo equivalente</t>
  </si>
  <si>
    <t>Cantidad de plazas docentes de planta vinculados por medio de Concursos Públicos de Méritos Profesoral</t>
  </si>
  <si>
    <t>Cantidad de plazas docentes creadas por Acuerdo Superior (Nuevas)</t>
  </si>
  <si>
    <t xml:space="preserve">Son contenidos normativos que requieren ser revisados, a propuesta de diferentes grupos de interés de la Universidad, los cuales  por su transcendencia o impacto institucional, requieren ser actualizados. </t>
  </si>
  <si>
    <t xml:space="preserve">Ejercicios de debate y coconstrucción de proyectos de reforma.  </t>
  </si>
  <si>
    <t>Actividades formativas, talleres, debates reglados, publicaciones en serie y cartillas didácticas.</t>
  </si>
  <si>
    <t>Lo público, la ciudadanía y la convivencia en la Universidad: conocimiento y divulgación</t>
  </si>
  <si>
    <t>Miembros de la comunidad univesitaria que participan efectivamente en los procesos de consultas y elecciones</t>
  </si>
  <si>
    <t>Mide el número de procesos académicos o administrativos o servicios ciudadanos digitales nuevos o actualizados en la Institución orientados a las necesidades de los usuarios finales por período.</t>
  </si>
  <si>
    <t>Mide los avances de las personas (estamentos universitarios: personal administrativo, profesores, estudiantes y egresados) en relación con la transformación digital, desde cuatro perspectivas: apropiación, adopción, competencias digitales y satisfacción. No todas las perspectivas aplican a los estamentos involucrados
Deben establecerse los criterios técnicos que definan los niveles de vulneración  por parte de Planeación</t>
  </si>
  <si>
    <t>43 puntos</t>
  </si>
  <si>
    <t>46 puntos</t>
  </si>
  <si>
    <t>65 puntos</t>
  </si>
  <si>
    <t>85 puntos</t>
  </si>
  <si>
    <t xml:space="preserve">68 puntos </t>
  </si>
  <si>
    <t>74 puntos</t>
  </si>
  <si>
    <t xml:space="preserve">80 puntos </t>
  </si>
  <si>
    <t xml:space="preserve">85 puntos </t>
  </si>
  <si>
    <t>Implementación y modernización de sistemas de informacion institucionales 
Fortalecimiento de las capacidades físicas y de Tecnologías de Información y Comunicaciones
Actualización de la plataforma de Telecomunicaciones de la Universidad de Antioquia - Fase 1
Consolidación del portal de la Universidad como el punto de acceso a la información, a los servicios y a los trámites institucionales</t>
  </si>
  <si>
    <t xml:space="preserve">Mide los avances de las personas (estamentos universitarios: personal administrativo, profesores, estudiantes y egresados) en relación con la transformación digital, desde cuatro perspectivas: apropiación, adopción, competencias digitales y satisfacción. No todas las perspectivas aplican a los estamentos involucrados
Deben establecerse los criterios técnicos que definan los niveles de vulneración  por parte de Planeación                               </t>
  </si>
  <si>
    <t>Ampliar la infraestructura física en 100.000 metros cuadrados nuevos
Realizar 100% de las construcciones nuevas con criterios de sostenibilidad ambiental.</t>
  </si>
  <si>
    <t>Incluye la ampliación de la infraestructura física de la Ciudadela Robledo con la construcción del nuevo Bloque 49 y la construcción de la nueva sede para la Facultad Nacional de Salud Pública</t>
  </si>
  <si>
    <t>Ampliación de la infraestructura física de la Ciudadela Robledo con la contrucción del nuevo Bloque 49 
Construcción de la Nueva Sede para la FacultadNacional de Salud Pública</t>
  </si>
  <si>
    <t>Realizar 100% de las construcciones nuevas con criterios de sostenibilidad ambiental.</t>
  </si>
  <si>
    <t>Considera la adaptabilidad de la infraestructura física de diferentes dependencias académicas y administrativas en campus y sedes priorizados en relación con necesidades ingentes</t>
  </si>
  <si>
    <t>Adaptabilidad de la infraestructura física a las dinámicas institucionales actuales, orientada a la versatilidad y sostenibilidad de los ambientes de aprendizaje</t>
  </si>
  <si>
    <t>Considera estudiantes con diversidad funcional (discapacitados), estudiantes con capacidades excepcionales (deportistas de alto rendimiento) participes o beneficiarios de las actividades, programas y servicios de la Dirección de Bienestar Universitario.</t>
  </si>
  <si>
    <t>Potenciando la diversidad
Ejercicio praxiológico para la erradicación y la prevención de la discriminación y las violencias basadas en género, mediante la transformación colectiva del entorno universitario.</t>
  </si>
  <si>
    <t>Considera la adaptabilidad de la infraestructura física de diferentes dependencias académicas y administrativas de la Ciudad Universitaria, priorizados en relación con necesidades de personas con capacidades diferentes, específicamente en asuntos de circulación y áreas comunes</t>
  </si>
  <si>
    <t>Los programas académicos de pregrado con enfoque de paz tienen espacios curriculares con contenido de paz sotenible y dudadera</t>
  </si>
  <si>
    <t xml:space="preserve">Pedagogía del buen vivir para la construcción de paz y la convivencia universitaria 
</t>
  </si>
  <si>
    <t>en el marco del fin del conflicto y la construcción de una paz estable y duradera, las medidas de seguridad que se adopten deben tener un enfoque territorial y diferencial que tenga en cuenta las diferentes amenazas, particularidades y experiencias de las personas en su diversidad, de las comunidades y los territorios, para así contribuir a una mayor gobernabilidad, legitimidad y al goce efectivo de los derechos y libertades de las ciudadanas y ciudadanos.</t>
  </si>
  <si>
    <t>construir la paz se concibe como un proceso social, en este sentido, se trata de una pedagogía de la paz que trascienda el ámbito académico y proyecte reflexiones acerca del papel que tiene la Universidad de Antioquia como constructora social de la paz, lo cual ha de traducirse en la vivencia cotidiana de nuevas formas de relacionamiento comunitario y social, mediadas por el respeto a las diferencias, por el reconocimiento y valoración de las potencialidades de las diversidades culturales, étnicas, políticas y sociales, por una estética de la vida que ponga al centro la dignidad humana. En otras palabras,“Construcción de paz se refiere a la creación de un conjunto de actitudes, medidas, planteamientos, procesos y etapas encaminadas a transformar los conflictos violentos en relaciones y estructuras más inclusivas y sostenibles” (Barbero, 2006, p.5).</t>
  </si>
  <si>
    <t>Alcanzar 100% de la implementación de la política de gestión ambiental</t>
  </si>
  <si>
    <t>Enmarcado en la meta global del Plan de Desarrollo Institucional 2017-2027.</t>
  </si>
  <si>
    <t>Actividades, programas, acciones que contribuyan con el desarrollo de actitudes proambientales de la comunidad universitaria.</t>
  </si>
  <si>
    <t>Casa del universo: avance para el fortalecimiento de plataformas museales universitarias  - Fase 1 
 Campus de aprendizaje intergeneracional: consolidación de espacios de convivencia y experiencias
intergeneracionales universitarias - Fase 1</t>
  </si>
  <si>
    <t>Número de beneficiarios de la actividad cultural y de patrimonio universitaria</t>
  </si>
  <si>
    <t>Casa del universo: avance para el fortalecimiento de plataformas museales universitarias  - Fase 1 
Campus de aprendizaje intergeneracional: consolidación de espacios de convivencia y experiencias
intergeneracionales universitarias - Fase 1</t>
  </si>
  <si>
    <t>Nombre corto de la dependencia</t>
  </si>
  <si>
    <t>Porcentaje de cumplimiento 2021 
Semestre 2</t>
  </si>
  <si>
    <t>Porcentaje de cumplimiento 2022
Semestre 1</t>
  </si>
  <si>
    <t xml:space="preserve">Porcentaje de cumplimiento 2022
Semestre 2 </t>
  </si>
  <si>
    <t xml:space="preserve">Porcentaje de cumplimiento 2023
Semestre 1 </t>
  </si>
  <si>
    <t>Porcentaje de cumplimiento 2023
Semestre 2</t>
  </si>
  <si>
    <t>Porcentaje de cumplimiento 2024
Semestre 1</t>
  </si>
  <si>
    <t>Reporte Ene-mar 2024
Semestre 2</t>
  </si>
  <si>
    <t>Porcentaje de cumplimiento 2024
Semestre 2</t>
  </si>
  <si>
    <t>Porcentaje de cumplimiento Trienio</t>
  </si>
  <si>
    <t>Seguimiento 2021 
Semestre 2
Logro</t>
  </si>
  <si>
    <t>Seguimiento 2021 
Semestre 2
Dificultad</t>
  </si>
  <si>
    <t>Seguimiento 2022
Semestre 1 
Logro</t>
  </si>
  <si>
    <t>Seguimiento 2022
Semestre 1 
Dificultad</t>
  </si>
  <si>
    <t>Seguimiento  2022
Semestre 2
Logro</t>
  </si>
  <si>
    <t>Seguimiento  2022
Semestre 2
Dificultad</t>
  </si>
  <si>
    <t>Seguimiento 2023
Semestre 1
Logro</t>
  </si>
  <si>
    <t>Seguimiento 2023
Semestre 1
Dificultad</t>
  </si>
  <si>
    <t>Seguimiento 2023
Semestre 2
Logro</t>
  </si>
  <si>
    <t>Seguimiento 2023
Semestre 2
Dificultad</t>
  </si>
  <si>
    <t>Seguimiento 2024
Semestre 1
Logro</t>
  </si>
  <si>
    <t>Seguimiento 2024
Semestre 1
Logro
Dificultad</t>
  </si>
  <si>
    <t>Seguimiento 2024
Semestre 2
Logro</t>
  </si>
  <si>
    <t>Seguimiento 2024
Semestre 2
Dificultad</t>
  </si>
  <si>
    <t xml:space="preserve">La formación con las estrategias Enseñar dedes casa y Volver a habitar la U, han posibilitado que los profesores adquieran conocimientos y habilidades para transformar sus cursos y adaptarlos a las modalidades que requiere el momento actual que vivimos. La universidad cuenta con un buen número de cursos que se pueden ofertar de manera simultánea presencialmente, de manera virtual, o apoyados total o parcialmente con TIC.
</t>
  </si>
  <si>
    <t xml:space="preserve">Aunque hemos logrado la meta propuesta y contamos con una oferta amplia de cursos diseñados para ser ofertados en diversas modalidades, por la  tardanza en el desembolso de los recursos y las dificultades para la contratación de profesionales nuevos, hemos tenido que poner al limite la capacidad del equipo actual, lo que ha ocasionado una carga laboral más intensa en dichos profesionales, que se refleja en angustia y estres por la falta de tiempo para cumplir con las funciones cotidianas. </t>
  </si>
  <si>
    <t xml:space="preserve">A través del proyecto PAI hemos logrado el diseño y la implementación de un número amplio de cursos en diversas modalidades, los cuales apoyan el desarrollo de las actividades académicas de la universidad y facilitan el acceso de los estudiantes al aprendizaje. </t>
  </si>
  <si>
    <t>La principal dificultad radica en que debido al proceso de migración de informacióan de google g¡drive a one drive, muchos de los cursos y recursos que ya estaban a disposición de la comunidada académica en este momento presentan problemas para ser consultados y utilizados en su totalidad, ya que algunos recursos no quedan funcionando adecuadamente después del proceso de migración.</t>
  </si>
  <si>
    <t>El principal logro fue el diseño y desarrollo del curso taller de armonización curricular cuyo fin era sensibilizar al grupo de profesores en el contenido del proyecto. Además se construyeron unas guias orientadoras las cuales estan en el proceso de validación por parte de la Vicerrectora de Docencia</t>
  </si>
  <si>
    <t>Hasta el momento, no se ha tenido dificultad con el indicador</t>
  </si>
  <si>
    <t xml:space="preserve">Convocamos a diferentes Programas a participar del Proyecto de Armonización Curricular, estos son: Antropología, Ingeniería Agropecuaria, Tecnología Química, Física, Programas de posgrados del INER, Programas de posgrados de la Corporación Biomédica, Programas de la Facultad de Ciencias Farmacéuticas y Alimentarias, Programas de la Facultad de Salud Pública, Odontología. Actualmente, los siguientes programas están participando del proyecto con la armonización de sus currículos: Derecho, Ciencia Política, Trabajo Social y Licenciatura en Pedagogía en Ruralidad y Paz. Cabe mencionar que el programa de Licenciatura en Pedagogía en Ruralidad y Paz ya tiene su currículo armonizado. </t>
  </si>
  <si>
    <t xml:space="preserve">La principal dificultad son los momentos en los que se encuentran los programas académicos y las limitantes que manifiestan para hacer parte del proceso; en el caso de aquellos que están en transformación, rediseños y ajustes para el registro calificado, hay mayores oportunidades de articulación. Además de esto la continua expedición de normativas por parte del MEN hace que tengamos que redefinir constantemente elementos de Armonización lo cual pone en tensión los acompañamientos con los Programas. </t>
  </si>
  <si>
    <t>De una población de 8000 profesores el Programa de Desarrollo Docente matriculó en 2021 a 1.115 docentes a sus distintos espacios de formación. Esto equivale a un 14% de la comunidad de docentes de la Institución. El balance es positivo si se tiene en cuenta que históricamente el PDD matricula a 800 profesores anualmente, lo que equivale al 10 %.</t>
  </si>
  <si>
    <t>Dado que no se ha consolidado el equipo que hará las articulaciones con otras unidades académicas que llevan a cabo procesos de formación docente, no entran en este informe los profesores que se forman en otras dependencias de la universidad. Esta es una acción de la puesta en marcha de la Unidad de Estudios Pedagógicos en Educación Superior.</t>
  </si>
  <si>
    <t xml:space="preserve">El primer semestre se dio apertura a la Convocatoria de estrategias innovadoras en educación superior, previo proceso de definición de los términos de referencia, selección de evaluadores y diseño de una estrategia de difusión de la convocatoria en el marco del Programa de convocatorias de la Vicerrectoría de Docencia. La convocatoria nos permitió conocer diez estrategias de innovación didáctica implementadas en las unidades académicas.  </t>
  </si>
  <si>
    <t>No ha habido grandes dificultades. En el marco de la convocatoria hubo que ampliar el calendario para dar tiempo a los postulantes de lograr los avales correspondientes en sus centros de investigación. Otra dificultad es que algunas de las estrategias que se presemtaron a la convocatoria si bien estaban bien planteadas, aún no habían sido implementadas en las unidades académicas, razón por la cual no pudieron ser reconocidas.</t>
  </si>
  <si>
    <t>La iniciativa Academia Glocal, se destaca como la principal acción de la plataforma de fortalecimiento de capacidades, en el marco de esta se realizaron 214 actividades distribuidas en 694 participantes de los cuales 426 pertenecientes a la UdeA (109 estudiantes, 223 docentes, , 71 administrativos, 6 egresados y 18 participamntes que no informan), en el marco de estas actividades y con referencia al numero total de participantes se lograron 1153 participaciones, representando un poco mas d e 1,5 participaciones por persona enlas diferentes actividades de capacitación, formación y socialización sobre competencias internacionales, interculturales y para la ciudadanía global. 
 Vale la pena resaltar los talleres de diplomacia científica, donde los investigadores lograron acercarse de manera teórica a este concepto y poner en práctica el conocimiento adquirido mediante actividades individuales y grupales. También se destacan las Cátedras Globales DRI, en las que se abordaron algunas de las competencias que conforman la Academia Glocal, como son interculturalidad y plurilingüismo, y se habló sobre habilidades del siglo XXI, responsabilidad social y enfoque de género, permitiéndoles a los asistentes obtener una visión general sobre aquellas capacidades que debe desarrollar un ciudadano global. 
 Así mismo, se avanzó en la sensibilización de algunas unidades académicas sobre los procesos de internacionalización en casa y del currículo, y se comenzó a elaborar la estructura de un documento con definiciones, conceptos y lineamientos administrativos para la internacionalización, el cual le permitirá a las unidades académicas mejorar y optimizar sus gestiones internas en este frente. Por su parte, algunos coordinadores de relaciones internacionales compartieron sus experiencias de internacionalización en casa, como un ejercicio de buenas prácticas, las cuales se sistematizarán en un documento que sirva de material de consulta para toda la Universidad.
 Parchemos con el Porgrama Parcero: diálogos interculturales es otra de las actividades a resaltar, ya que fue organizada por y para estudiantes, con invitados y asistentes de algunas universidades socias en América Latina. Este tipo de espacios les permiten a los estudiantes empoderarse de sus propios procesos de aprendizaje y aportar desde sus conocimientos a las diversas problemáticas del mundo actual. 
 También se destaca la actividad denominada: Be Global: Bootcamp Online para Ciudadanos del Mundo, una iniciativa que nació de la unión entre cuatro universidades (Universidad de Antioquia, Universidad EAFIT y Fundación Universidad de América en Colombia, y Universidad Adolfo Ibáñez en Chile) y que reunió virtualmente a estudiantes, profesores y personal administrativo durante tres días para conocer, comprender e identificar estrategias innovadoras, con el fin de abordar causas personales e institucionales con propósitos sociales, en torno a los Objetivos de Desarrollo Sostenible - ODS. 
 Para 2022 se espera continuar con el desarrollo de estas actividades, pensando en un retorno gradual a la presencialidad, por lo que algunas de estas se desarrollarán en el campus, mientras que otras seguirán siendo virtuales. Vale la pena resaltar que la virtualidad ha permitido que el público de las sedes y seccionales participe de manera más activa en la Academia Glocal.</t>
  </si>
  <si>
    <t>Si bien la virtualidad ha permitido seguir desarrollando acciones estratégicas de la Universidad, esta no va a reemplazar las dinámicas de interacción que la presencialidad aporta en procesos formativos integrales mas allá de los contenidos temáticos; la Plataforma de fomento y fortalecimiento de capacidades, que incluye las denominadas "habilidades blandas", si bien ha cumplido con creces la meta de participantes de la ciomunidad universitaria en la misma, espera que en la medida que la presencialidad vaya incrementando, se pueda tener mayores y mejores párticipaciones y procesos de evlaución y seguimiento de los impactos generados por ella en sus objetivos.
 Asi mismo, es importante destacar, otra situación que pudo generar algunas dificultades relacionada con los recursos requeridos para la ejecución de los proyectos que soportan estos indicadores; los lineamientos establecidos para la ejecución de los recursos del PFC 2021 son nuevos para la Dirección de Relaciones Internacionales, principalmente en lo relacionado con la restricción de la gestión por transferencias intrauniversitarias, lo que representa una limitación para el desarrollo de las estrategias que se han creado en el marco de las alianzas entre dependencias. 
 Con el fin de garantizar el avance en los objetivos y dar inicio a las actividades planteadas en el proyecto, se inició la gestión presupuestal con recursos de contrapartida (Fondo General), y una vez se recibió la asignación de los recursos por PFC 2021, se procedió con las gestiones que corresponden a esta fuente de financiación y que, por tiempo, eran factibles de ejecución.</t>
  </si>
  <si>
    <t>En el marco de los procesos de relacionamiento estratégico con aliados internacionales, durante el semestre, se destaca como principal logro los procesos de gestión y acompapámiento para el fortalecimiento y establecimiento de relacionamientos estratégicos generando diferentes acciones en Investigación, docencia y extensión.
 Esta gestión y artioculación se materializa principalmente en: se recibieron 153 personas en movilidad internacional entrante (presencial y virtual) procedentes de 109 instituciones para el fortalecimiento de procesos de docencia especialmente; se gestionaron 56 convenios con diferentes instituciones para el fomento de la cooperacipón de los 3 ejes misionales, de ellos ya se cuenta con 9 firmados y el resto en proceso administrativo; se han desarrollado 30 contactos con actores claves para los procesos de cooperación científica con los cuales se han tenido diferentes contactos e interacciones; en Extensión se han desarrollado acciones específicas con 23 actores internacionales y se han gemerado acercamientos con 14 universidades estratégicas para continuar desarrollando actividades de Extenmsión; en cooperación internacional, se ha establecido contacto con 5 entidades clave en procesos de fortalecimiento de capacidades en el marco de la Cátedra G8 de Coopéración Internaiconal.</t>
  </si>
  <si>
    <t>Si bien la virtualidad ha permitido seguir desarrollando acciones estratégicas de la Universidad, esta no va a reemplazar las dinámicas de interacción que la presencialidad aporta en las dinámicas de interacción y relacionamiento estratégico, duranbte el semestre se detaca la posibilidad de establecer contactos iniciales de pares de la comunidad universitaria desde los 3 ejes msionales, sin embargo estas relaciones se espera se potencien de manera importante en la medida en que se puedan generar acciones y desarrollos específicos desde la presencialidad, lo cual se espera poder desarrollar a partir de 2022, donde se puedan no solo consolidar los relacionamientos ya establecidos sino tambien fomentar otros.
 Se espera tambien poder continuar con los procesos de articulación de información y acceso a bases de datos internas para poder capturar otros datos de relacionamiento es gratégico con aliados internaiconales a fin de dar cuenta de un registro mas cercano a la realidad y disminuyendo cada vez mas el posible subregistro existente; esta es una acción que ya se viene interviniendo a través de las dependencias, Data UdeA y el Colav.
 Así mismo, es importante destacar, otra situación que pudo generar algunas dificultades relacionada con los recursos requeridos para la ejecución de los proyectos que soportan estos indicadores; los lineamientos establecidos para la ejecución de los recursos del PFC 2021 son nuevos para la Dirección de Relaciones Internacionales, principalmente en lo relacionado con la restricción de la gestión por transferencias intrauniversitarias, lo que representa una limitación para el desarrollo de las estrategias que se han creado en el marco de las alianzas entre dependencias. 
 Con el fin de garantizar el avance en los objetivos y dar inicio a las actividades planteadas en el proyecto, se inició la gestión presupuestal con recursos de contrapartida (Fondo General), y una vez se recibió la asignación de los recursos por PFC 2021, se procedió con las gestiones que corresponden a esta fuente de financiación y que, por tiempo, eran factibles de ejecución.</t>
  </si>
  <si>
    <t xml:space="preserve">Durante el semestre 2022-1 se han fortalecido los espacios de relacionamiento estratégico con socios internacionales que contribuyan al fortalecimiento de la cooperación científica de la Universidad de Antioquia. En este sentido se destacan dem amenar estratégica el acercamiento con la Embajada de Francia en Colombia y el acercamiento de 18 investigadores de diferentes instituciones francesas y 18 investigadores de diferentes unidades académicas de la Universidad de Antioquia al rededor de las dicusoiones sobre el ODS 11: Ciudades y comunidades sostenibles. Así mismo, en articulación con el Ministerio de CTeI de la República Argentina y Colombia se favoreció el acercamiento de 23 investigadores de diferentes instituciones argentinas y 25 investigadores de diferentes unidades académicas de la Universidad de Antioquia, quienes debatieron al rededor del ODS 2: Hambre Cero. 
Se destaca de ambos espacios la implementación de metodologías innovadoras a través de las cuales se pueda dar seguimiento a los acuerdos o proyecciones resultados del espacio y de articular los esfuerzos que desde los diferentes actores que participaron en la gestión ofrecen a los participantes.  Un ejemplo de lo anterior, es la participación de la Dirección de Relaciones Internacionales y de tres investigadores de la UdeA en una convocatoria que lanzó la embajada de Francia para promover la movilidad de investigadores y staff hacia Francia. Movilidad que propende por continuar y fortalecer alianzas entre los participantes del evento. 
Estas estrategias de relacionamiento, han generado tambien valorar la particiupación del staff en diferentes eventos como el International Staff Week en la Universidad de Almería (España) que representó en términos de relacionamiento científico la invitación a participar en un proyecto europeo con la Agencia Española para la Cooperación y Desarrollo (AECID) para fortalecer capacidades y desarrollo en el área de agricultura en regiones. Adicionalmente, se recibió la visita de un investigador al Instituto de Educación Física y Deporte, con la finalidad de fortalecer la cooperación científica y movilidad de posgrado en esta área. 
Finalmente, a partir de un espacio de relacionamiento entre investigadores de la Universidad de la Florida y de la UdeA, se concretó la gestión de un convenio de movilidad que involucra a los estudiantes de la Facultad de Medicina, y permitirá que realicen rotaciones en el hospital de la Florida, e intercambios académicos sin pagar matrícula en la Universidad de Florida. Lo anterior se constituye como un logro importante en la medida que muy pocas universidades de Estados Unidos permiten intercambios académicos sin cobro de gastos de matrícula a los estudiantes entrantes.
Asi mismo se resalta las dinámicas de movilidad internacional entrante que reportan 167 movilidades presenciales “8 administrativos, 79 docentes y 60 estudiantes, así como el desarrollo del curso de innovación social con la Universidad de Illinois con participación de 27 estudiantes de esta prestigiosa universidad en acciones de innovación
</t>
  </si>
  <si>
    <t>16492 estudiantes participaron en las actividades de formación complementaria desarrolladas durante el año por Bienestar Universitario (16320) y de los cursos de formación complementaria de la Vicerrectoría de Docencia (172). Dichas actividades incluyen: las actividades formativas grupales de Promoción de la Salud y Prevención de la Enfermedad, los cursos de deporte formativo, educación financiera, y arte y cultura para el bienestar, entre otros. Fuente: SIBU y Vicerrectoría de Docencia.</t>
  </si>
  <si>
    <t>Todavía se observan dificultades técnicas para el registro en Portafolio UdeA lo que, sumado a la reticencia para el registro  de asistencia a las actividades virtuales, genera un subregistro.</t>
  </si>
  <si>
    <t>14.424 estudiantes en total participaron de las actividades de formación complementaria desarrolladas durante el 2022-1, por la dirección de Bienestar Universitario y la Vicerrectoría de Docencia. 11.064 estudiantes participaron en la oferta de Bienestar Universitario y 528 en la oferta de formación complementaria de la Vicerrectoría de Docencia. Dicha oferta incluye actividades como: las actividades formativas grupales de Promoción de la Salud y Prevención de la Enfermedad, los cursos de Deporte Formativo, Actividades Formativas Financieras, cursos, talleres y laboratorios creativos de Arte y Cultura para el Bienestar, entre otros; además de actividades como Acompañamientos formativos en prácticas LEO, Seminario de Formación en Prácticas LEO para postgrado, Formación en diversidades y demás, de la oferta de la Vicerrectoría de Docencia. Fuente: SIBU y Vicerrectoría de Docencia.</t>
  </si>
  <si>
    <t>La identificación de usuarios al momento de cruzar información es un proceso dispendioso, ya que extraer la información desde MARES con el fin de conocer Estudiantes al detalle se convierte en una actividad compleja debido a todas las demoras en procesamiento, la interfaz del aplicativo y los tiempos y tareas necesarias para poder procesar la información. Esto hace poco optimo este proceso y retrasa la generación de información.</t>
  </si>
  <si>
    <t>En cuanto a la publicación de artículos científicos en bases de datos, uno de los principales logros alcanzados fue la gestación y puesta en marcha de uno de los instrumentos de la Política Institucional de Acceso Abierto a la producción académica de la Universidad de Antioquia, regulada mediante el Acuerdo Superior 451 de 2018; se trata del Fondo para la democratización del conocimiento académico, creado mediante la Resolución Rectoral 47957 del 02 de junio de 2021 y aprobado en acta CODI 831 del 13 de julio de 2021. Estas estrategias contibuyen con la formación integral de ciudadanos con la articulación y el desarrollo de las funciones misionales desde los territorios y en conexión con el mundo, a partir del fomento del avance y la diversidad en la generación, aplicación y apropiación del conocimiento.</t>
  </si>
  <si>
    <t xml:space="preserve">Si bien se observa estabilidad en las dinámicas de publicación de los autores de la universidad en el periodo evaluado, cabe anotar que la pandemia generada por el Covid 19 representó grandes retos o dificultades para la ejecución de una gran cantidad de proyectos de investigación en términos técnicos, operativos y relativos a las facilidades del recurso humano involucrado, con lo cual se afectó la capacidad de generar conocimiento publicable. </t>
  </si>
  <si>
    <t xml:space="preserve">Logro 1 2022
El volumen de publicaciones en Lens, consultado a la fecha, casi alcanza la meta estimada para reportar en el año 2022.   </t>
  </si>
  <si>
    <t>Dificultad 1 2022
Dados los retrasos en el proceso de contración de desarrolladores, no fue posible realizar, dentro de los plazos de este informe, la actualización de la base de datos CoLaV para la consulta unificada y completa de artículos con afiliación institucional en todas las bases de datos propuestas en el indicador.</t>
  </si>
  <si>
    <t xml:space="preserve">1. Se alcanzó la meta propuesta.
2. Aprendizaje: durante la ejecución de los proyectos en la vigencia (2021) es posible que se dé la vinculación de un nuevo estudiante al proyecto, por lo cual es pertinente considerar este ítem el diseño de un próximo indicador que dé cuenta más fielmente la participación de estudiantes  en actividades y estrategias que permitan fortalecer la formación en investigación. </t>
  </si>
  <si>
    <t>Es importante conocer con anticipación la fecha de corte de reporte de este indicador, de manera que se programe un cronograma más pertinente para el reporte de proyectos registrados en los Centros. En esta ocasión los plazos se cruzaron y se ha dificultado la consolidación de la totalidad de la información en el tiempo requerido.</t>
  </si>
  <si>
    <t xml:space="preserve">Logro 1 2022 
Ampliación de la cobertura de estudiantes que acceden a la oferta de formacíón en investigacióna, través del cumplimiento de lso compromisos.
Favorabilidad e a evaluación de los estudiantes Jóvenes Investigadores que participan en convocatorias internacionales, lo cual impacta en la visibilidad de la Universidad. 
Automatización del proceso de convocatoria y trámite del convenio a través de SIIU. Mejora en el trámite de certificados de pasantías. Aumento de recursos para financiar mayor número de jóvenes ( ahora se realizan 2 convocatorias al año). </t>
  </si>
  <si>
    <t xml:space="preserve">Dificultad 1 2022
Los recursos siguen siendo escasos para cubrir la demanda.
Baja interoperabilidad entre los sistemas de información de la Universidad. 
Adminsitración manual de JI por proyectos en SIIU.
El SIIU no contempla registro de semilleristas.
Los estudiantes, en ocasiones, manifiestan dificultades para el cumplimiento de compromisos.
La meta (524) es anual, por lo cual no consideramos que el valor reportado (256) sea "tan bajo" para evidenciar el avance en las participaciones durante el primer semestre del año. Hemos alcanzado casi un 50% de la ejecución.  De otro lado, este indicador se soporta en gran medida en las contrataciones de jóvenes investigadores, quienes se encuentran en trámite de contratación en concordancia con la última Convocatoria Programa Jóvenes Investigadores UdeA 2022-1, cuyos resultados se publicaron el 27 de junio de 2022 y cuyos convenios han iniciado a partir del 1 de agosto para un primer grupo y cada 15 días en adelante inicia un nuevo grupo. 
</t>
  </si>
  <si>
    <t>El 24% de los emprendimientos beneficiados pro el programa de fortalecimiento empresarial son emprendimientos internos, lo cual es un importante logro para la Universidad especialmente en el momento coyuntural del 2021. Los emprendimientos internos acompañados son:  Innovamentes, Territorio Verde, TUNI, Pasos, Chef Mascota, CrioNuts, Consensos SAS, Help Me! App, KIPI, Pluma &amp; Transformación, Triada Group, La Cápsula , Satúrnida Laboratorio de divulgación científica, Clean Clean Pet Wash, Kainos Biocosmética, Lenuit, La MascoTeca, Cerveza FORANEA, PAN con ESPIRULINA, Limpiador acero Inoxidable para vehículos y Medellín CreaLab (Orien Art)</t>
  </si>
  <si>
    <t>La coyuntura generada por el COVID ha socavado el tejido empresarial y desestimulado el emprendimiento por la crisis económica, lo que ocasionó el cierre de muchos emprendimientos.</t>
  </si>
  <si>
    <t>Logro 1 2022
Se dió inicio a los programas Laboratorio de Emprendimiento e Innovación en Bajo Cauca y se comenzó el fortalecimiento de la sede Norte. Hasta el primer semestre del año se han identificado 245 iniciativas en ambas sedes, de las cuales están siendo atendidas 20, de ellas 8 personas tienen relación con la Institución (Bajo Cauca 1, Norte 7). 
De igual forma, se comenzó acompañamiento a través del modelo Parque del Emprendimiento en la sede Oriente y se continuo fortalecimiento la actividadd en la subregión de Urabá. Hasta el primer semestre se identificaron 343 emprendimientos y de estos se están acompañandos 37, de los cuales 9 personas tienen alguna relación con la UdeA (Oriente 2 y Urabá 7).</t>
  </si>
  <si>
    <t>Dificultad 1 2022
Siendo el equipo de desarrolladores de negocios de las sedes un grupo nuevo de colaboradores, los tiempos de aprendizaje han sido largos y han llevado un esfuerzo importante.
De igual forma, la estrategia comunicacional requiere mayor fuerza para conseguir el propósito de que las comunidades interioricen el tema de gestión del emprendimiento.
En Valle de Aburrá se ha limitado la operación, dado que el convenio con Alcaldía de Medellín no conlleva acompañamiento empresarial, solo acciones de fomento.</t>
  </si>
  <si>
    <t>Se suscribieron importantes convenios y contratos que posicionarán a la Universidad en el ecosistema de innovación y emprendimiento a nivel regional. No solamente se logro realizar 18 acuerdos de voluntades durante el periodo, sino que en terminos de impacto y financieros, se superó las expectativas al acceder a convenios robustos, tales como los del Sistema General de Regalias, CRIIE y Tecnova.</t>
  </si>
  <si>
    <t>Los tiempos de gestion adminsitrativa de la Universidad dificultan las actividades en los proyectos, las cuales casi siempre son "contra reloj", por tratarse en muchas ocasiones de proyectos anualizados que tienen la obigatoriadad de ejecución en tiempos cortos y requieren una acción adminsitrativa mucho más dinámica.</t>
  </si>
  <si>
    <t>Dada la limitante de suscribir convenios interadministrativos durante el periodo de Ley de garantías solo se suscribieron tres actad de compromiso y el contrato con Neroli, durante el periodo en medición. Se logró avanzar con la Gobernación frente al proyecto para la operación de los concursos Antójate de Antioquia, Capital Semilla y Acompañamiento para la gestión de permisos Invima para empresas y emprendimientos en las subregiones, el cual iniciará el julio del presente año. Así mismo en proyectos como el de la comunidad indigena, y en el marco del CRIIE con la UNiversidad Cooperativa de Colombia.</t>
  </si>
  <si>
    <t xml:space="preserve">Los convenios proyectados, principalmente con entidades públicas no se firmaron en la vigencia 2022 -1 debido a la ley de garantías </t>
  </si>
  <si>
    <t>Validación operativa del modelo de acompañamiento y fortalecimiento a iniciativas y perfiles de proyectos gestados desde el profesorado, grupos de investigación y unidades académicas.</t>
  </si>
  <si>
    <t>Complejidad en el cumplimiento de las agendas desde los gestores y/o líderes de proyectos para ejecutar planes de trabajo relacionados con el acompañamiento y asesoría al perfilamiento y acompañamiento a las inicitivas vinculadas a innovación social.</t>
  </si>
  <si>
    <t>Estructuración del portafolio de servicios para la sostenibilidad del proceso de innovación social; se establecieron seis lineas de ingresos recuerrentes que están articuladas a procesos de impacto en territorio y que se encuentran en validación en alianza con Comfenalco Antioquia. Se presentan propuestas para operar recursos de la comunidad indigena Narikisave del Municipio de Dabeiba y se gestan alianzas con la universidad del valle para transferencia de conocimiento en innovación social y con living knoledge; red internacional de consultorios comunitarios tipo science shop.</t>
  </si>
  <si>
    <t>Los recursos de cooperación internacional y cooperación para el desarrollo presentan diferentes destinos hacia los conflictos Bélicos que se presentan en Europa y a la atención interna de necesidades derivadas de la pospandemia. en ese sentido, los flujos de apoyo para américa latna se han visto considerablemente reducidos y sus convocatorias tienen alcances por fuera del territorio latinoamericano.</t>
  </si>
  <si>
    <t>Gracias al acuerdo de voluntades firmado entre la Facultad de Ciencias Sociales y Humanas, la Escuela Interamericana de Bibliotecología, el Instituto de Física, la Dirección del Sistema de Bibliotecas y la Vicerrectoría de Investigaciones, para la creación y puesta en funcionamiento del CoLaV (2018-2021), la Universidad ha logrado proyectar y estructurar un lago de datos normalizado que contiene la información relativa a las publicaciones científicas de Colombia y que alimenta el ETL de un sistema tipo CRIS (ImpactU) que permite visualizar y cuantificar las publicaciones con afiliación UdeA  de diversas bases de datos y, en consecuencia, las citas acumuladas que reciben en Google Scholar.</t>
  </si>
  <si>
    <t xml:space="preserve">1. El API que alimenta el ETL del sistema se encuentra en desarrollo, por lo cual las cifras reportadas para la línea base y para el informe pueden sufrir modificación hasta febrero de 2022.
2. Este indicador, en sí mismo, solo alude a un volumen de citas, por ello se considera necesario construir una métrica más precisa por área de conocimiento (métrica responsable) para evaluar el impacto que tienen las revistas en las que la Universidad está publicando sus documentos científicos.  </t>
  </si>
  <si>
    <t xml:space="preserve">Logro 1 2022
El volumen de citaciones en Scopus, consultado a la fecha, casi alcanza la meta estimada para reportar en el año 2022.   </t>
  </si>
  <si>
    <t>Dificultad 1 2022
Dados los retrasos en el proceso de contración de desarrolladores, no fue posible realizar, dentro de los plazos de este informe, la actualización de la base de datos CoLaV para la descarga de citaciones de Google Scholar para los artículos  únicos con afiliación institucional en todas las bases de datos propuestas en el indicador. Por ello, el avance en el indicador se reporta solo a partir de la fuente Scopus, que corresponde a una de las fuentes que nutre las citaciones de Google Scholar.</t>
  </si>
  <si>
    <t>15800 estudiantes fueron beneficiarios de los programas y servicios de Bienestar Universitario (15375) y de la unidad de Permanencia de la Vicerrectoría de Docencia (425), orientados a promover la permanencia estudiantil. Entre estos programas y servicios se encuentran: servicio de alimentación estudiantil, becas para la permanencia, psicoorientación, fomento artístico y cultural, deportes recreativo, formativo y representativo,  CLEO, tutorías, UdeA diversa, entre otros. Fuente: SIBU y Vicerrectoría de Docencia.</t>
  </si>
  <si>
    <t>Esta cifra no incluye el dato de beneficiarios de matrícula cero, ni de reliquidación de derechos de matrícula. Lo anterior debido a que todavía es complejo consolidar en una única cifra el número de beneficiarios de los programas y servicios orientados desde diferentes instancias a promover la permanencia estudiantil, por esta misma razón la cifra tampoco incluye la información de las actividades desarrolladas por las unidades académicas para el mismo fin.</t>
  </si>
  <si>
    <t>En total 24.215 estudiantes fueron beneficiados a través de los programas y servicios orientados a promover la permanencia estudiantil. De estos, 23.960 accedieron a programas y servicios de Bienestar y 528 a programas de permanencia. Entre estos programas y servicios se encuentran: servicio de alimentación estudiantil, becas para la permanencia, psicoorientación, fomento artístico y cultural, deporte recreativo, formativo y representativo, CLEO, tutorías, UdeA diversa, entre otros. Fuente: SIBU y Vicerrectoría de Docencia.</t>
  </si>
  <si>
    <t>Algunos listados compartidos por las estrategias de permanencia se encontraban en archivos PDF, eran imágenes o no contaban con el documento de identificación de los asistentes, por lo que no fue posible cruzar la información en algunos casos. Esta cifra no incluye el número de beneficiarios de becas para estratos 1, 2 y 3, ya que hasta el momento Admisiones y Registros presenta dificultades para generar la información.</t>
  </si>
  <si>
    <t>Las acciones realizadas en corresponsabilidad por distintas instancias universitarias y sumado a las garantías por el tiempo de pandemia, el número de estudiantes que abandonan su proyecto formativo es inferior al periodo anterior. Las propuestas de formación, acompañamiento y accesibilidad para el fortalecimiento académico y la diversidad epistémica contribuyen al sostenimiento del proyecto formativo. Continuamos trabajando de manera decidida y constante para sostener o disminuir las tasas de deserción incluso cuando se cumpla el desmonte total de las garantías académicas.</t>
  </si>
  <si>
    <t>Los sistemas de información continúan siendo una dificultad para lograr una disponibilidad de la información que facilite el seguimiento y toma de decisiones.</t>
  </si>
  <si>
    <t>Las acciones realizadas en corresponsabilidad por distintas instancias universitarias el número de estudiantes que abandonan su proyecto formativo es inferior al periodo anterior. Las propuestas de formación, acompañamiento y accesibilidad para el fortalecimiento académico y la diversidad epistémica contribuyen al sostenimiento del proyecto formativo. Continuamos trabajando de manera decidida y constante para sostener o disminuir las tasas de deserción. Asimismo, las acciones también se orientan al apoyo para el retorno estudiantil</t>
  </si>
  <si>
    <t xml:space="preserve">Los sistemas de información continúan siendo una dificultad para lograr disponibilidad de la información que apoye la toma de decisiones y permita la anticipación de acciones. Asimismo, la derivación de situaciones de riesgo académico por parte de las unidades académicas para la activación de rutas de acompañamiento </t>
  </si>
  <si>
    <t>Se mantuvo la línea base con la cual se da inicio la proyecto.</t>
  </si>
  <si>
    <t xml:space="preserve">Asuntos como la asignación de recursos y el proceso de contratación del personal que colaborará en el proyecto, los cuales atiende a los tiempos de las Instituciones y dependencias encargadas de ello, solo ha permitido hasta la fecha la ideación de las estrategias, sin que estas aún se hayan podido ejecutar, razón por la cual aún no se cuenta de reporte de participantes.   </t>
  </si>
  <si>
    <t xml:space="preserve">Visibilizar el tema del Buen Vivir y de Vivir sabroso en el ámbito universitario. Aportar, con acciones desde este proyecto, a la sanación personal y colectiva, al tejido relacional de los miembros de la comunidad universitaria. </t>
  </si>
  <si>
    <t xml:space="preserve">Es un reto convocar personas para la participación en espacios de formación y la permanencia de las mismas en estos.  </t>
  </si>
  <si>
    <t>De una población de 8000 profesores el Programa de DesarrolloDocente matriculó en 2021 a 1.115 docentes a sus distintos espacios de formación. Esto equivale a un 14% de la comunidad de docentes de la Institución. El balance es positivo si se tiene en cuenta que históricamente el PDD matricula a 800 profesores anualmente, lo que equivale al 10 %.</t>
  </si>
  <si>
    <t>El reporte de participaciones de docentes en procesos formativos se hizo basado en los consolidados aportados por el Programa de Desarrollo Docente, la División de Innovación. la Unidad de Permanencia, la Unidad de Asuntos Curriculares, el Departamento de Bibliotecas y Ude@ Educación Virtual. Se trata de participaciones en espacios de formación que contribuyen a la cualificación de la práctica de los docentes. Como soporte, se adjuntan a este informe los listados de inscripción y balances hechos por cada una de las Unidades que contribuyen a esta labor.</t>
  </si>
  <si>
    <t xml:space="preserve">Quizá la mayor dificultad sea el que no se cuente con un registro de todas las actividades de formación para los docentes; si bien hay muchas actividades, no en todos los casos se toma asistencia o algún tipo de registro que permita evidenciar, luego, esas participaciones. Esto represemta, sin duda, una acción de mejora para nuestra dependencia.  </t>
  </si>
  <si>
    <t>Se formalizaron 750 servidores en teletrabajo, luego de haber sido postulados por sus unidades y de realizar el proceso de preparación y verificación de condiciones. Se cumplió el 100%, más de lo programado inicialmente, dado el retorno a las labores presenciales y la finalización del trabajo en casa con ocasión de la pandemia, se debió ampliar la capacidad para preparar y formalizar a los servidores en la modalidad de teletrabajo. Lo que hizo que se lograra cumplir con el objetivo antes de los proyectado.</t>
  </si>
  <si>
    <t>La permanencia de la figura de trabajo en casa como posibilidad el primer semestre del 2022 generó dificultades en la apropiación del teletrabajo y resistencias en algunos casos en la adopción del mismo dado que la situación de trabajo en casa puede resultar más atractiva a algunos servidores.</t>
  </si>
  <si>
    <t>Porcentaje de personal administrativo de carrera que realiza concertación de objetivos, pasa de ser del 50% al 91.9%. La plataforma que se utiliza es ágil, sencilla en su manejo, hubo espacios de asesorías durante todos los momentos del proceso se alcanzó una cifra de 102.</t>
  </si>
  <si>
    <t>Interiorizar la conversación como base del proceso, con el fin de que la plataforma se convierta en un medio para plasmar las devoluciones que permite el dialogo. Los momentos del proceso de retroalimentación se realizan en tiempos y con finalidades distintas para alcanzar el objetivo general del proceso, es importante entender y tener presente cada uno de ellos, para no desdibujar el todo y la relevancia de concatenarlos.</t>
  </si>
  <si>
    <t xml:space="preserve">EL porcentaje de personal administrativo de carrera que realiza la concertación de objetivos equivalente a un 94%. Se identifica que además de hacer el ejercicio de utilización de la plataforma, algunas personas se preguntan por el cómo hacer una conversación adecuada y manifiestan esto como aporte al desempeño del rol. Otro asunto importante en este proceso, es la interiorización del proceso de retroalimentación para los servidores que lograron pasar satisfactoriamente el periodo de prueba, desde ellos se viene haciendo un ejercicio de conversación juicioso, además, de concebir la plataforma como un medio para plasmar lo que surge en conversación. </t>
  </si>
  <si>
    <t xml:space="preserve">Se debe continuar con la divulgación de la conversación como eje fundamental del proceso, con el fin de seguir fortaleciendo los principios mismos de la retroalimentación. En términos logísticos se debe de generar estrategia de actualización de la plataforma, por renuncias, cambios de jefe y demás novedades importantes dentro del proceso. </t>
  </si>
  <si>
    <t>Trabajo con la Comisión de Carrera Administrativa de la Institución en la revisión de normativa nacional para la viabilidad de concurso de ascenso</t>
  </si>
  <si>
    <t>Aprobación por la comisión de carrera administrativa de los perfiles y plazas para concurso ascenso nivel técnico y profesional.</t>
  </si>
  <si>
    <t>Fortalecimiento del recurso humano para avanzar en la ejecución de la iniciativa y ley de garantías.</t>
  </si>
  <si>
    <t>Por medio del Concurso Publico de Meritos para Docentes de 2019, que tuvo para el año 2021 la evaluacion de meritos, se logro vincular a la planta docente 123 plazas. Este numero supera satisfactoriamente la meta del año que era de 87 plazas, que fue en promedio calculada con el numero de vinculacion de concursos anteriores desde el 2010 y ha sido el mayor numero de plazas ocupadas en historia de los  Concursos Publicos de Meritos para Docentes en la UdeA.</t>
  </si>
  <si>
    <t>La suspension del Concurso Publico de Meritos por la pandemia, represento para el 2021 la activacion de este y nuevos retos en medio de virtualidad. No se conto con personal adicional para las actividades del Concurso, sino que se cubrio con la planta administrstiva de la Vicerrectoria de Docencia, lo que desbordo la capacidad de trabajo.
Por otro lado, no se contaban con los recursos financieros para pagar los honorarios de los evaluadores, por tanto, acudimos a solicitar financiacion a la Vicerrectoria Administrativa.</t>
  </si>
  <si>
    <t>Derivado del Concurso Publico de Meritos para Docentes para el semeste 2022-1 se vincularon 17 plazas tiempo completo, superando la metra establecida. Algunas de estas vinculaciones se hicieron por medio del uso de la lista de elegibles. Se esta preparando en el momento el Concurso Profesoral 2022, para dar cumplimiento las metas de los proximos semestres.</t>
  </si>
  <si>
    <t>Se mantiene el numero de plazas de la linea base de 2020. La creacion de plazas se realizara en 2022, por directriz de la Rectoria</t>
  </si>
  <si>
    <t>La Vicerrectoria de Docencia formulo el borrador del acto administrativo para la creacion de 26 plazas nuevas, este documento se encuentra en revision de la Vicerrectoria Administrativa desde el 10 de mayo de 2022, para posterrior presentacion en la CAAF en el mes agosto.</t>
  </si>
  <si>
    <t>La situacion financiera de la Institucion no ha permitido agilizar la creacion de las plazas, debido a que esto compromete recursos y aumenta el presupuesto de fondos generales</t>
  </si>
  <si>
    <t>Se ha fortalecido el trabajo colaborativo con las distintas unidades administrativas responsables e interesadas en la actualización de las normas de temas de interés institucional, especialente en las relacionadas con la modificación del proceso de admisión a pregrados, la regulación del Sistema Universitario de Salud, la creación de periodos académicos especiales para los programas de pregrado, la regulación de la Cátedra de Formación Ciudadana y Constitucional y la reglamentación del contrato de cátedra por periodo calendario.</t>
  </si>
  <si>
    <t>La articulación estratégica con las diferentes unidades administrativas para la identificación de las necesidades de actualización normativa, y el trabajo colaborativo, han permitido y facilitado que asuntos como la adecuación de la estructura disciplinaria de la Universidad, la adopción de la Política de Cultura y Patrimonio y la formalización del Sistema Interno de Aseguramiento a la Calidad Académica, la reglamentación de los premios a la investigación, la nueva estructura disciplinaria, distinciones y premios en el marco del Día Clásico y el Fondo de Becas de Maestría, hayan podido consolidarse durante este primer semestre de 2022</t>
  </si>
  <si>
    <t xml:space="preserve">A la fecha se vienen realizando algunos ajustes a normas universitarias pero no propiamente de los ejes normativos universitarios para los cuales se tiene presupuestado darle impulso en el primer semestre de 2022 con el apoyo de diferentes unidades acadèmicas y estamentos universitarios. No obstante, la Dirección Jurídica ajustada a su misiòn interviene en la asesorìa o elaboración de normas universitarias. Lo anterior ha generado acciones de contacto y dialogo con unidades acadèmicas para concretar actas de compromiso que nos permita llevar a cabo lo definido en el programa. </t>
  </si>
  <si>
    <t xml:space="preserve">En el momento no se han desarrollado talleres que apunten al cumplimiento del indicador toda vez que recientemente se logró firmar el acta de compromiso con las unidades académicas que desarrollarán tales acciones, sin embargo, se destaca como un logro significativo en ese proceso de participación en reformas y creación de normas universitarias la creación de la figura “normas en construcción” que aparece en el portal universitario  y que se convierte en la ventana de participación de toda la comunidad universitaria en la creación, modificación o derogatoria de normativas. La puesta en marcha de este espacio ha contado con positivos comentarios y efectivo uso por los universitarios.  La Dirección Jurídica continúa con su misión de apoyar en la proyección de actos administrativos y proyectos normativos que construyen derecho universitario tanto a nivel central como en las dependencias.    </t>
  </si>
  <si>
    <t xml:space="preserve">Se centra en la firma reciente de las actas de compromiso con las dependencias académicas que desarrollarán acciones de tal naturaleza,  </t>
  </si>
  <si>
    <t xml:space="preserve">           A la fecha si bien no se tiene presupuestado el reporte de actividades que respondan con lo descrito en el programa, toda vez que el inicio de acciones se hará a partir del primer semestre 2022, se vinene haciendo contactos con unidades académicas con las cuales se quiere nutrir el indicador y para ello se tiene visualizado realizar actas de compromiso que permitan iniciar lo planeado para el indicador.</t>
  </si>
  <si>
    <t xml:space="preserve">Se realizaron los siguientes eventos: 
Dos (2) eventos de formación en regiones de estructura universitaria y normas académicas.
Realización del seminario "Retos y posibilidades en torno a la convivencia en la Universidad de Antioquia, respuestas posibles" 
Reunión conjunta del Consejo Superior y el Consejo Académico. 
Reuniones lógistica de consultas y elecciones con diferentes unidades académicas en proceso de designación de decanos y directores. 
</t>
  </si>
  <si>
    <t>La principal dificultad ha sido concertar y concretar los términos de las actas de compromiso con el Instituto de Estudios Políticos y la Facultad de Derecho</t>
  </si>
  <si>
    <t xml:space="preserve">Se viene ofreciendo el apoyo para los procesos de consultas y elecciones en los diferentes espacios de participación de la comunidad universitaria. El porcentaje reportado corresponde con el estimado para el segundo semestre 2021, se espera generar condiciones de motivación que permitan un incremento en la participación. </t>
  </si>
  <si>
    <t xml:space="preserve">Se observa un alto porcentaje de abstencionismo en los procesos de consultas y elecciones, situación constante en esta clase de procesos. Sin embargo, se reporta un alto incremento en las convocatorias para copar espacios de representación.   Se observa desgano, apatía, falta de motivación y desconocimiento de lo que representa para la universidad contar con la participación de los estamentos en espacios de participación y construcción de universidad.  </t>
  </si>
  <si>
    <t xml:space="preserve">La demanda de solicitudes para apoyar los procesos de consulta y elecciones en los diferentes espacios universitarios. El porcentaje reportado da cuenta del cumplimiento de lo esperado con un impacto positivo en el crecimiento de participación de los estudiantes y estabilización en el porcentaje de participación de los egresados.  </t>
  </si>
  <si>
    <t xml:space="preserve">No obstante, el aumento en la participación de estudiantes y egresados en varios espacios universitarios, sigue siendo un reto para la Universidad realizar acciones que bajen los porcentajes de abstención. </t>
  </si>
  <si>
    <t>Para el 2021 se avanzó en la priorización por parte del Consejo Académico de los procesos académicos y administrativos para su optimización en la vigencia 2022-2024 así:
 Reporte y visibilización de producción académica
Evaluación profesor de cátedra
Proceso de matrícula y conexos
Gestión de asuntos curriculares relacionados con microcurriculos, contenidos digitales y programas de curso
Contratación profesores ocasionales
Asignación de categoría de salario a profesores 
Expediente digital de los proyectos y convenios</t>
  </si>
  <si>
    <t>La entrega del informe de valoración del proceso de reporte de la cuenta a las plataformas SECOPII y SIA observa e inicio de la implementación de la solución tecnológica basada en una fuerza digital [Robot] que realizará el reporte incrementando la eficiencia y minimizará el incumplimiento de los tiempos establecidos por la ley, a partir del 1 de agosto de 2022. 
Adicionalmente, se avanzó en un 80% de los informes de valoración de los procesos de asignación de categoría y puntaje a profesores, evaluación de profesores y contratación de profesores ocasionales conforme a la priorización definida por el Consejo Académico de la Universidad..</t>
  </si>
  <si>
    <t>Para el 2021 se avanzó en la priorización por parte del Consejo Académico de los procesos académicos y administrativos para su estandarización en la vigencia 2022-2024 así:
 Reporte y visibilización de producción académica
Evaluación profesor de cátedra
Proceso de matrícula y conexos
Gestión de asuntos curriculares relacionados con microcurriculos, contenidos digitales y programas de curso
Contratación profesores ocasionales
Asignación de categoría de salario a profesores 
Expediente digital de los proyectos y convenios.</t>
  </si>
  <si>
    <t>La meta para el 2021 tiene un error, el valor de la meta es 0 y no 2. Se solicita comedidamente se actualice la información de las metas para el trienio asi:
2021: 0
2022: 3
2023:3
2024:1
para continuar la meta de 7 del trienio y  la coherecia con la ejecución del proyecto de innovación de procesos.</t>
  </si>
  <si>
    <t>Aplicación de la encuesta a nivel institucional incluyendo todos los estamentos para realizar una medición del nivel de madurez de transformación digital en la UdeA, en donde los resultados obtenidos son muy positivos frente a los items evaluados de visión de la trasformación digital, inteligencia y automatización. Ver análisis de resultados.</t>
  </si>
  <si>
    <t>A pesar de que la encuesta y el grupo focal se orientaron a todos los estamentos con antelación y comunicación en varios medios institucionales, la proporción de la población encuestada fue muy baja.</t>
  </si>
  <si>
    <t xml:space="preserve">La medición reportada corresponde al trimestre 4 de 2021, ya que de acuerdo a la estrategia planteada las mediciones se realizarán anualmente. Para darle fluidez a los planes de acción derivados de la encuesta aplicada en el semestre 2 de 2021, se incluirá el tema de transformación digital dentro de la iniciativa voces para pensar la Universidad que se realizará en el mes de agosto. </t>
  </si>
  <si>
    <t>Debido a la baja capacidad del equipo de trabajo no se han implementado planes de acción derivados de la encuesta aplicada en el cuarto trimestre de 2021.</t>
  </si>
  <si>
    <t>Aplicación de la encuesta a nivel institucional incluyendo todos los estamentos para realizar una medición de apropiación digital, en donde se pudo validar que todos los estamentos están inmersos dentro de una cultura digital. Ver análisis de resultados</t>
  </si>
  <si>
    <t>En el segundo semestre de 2021 no se  ejecutaron obras nuevas, que aumenten los metros cuadrados de la universidad. Todas las obras de infraestructura se llevaron a cabo en edificios existentes..</t>
  </si>
  <si>
    <t xml:space="preserve"> Durante este periodo se esperaba finalizar algunas obras que se encuentran en ejecución, como es el caso del  BLoque 2 de Aulas en Tulenapa y la Sala de Resonancia magnética. Sin embargo  estas obras han presentado algún tipo de novedad que impidió su finalización dentro del plazo previsto (Quiebra del contratista  y cesión del contrato en el ultimo caso). Se espera que en el primer trimestre de 2022 se finalicen y se pueda dar cumplimiento a la meta estimada. </t>
  </si>
  <si>
    <t>Durante el año 2022, se logró construir 325 m2 como infraestructura nueva para la universidad, entre estos proyectos se encuentra la Casa Malla en Robledo, el laboratorio de Suelos y Larpealli, los biciparqueaderos en la Fac de Odontología y un toldo proyectante en la Facultad de Enfermería. Además están a punto de terminarse importantes obras como Bloque 2 en Tulenapa y la Sala de Resonancia Magnética en la IPS. También se inició la contrucción del nuevo edificio de Salud Pública y B49 de Robledo, los cuales aportarán 25. 000 m2 nuevos a la infraestructura d ela universidad.</t>
  </si>
  <si>
    <t>Como principal dificicultad hemos tenido los incumplimientos en los tiempos de algunas contratistas y el incrmento de los materiales.</t>
  </si>
  <si>
    <t xml:space="preserve">En el presente periodo 2021 -2 se lograron adecuar 5.365 m2, de la  meta planteada, la cual estaba en  7.600 m2,  alcanzando de esta mandera un 83% del objetivo.  Uno d elos proyectos más representativos fue la adecuación de los pisos 2 y 3 d ela biblioteca Carlos Gabiria Díaz y además se logró dar inicio a importantes obras como la Sala de Resonancia Magnética de la Facultad de Medicina y la Sala de Artes Performativas Teresita Gómez. Adicionalmente se logró finalizar la etapa de estudios y diseños para la adecuación del piso 1, 3 y 4 del bloque 10, la etapa tres del proyecto Ambientes de Aprendizaje, el Laboratorio de Farmacognosia, los Laboratorios de Ciencias Exactas y el Laboratorio de Microbiología. Estos iniciarán etapa contractual en enero de 2022. </t>
  </si>
  <si>
    <t xml:space="preserve">La meta total de la bolsa de adecuación para el 2021 era de 7.600 m2, durante este periodo se ejecutaron 5.365 m2, de los cuales, la mayoría se llevaron a cabo en el primer semestre del 2021. Durante este periodo se esperaba finalizar algunas obras que se encuentran en ejecución, como es el caso del Laboratorio de Incocuidad y Calidad de Leches, el Laboratorio LICAFDE, la Sala de artes performativas Bloque 17 y Ambientes de Aprendizaje etapa 2.  Sin embargo todas estas obras han presentado algún tipo de novedad que impidió su finalización dentro del plazo previsto, lo cual no permitíó cumplir con la meta (Quiebra del contratista en los dos primeros casos y  solicitud de prórroga en los dos siguientes). Se espera que en el primer trimestre de 2022 se finalicen y se pueda dar cumplimiento a la meta estimada. </t>
  </si>
  <si>
    <t>En le presente periodo se lograron adecuar 3468 M2 en las diferentes sedes d ela Universidad, cumpliendo la meta del periodo 2022_1, la cual estaba proyectada en 3200 m2. Entre los proyectos adecuados se encuentra   la Sala Performativa Teresita Gómez, Lab BSL3, Lab de Osteología, Auditorio Odontología, oficinas en Andes, Ambientes de Aprendizaje Etapa 2, Lab de Suelos y Larpeali, Restauración Cubierta de Bioquímica, Restauración de las puertas y ventanas del ed. de Biquímica, cajeros eléctrónicos en el B22, entre otros proyectos.</t>
  </si>
  <si>
    <t>306 estudiantes con capacidades diversas participaron en la oferta de Bienestar Universitario, de 267 se tiene registro en SIBU (ver archivo adjunto), los demás participaron en el proyecto Potenciando la diversidad. Fuente: SIBU y proyecto "La diversidad que somos".</t>
  </si>
  <si>
    <t>Esta cifra no incluye los beneficiarios de los procesos de acompañamiento para el proceso de admisión, asi como tampoco los acompañados desde UdeA Diversa de la Vicerrectoría de Docencia, pues en el sentido estricto no son programas y servicios de la Dirección de Bienestar Universitario, aunque por supuesto también están dirigidos hacia la promoción del bienestar y el buen vivir de los estudiantes y su entorno.</t>
  </si>
  <si>
    <t>Según los reportes de inclusión consultados por el SIBU a través del Sistema MARES, en el semestre 2022-1 registraban 745 estudiantes pertenecientes a Grupos Poblacionales de Especial Protección (Según la constitución de 1991) que en este caso incluye estudiantes con algún grado de discapacidad o pertenecientes a población Afrocolombiana, Gitanos, Indígenas, Mulatas, Palenqueros y raizal. De estos, 466 participaron o fueron beneficiarios de las actividades, programas y servicios de la Dirección de Bienestar Universitario.</t>
  </si>
  <si>
    <t xml:space="preserve"> </t>
  </si>
  <si>
    <t>En el último periodo del 2021 no s ejecutaron obras para adaptar la infraestructura de la Universidad a condiciones de accesibilidad universal, sin embargo, actualmente la DIF tiene en diseño varios proyectos en diseño para mejorar las condiciones de accesibilidad, tales como : adecuación de baños de los primeros niveles de ciudad universitaria, cambio de ascensor en el bloque 8, instalación de ascensor y rampas en el edificio San Ignacio, adecuación de baños en el edificio San Ignacio y mejoramiento general de andenes y rampas en espacios públicos.</t>
  </si>
  <si>
    <t>El principal incoveniente para ejecutar estos proyectos es la falta de recursos para algunos proyectos.</t>
  </si>
  <si>
    <t>En abrildel año 2022 se inició el acompañamiento al proyecto "Programa para la accesibilidad física y tecnológica universitaria" con la Facultad de ingeniería. Hasta el momento se ha venido avanzando en conjunto. Desde la División de Infraestructura se está acompañando el Componente 2. Soluciones físico-espacialespara las personas con discapacidad en la Universidad con dos proyectos: Orientaciones para ruta caminera y baños de campus
central y Plan de mantenimiento de adecuaciones urgentes en puntos críticos por riesgo y ausencia de condiciones de accesibilidad.</t>
  </si>
  <si>
    <t>Falta de personal para que se dedique 100% al proyecto y escacez de recuarsos para adecuiones de infraestructura física.</t>
  </si>
  <si>
    <t>En este momento se tiene un programa de pregrado con enfoque de paz radicado en el MEN</t>
  </si>
  <si>
    <t>Falta que el MEN lo apruebe y llegue el registro calificado</t>
  </si>
  <si>
    <t xml:space="preserve">Se creó el pregrado de Pedagogía en Ruralidad y Paz, igualmente se creó el posgrado de Maestría en Conflictos, Paces y Derechos Humanos. Asimismo se cuenta con una línea de investigación (Educación Ciencias Sociales y Humanas) en el Doctorado en Educación, desde la cual se abordan procesos educativos relacionados con la enseñanza de las ciencias sociales, la formación ciudadana y la educación para la paz, tanto en ambientes escolares, en la educación superior y en los de educación social. </t>
  </si>
  <si>
    <t xml:space="preserve">La principal dificultad son los tiempos establecidos por el MEN para contar con el registro calificado de los Programas, como en el caso de la Maestría en Conflicto, Paces y Derechos Humanos de la que contamos con radicado MEN y estamos esperando registro calificado. </t>
  </si>
  <si>
    <t>Logro 1 2022
En relación con los territorios es destacable la articulación de diferentes unidades académicas (Ciencias Agrarias, Nutrición y dietética, Educación Física y Deportes, Artes, Salud Pública, Patologías y Enfermedades tropicales, Ingeniería y Educación) en el acompañamiento a la comunidad de Mandé – Urrao, en los procesos de fortalecimiento comunitario, fundamentalmente en temas de organización social, salud, alimentación, recreación y cultura.</t>
  </si>
  <si>
    <t>Dificultad 1 2022
Nuestra principal dificultad esta representada en la disponibilidad insuficiente de recursos económicos, que nos permitieran tener una presencia con mayor sostenibilidad y periodicidad en los territorios, y a su vez acompañar a otras comunidades que solicitan permanentemente nuestro apoyo y acompañamiento, y que por falta de recursos debemos decirles que no.</t>
  </si>
  <si>
    <t>El principal logro ha sido la participación de la comunidad universitaria de las sedes regionales donde se ha desarrollado la Catedra Abierta Regional sobre el papel de la JEP en la construcción de la paz, lo que ha generado de un lado, el conocimiento de este mecanismo de justicia transicional y propiciado el debate activo al respecto.</t>
  </si>
  <si>
    <t>La principal dificultad ha sido la convocatoria de los públicos en las regiones y la sobre oferta de eventos académicos y culturales en la Universidad</t>
  </si>
  <si>
    <t>Se está avanzando en la consolidadción del programa de una cultura ambientalmente sostenible, la biodiversidad y la salud de la comunidad universitaria en y desde los territorios. Esto se evidencia en los indicadores de Universidades sostenibles  GreenMetric -año 2021, otorgados por la Universidad de Indonesia y el reconocimiento de Corantioquia como una Universidad categoría AAA -año 2021, por sus buenas práctivas ambientales.</t>
  </si>
  <si>
    <t>Poca disponibilidad de recursos y talento humano</t>
  </si>
  <si>
    <t>La asignación de recursos PAI para formulación del proyecto de Sostenibilidad y el Plan de Gestión Ambiental Institucional, se espera reformular y definir la estrategia institucional que articule los componentes económicos, sociales y ambientales y contribuya a implementar buenas prácticas ambientales, hacer uso racional de los recursos  en el marco de los ODS. 
Igualmente se sigue avanzando en la consolidación de buenas prácticas ambientales y los indicadores de sostenibilidad ambiental del Green Metric -año 2022.</t>
  </si>
  <si>
    <t>La la contratación del personal por prestación de servicios implica trámites internos que demandan tiempo y afectado la ejecución de los Proyectos.  Para la contratación del personal y luego para el proceso de contratación  se han debido hacer varias consuntas administrativas, por disponibilidad de recursos. Lo anterior, implica que los proyectos se retrasen.</t>
  </si>
  <si>
    <t>Con las  iniciativas ambientales se va consolidando la  Universidad de Antioquia como una Universidad Sostenible Ambiental, económica y social, fomentando así una cultura ambientalmente sostenible. Listado de iniciativas:      1. Proyecto Gestión Integral de Residuos Orgánicos, etapa 2
En firma de acta de inicio entre dependencias.
2. Proyecto Formulación de la estrategia institucional de sostenibilidad unificada que integre los ejes misionales en el marco del desarrollo sostenible y los ODS.
En proceso de inicio. 
3.Indicadores de Green Metric, año 2021</t>
  </si>
  <si>
    <t>La pandemia originada por el COVID aplazó la formulación y ejecución de proyectos ambientales (iniciativas ambientales).</t>
  </si>
  <si>
    <t>En el año 2022 se sigue avanzando con las siguientes iniciativas ambientales:
1. Gestión Integral de Residuos Orgánicos, GIRO 2
2. Proyecto Ecosanitario de palomas, etapa 3
3. Plan Universitario de Movilidad Amigable, etapa 2
4. Inidicadores de Sostenibilidad Green Metric, año 2022</t>
  </si>
  <si>
    <t>Retrazos en la contración del personal que va a formular las iniciativas, debido principalmente por los trámites que se debieron surtir por la Ley de garantias</t>
  </si>
  <si>
    <t>Mayor cantidad de agentes culturales realizando reporte en el sistema de información institucional PORTAFOLIO
Aumento de la visibilidad de los eventos culturales en el sistema de información institucional PORTAFOLIO
Reconocimiento de los agentes culturales responsables del reporte en el sistema de información institucional PORTAFOLIO desde el eje de extensión</t>
  </si>
  <si>
    <t>Errores en los reportes el sistema de información institucional PORTAFOLIO, ya sea por su ausencia o por su mala categorización
Falta de valoración del reporte en el sistema de información institucional PORTAFOLIO como un proceso efectivo para la divulgación y toma de decisiones
Dificultades para la cuantificación, ordenación y análisis de datos virtuales, debido a la ausencia de criterios unificados para el entendimiento de las métricas virtuales y el relacionamiento que existe con la Dirección de Comunicaciones
Limitación en el reconocimiento de actividades culturales de tipo académico y de educación continua</t>
  </si>
  <si>
    <t xml:space="preserve">Ejecución de la oferta cultural universitaria en medio de la restricción presupuestal
Vinculación de  7 dependencias a los reportes en PORTAFOLIO, sobre eventos culturales la Facultad de Ciencias Farmacéuticas, Corporación de Patologías y Corporación ambiental, Escuela de Bibliotecología, Facultad de Ciencias Exactas y Naturales, Escuela de Microbiología y Facultad de Enfermería.
</t>
  </si>
  <si>
    <t>Ejecución de la oferta cultural universitaria con una gran restricción presupuestal
Pese a que se han vinculado más dependencias el subregistro en la mayoría de las dependencias es muy alto, por lo que los reportes son parciales.
Falta de vinculación entre el sistema de información SIBU y PORTAFOLIO, con el fin de que los análisis sean globales sin la necesidad de discriminar por enfoques. Dicha articulación permitiría un mejor reporte y consolidación de datos en PORT.</t>
  </si>
  <si>
    <t>Uso de diversos formatos presenciales y virtuales para la oferta cultural universitaria a la que tienen acceso los públicos</t>
  </si>
  <si>
    <t>Dificultades para la cuantificación, ordenación y análisis de datos virtuales, debido a la ausencia de criterios unificados para el entendimiento de las métricas virtuales.
Dificultad para acceder y consolidar la información virtual de las métricas de participantes, la consolidación de dichos datos requiere la participación de la Dirección de Comunicaciones de manera oportuna.
Ausencia de actualización de datos al regreso de cada año, considerando que muchas actividades que se realizan en diciembre no son reportadas en estas cifras, considerando que no se han realizado.
Las ausencias en el registro sobre el dato de participantes en el sistema de información institucional PORTAFOLIO por parte de las dependencias académicas y administrativas</t>
  </si>
  <si>
    <t>Aumento progresivo del alcance de la oferta cultural universitaria en la comunidad, en relación con los años anteriores a la pandemia
**Este dato hace referencia a todos los eventos culturales de la Universidad reportados en PORTAFOLIO en el eje de extensión</t>
  </si>
  <si>
    <t>Este indicador se planteó en la coyuntura de la emergencia sanitaria, con una transformación casi total de los contenidos a lo virtual, y con la expectativa de que, una vez se reanudarán las actividades presenciales, la Universidad mantuviera la gestión de actividades culturales en ambos formatos con igual volumen. Por tanto, el indicador consideró tanto participantes sincrónicos,  presenciales o conectados en vivo al evento (a través de cada coordinador de evento en el sistema Portafolio), como participantes asincrónicos a través del número de reproducciones de los videos de los eventos en plataformas digitales y redes sociales. Estos contenidos permanecen circulando en el medio digital de manera indefinida, aunque con cortes de medición de máximo dos meses por parte de la Dirección de Comunicaciones, que es quien consolida el dato. No obstante, una vez se regresó a la presencialidad, la gestión de eventos mediante esta convergencia de formatos no continuó con el mismo volumen, no fue permanente. En vista de este cambio, el acopio de información para el indicador se ha limitado a los participantes presenciales y los en vivo según se reportan en el sistema Portafolio por cada coordinador de evento. Adicionalmente, se debe considerar que hay un subregistro de participantes en el sistema, pues muchos coordinadores no reportan este dato, pese a que desde la División de Cultura y Patrimonio se ha hecho el seguimiento y se han enviado las alertas necesarias. Se solicita acompañamiento para replantear las metas del indicador, de modo que dé cuenta de la dinámica real que se está presentando.</t>
  </si>
  <si>
    <t>Dirección de Planeación</t>
  </si>
  <si>
    <t>Indicadores_PAI_PLAN+_Dirección_Jurídica.xlsm</t>
  </si>
  <si>
    <t>Indicadores_PAI_PLAN+_Vicerrectoria_Investigacion.xlsm</t>
  </si>
  <si>
    <t>Indicadores_PAI_PLAN+_Dirección_Relaciones_Internacionales.xlsm</t>
  </si>
  <si>
    <t>Indicadores_PAI_PLAN+_Vicerrectoria_Docencia.xlsm</t>
  </si>
  <si>
    <t>Indicadores_PAI_PLAN+_Vicerrectoria_Administrativa.xlsm</t>
  </si>
  <si>
    <t>Indicadores_PAI_PLAN+_Dirección_Planeación.xlsm</t>
  </si>
  <si>
    <t>Indicadores_PAI_PLAN+_Dirección_Bienestar_Universitario.xlsm</t>
  </si>
  <si>
    <t>Indicadores_PAI_PLAN+_Vicerrectoria_Extension.xlsm</t>
  </si>
  <si>
    <t>Indicadores_PAI_PLAN+_Vicerrectoria_General.xlsm</t>
  </si>
  <si>
    <t>Indicadores_PAI_PLAN+_Secretaría_General.xlsm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</si>
</sst>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b/>
      <sz val="10"/>
      <color theme="0"/>
      <name val="Calibri"/>
      <family val="2"/>
      <scheme val="minor"/>
    </font>
    <font>
      <b/>
      <sz val="20"/>
      <color theme="0"/>
      <name val="Calibri"/>
      <family val="2"/>
      <scheme val="minor"/>
    </font>
    <font>
      <b/>
      <sz val="16"/>
      <color theme="0"/>
      <name val="Calibri"/>
      <family val="2"/>
      <scheme val="minor"/>
    </font>
    <font>
      <b/>
      <sz val="16"/>
      <name val="Calibri"/>
      <family val="2"/>
      <scheme val="minor"/>
    </font>
    <font>
      <b/>
      <sz val="11"/>
      <name val="Calibri"/>
      <family val="2"/>
      <scheme val="minor"/>
    </font>
    <font>
      <sz val="11"/>
      <color theme="0"/>
      <name val="Calibri"/>
      <family val="2"/>
      <scheme val="minor"/>
    </font>
    <font>
      <sz val="11"/>
      <color theme="1"/>
      <name val="Calibri"/>
      <family val="2"/>
      <scheme val="minor"/>
    </font>
    <font>
      <sz val="11"/>
      <color theme="1"/>
      <name val="Calibri"/>
      <family val="2"/>
      <scheme val="minor"/>
    </font>
  </fonts>
  <fills count="16">
    <fill>
      <patternFill patternType="none"/>
    </fill>
    <fill>
      <patternFill patternType="gray125"/>
    </fill>
    <fill>
      <patternFill patternType="solid">
        <fgColor theme="1"/>
        <bgColor indexed="64"/>
      </patternFill>
    </fill>
    <fill>
      <patternFill patternType="solid">
        <fgColor theme="9" tint="-0.499984740745262"/>
        <bgColor indexed="64"/>
      </patternFill>
    </fill>
    <fill>
      <patternFill patternType="solid">
        <fgColor theme="7" tint="-0.499984740745262"/>
        <bgColor indexed="64"/>
      </patternFill>
    </fill>
    <fill>
      <patternFill patternType="solid">
        <fgColor theme="8" tint="-0.499984740745262"/>
        <bgColor indexed="64"/>
      </patternFill>
    </fill>
    <fill>
      <patternFill patternType="solid">
        <fgColor rgb="FF00B050"/>
        <bgColor indexed="64"/>
      </patternFill>
    </fill>
    <fill>
      <patternFill patternType="solid">
        <fgColor rgb="FF92D050"/>
        <bgColor indexed="64"/>
      </patternFill>
    </fill>
    <fill>
      <patternFill patternType="solid">
        <fgColor rgb="FFFF0000"/>
        <bgColor indexed="64"/>
      </patternFill>
    </fill>
    <fill>
      <patternFill patternType="solid">
        <fgColor theme="9" tint="-0.249977111117893"/>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8" tint="-0.249977111117893"/>
        <bgColor indexed="64"/>
      </patternFill>
    </fill>
    <fill>
      <patternFill patternType="solid">
        <fgColor theme="9" tint="0.59999389629810485"/>
        <bgColor indexed="64"/>
      </patternFill>
    </fill>
    <fill>
      <patternFill patternType="solid">
        <fgColor rgb="FF00B0F0"/>
        <bgColor indexed="64"/>
      </patternFill>
    </fill>
    <fill>
      <patternFill patternType="solid">
        <fgColor theme="9"/>
        <bgColor indexed="64"/>
      </patternFill>
    </fill>
  </fills>
  <borders count="7">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theme="1" tint="0.499984740745262"/>
      </left>
      <right style="thin">
        <color theme="1" tint="0.499984740745262"/>
      </right>
      <top style="thin">
        <color theme="1" tint="0.499984740745262"/>
      </top>
      <bottom style="thin">
        <color theme="1" tint="0.499984740745262"/>
      </bottom>
      <diagonal/>
    </border>
  </borders>
  <cellStyleXfs count="6">
    <xf numFmtId="0" fontId="0" fillId="0" borderId="0"/>
    <xf numFmtId="9" fontId="1" fillId="0" borderId="0" applyFont="0" applyFill="0" applyBorder="0" applyAlignment="0" applyProtection="0"/>
    <xf numFmtId="0" fontId="1" fillId="0" borderId="0"/>
    <xf numFmtId="0" fontId="1" fillId="0" borderId="0"/>
    <xf numFmtId="0" fontId="10" fillId="0" borderId="0"/>
    <xf numFmtId="0" fontId="11" fillId="0" borderId="0"/>
  </cellStyleXfs>
  <cellXfs count="74">
    <xf numFmtId="0" fontId="0" fillId="0" borderId="0" xfId="0"/>
    <xf numFmtId="0" fontId="6" fillId="2" borderId="0" xfId="0" applyFont="1" applyFill="1" applyAlignment="1">
      <alignment vertical="center"/>
    </xf>
    <xf numFmtId="0" fontId="3" fillId="0" borderId="0" xfId="0" applyFont="1"/>
    <xf numFmtId="0" fontId="3" fillId="6" borderId="2" xfId="0" applyFont="1" applyFill="1" applyBorder="1" applyAlignment="1">
      <alignment horizontal="center" vertical="center" wrapText="1"/>
    </xf>
    <xf numFmtId="0" fontId="2" fillId="9" borderId="2" xfId="0" applyFont="1" applyFill="1" applyBorder="1" applyAlignment="1">
      <alignment horizontal="center" vertical="center" wrapText="1"/>
    </xf>
    <xf numFmtId="0" fontId="3" fillId="10" borderId="2" xfId="0" applyFont="1" applyFill="1" applyBorder="1" applyAlignment="1">
      <alignment horizontal="center" vertical="center" wrapText="1"/>
    </xf>
    <xf numFmtId="0" fontId="8" fillId="11" borderId="2" xfId="0" applyFont="1" applyFill="1" applyBorder="1" applyAlignment="1">
      <alignment horizontal="center" vertical="center" wrapText="1"/>
    </xf>
    <xf numFmtId="0" fontId="3" fillId="6" borderId="3" xfId="0" applyFont="1" applyFill="1" applyBorder="1" applyAlignment="1">
      <alignment horizontal="center" vertical="center" wrapText="1"/>
    </xf>
    <xf numFmtId="0" fontId="3" fillId="7" borderId="2" xfId="0" applyFont="1" applyFill="1" applyBorder="1" applyAlignment="1">
      <alignment horizontal="center" vertical="center" wrapText="1"/>
    </xf>
    <xf numFmtId="0" fontId="3" fillId="7" borderId="3" xfId="0" applyFont="1" applyFill="1" applyBorder="1" applyAlignment="1">
      <alignment horizontal="center" vertical="center" wrapText="1"/>
    </xf>
    <xf numFmtId="0" fontId="2" fillId="2" borderId="3" xfId="0" applyFont="1" applyFill="1" applyBorder="1" applyAlignment="1">
      <alignment horizontal="center" vertical="center" wrapText="1"/>
    </xf>
    <xf numFmtId="0" fontId="0" fillId="0" borderId="0" xfId="0" applyAlignment="1">
      <alignment horizontal="center" wrapText="1"/>
    </xf>
    <xf numFmtId="14" fontId="0" fillId="0" borderId="2" xfId="0" applyNumberFormat="1" applyBorder="1" applyAlignment="1">
      <alignment horizontal="center" vertical="top"/>
    </xf>
    <xf numFmtId="0" fontId="0" fillId="0" borderId="2" xfId="0" applyBorder="1" applyAlignment="1">
      <alignment horizontal="center" vertical="top"/>
    </xf>
    <xf numFmtId="0" fontId="0" fillId="0" borderId="0" xfId="0" applyAlignment="1">
      <alignment horizontal="left"/>
    </xf>
    <xf numFmtId="0" fontId="0" fillId="0" borderId="0" xfId="0" applyAlignment="1">
      <alignment horizontal="right"/>
    </xf>
    <xf numFmtId="0" fontId="0" fillId="0" borderId="6" xfId="0" applyBorder="1"/>
    <xf numFmtId="0" fontId="3" fillId="14" borderId="0" xfId="0" applyFont="1" applyFill="1" applyAlignment="1">
      <alignment horizontal="center" vertical="center"/>
    </xf>
    <xf numFmtId="14" fontId="0" fillId="0" borderId="0" xfId="0" applyNumberFormat="1"/>
    <xf numFmtId="0" fontId="2" fillId="8" borderId="2" xfId="0" applyFont="1" applyFill="1" applyBorder="1" applyAlignment="1">
      <alignment horizontal="center" vertical="center"/>
    </xf>
    <xf numFmtId="0" fontId="3" fillId="10" borderId="3" xfId="0" applyFont="1" applyFill="1" applyBorder="1" applyAlignment="1">
      <alignment horizontal="center" vertical="center" wrapText="1"/>
    </xf>
    <xf numFmtId="0" fontId="2" fillId="12" borderId="4" xfId="0" applyFont="1" applyFill="1" applyBorder="1" applyAlignment="1">
      <alignment horizontal="center" vertical="center" wrapText="1"/>
    </xf>
    <xf numFmtId="14" fontId="3" fillId="6" borderId="3" xfId="0" applyNumberFormat="1" applyFont="1" applyFill="1" applyBorder="1" applyAlignment="1">
      <alignment horizontal="center" vertical="center" wrapText="1"/>
    </xf>
    <xf numFmtId="14" fontId="3" fillId="7" borderId="3" xfId="0" applyNumberFormat="1" applyFont="1" applyFill="1" applyBorder="1" applyAlignment="1">
      <alignment horizontal="center" vertical="center" wrapText="1"/>
    </xf>
    <xf numFmtId="1" fontId="0" fillId="13" borderId="2" xfId="0" applyNumberFormat="1" applyFill="1" applyBorder="1" applyAlignment="1">
      <alignment horizontal="center" vertical="center"/>
    </xf>
    <xf numFmtId="0" fontId="0" fillId="13" borderId="2" xfId="0" applyFill="1" applyBorder="1" applyAlignment="1">
      <alignment horizontal="center" vertical="center"/>
    </xf>
    <xf numFmtId="0" fontId="0" fillId="13" borderId="2" xfId="0" applyFill="1" applyBorder="1" applyAlignment="1">
      <alignment horizontal="left" vertical="center"/>
    </xf>
    <xf numFmtId="1" fontId="0" fillId="0" borderId="2" xfId="0" applyNumberFormat="1" applyBorder="1" applyAlignment="1">
      <alignment horizontal="left" vertical="center"/>
    </xf>
    <xf numFmtId="0" fontId="0" fillId="0" borderId="2" xfId="0" applyBorder="1" applyAlignment="1">
      <alignment horizontal="center" vertical="center"/>
    </xf>
    <xf numFmtId="1" fontId="0" fillId="0" borderId="2" xfId="0" applyNumberFormat="1" applyBorder="1" applyAlignment="1">
      <alignment horizontal="center" vertical="center"/>
    </xf>
    <xf numFmtId="1" fontId="0" fillId="0" borderId="2" xfId="0" applyNumberFormat="1" applyBorder="1" applyAlignment="1">
      <alignment horizontal="center" vertical="top" wrapText="1"/>
    </xf>
    <xf numFmtId="1" fontId="0" fillId="0" borderId="2" xfId="1" applyNumberFormat="1" applyFont="1" applyBorder="1" applyAlignment="1">
      <alignment horizontal="center" vertical="center"/>
    </xf>
    <xf numFmtId="3" fontId="0" fillId="0" borderId="2" xfId="1" applyNumberFormat="1" applyFont="1" applyBorder="1" applyAlignment="1">
      <alignment horizontal="center" vertical="center"/>
    </xf>
    <xf numFmtId="0" fontId="0" fillId="0" borderId="2" xfId="0" applyBorder="1" applyAlignment="1">
      <alignment horizontal="left" vertical="center"/>
    </xf>
    <xf numFmtId="0" fontId="0" fillId="0" borderId="2" xfId="0" applyBorder="1" applyAlignment="1">
      <alignment horizontal="center" vertical="center" wrapText="1"/>
    </xf>
    <xf numFmtId="9" fontId="0" fillId="0" borderId="2" xfId="1" applyFont="1" applyBorder="1" applyAlignment="1">
      <alignment horizontal="center" vertical="center"/>
    </xf>
    <xf numFmtId="0" fontId="0" fillId="0" borderId="2" xfId="1" applyNumberFormat="1" applyFont="1" applyBorder="1" applyAlignment="1">
      <alignment horizontal="center" vertical="center"/>
    </xf>
    <xf numFmtId="0" fontId="9" fillId="2" borderId="6" xfId="0" applyFont="1" applyFill="1" applyBorder="1" applyAlignment="1">
      <alignment vertical="center"/>
    </xf>
    <xf numFmtId="0" fontId="0" fillId="0" borderId="0" xfId="0" applyAlignment="1">
      <alignment vertical="center"/>
    </xf>
    <xf numFmtId="0" fontId="0" fillId="0" borderId="6" xfId="0" applyBorder="1" applyAlignment="1">
      <alignment horizontal="left"/>
    </xf>
    <xf numFmtId="0" fontId="0" fillId="0" borderId="0" xfId="0" applyAlignment="1">
      <alignment wrapText="1"/>
    </xf>
    <xf numFmtId="0" fontId="0" fillId="0" borderId="0" xfId="0" applyAlignment="1">
      <alignment horizontal="center" vertical="center" wrapText="1"/>
    </xf>
    <xf numFmtId="0" fontId="3" fillId="10" borderId="6" xfId="0" applyFont="1" applyFill="1" applyBorder="1" applyAlignment="1">
      <alignment horizontal="center" vertical="center" wrapText="1"/>
    </xf>
    <xf numFmtId="0" fontId="0" fillId="0" borderId="6" xfId="0" applyBorder="1" applyAlignment="1">
      <alignment horizontal="center" vertical="center" wrapText="1"/>
    </xf>
    <xf numFmtId="0" fontId="3" fillId="15" borderId="6" xfId="0" applyFont="1" applyFill="1" applyBorder="1" applyAlignment="1">
      <alignment horizontal="center" vertical="center" wrapText="1"/>
    </xf>
    <xf numFmtId="1" fontId="0" fillId="0" borderId="6" xfId="0" applyNumberFormat="1" applyBorder="1" applyAlignment="1">
      <alignment horizontal="center" vertical="center" wrapText="1"/>
    </xf>
    <xf numFmtId="9" fontId="0" fillId="0" borderId="6" xfId="1" applyFont="1" applyBorder="1" applyAlignment="1">
      <alignment horizontal="center" vertical="center" wrapText="1"/>
    </xf>
    <xf numFmtId="3" fontId="0" fillId="0" borderId="6" xfId="0" applyNumberFormat="1" applyBorder="1" applyAlignment="1">
      <alignment horizontal="center" vertical="center" wrapText="1"/>
    </xf>
    <xf numFmtId="9" fontId="0" fillId="0" borderId="6" xfId="0" applyNumberFormat="1" applyBorder="1" applyAlignment="1">
      <alignment horizontal="center" vertical="center" wrapText="1"/>
    </xf>
    <xf numFmtId="0" fontId="0" fillId="0" borderId="6" xfId="0" applyBorder="1" applyAlignment="1">
      <alignment horizontal="center" vertical="top" wrapText="1"/>
    </xf>
    <xf numFmtId="49" fontId="3" fillId="10" borderId="6" xfId="0" applyNumberFormat="1" applyFont="1" applyFill="1" applyBorder="1" applyAlignment="1">
      <alignment horizontal="center" vertical="center" wrapText="1"/>
    </xf>
    <xf numFmtId="0" fontId="0" fillId="0" borderId="6" xfId="0" applyBorder="1" applyAlignment="1">
      <alignment horizontal="center" vertical="center" shrinkToFit="1"/>
    </xf>
    <xf numFmtId="0" fontId="0" fillId="0" borderId="6" xfId="1" applyNumberFormat="1" applyFont="1" applyBorder="1" applyAlignment="1">
      <alignment horizontal="left" vertical="top" wrapText="1" shrinkToFit="1"/>
    </xf>
    <xf numFmtId="2" fontId="0" fillId="0" borderId="6" xfId="1" applyNumberFormat="1" applyFont="1" applyBorder="1" applyAlignment="1">
      <alignment horizontal="left" vertical="top" wrapText="1" shrinkToFit="1"/>
    </xf>
    <xf numFmtId="0" fontId="0" fillId="0" borderId="6" xfId="0" applyBorder="1" applyAlignment="1">
      <alignment horizontal="left" vertical="top" wrapText="1" shrinkToFit="1"/>
    </xf>
    <xf numFmtId="2" fontId="0" fillId="0" borderId="6" xfId="0" applyNumberFormat="1" applyBorder="1" applyAlignment="1">
      <alignment horizontal="left" vertical="top" wrapText="1" shrinkToFit="1"/>
    </xf>
    <xf numFmtId="0" fontId="0" fillId="0" borderId="6" xfId="0" applyBorder="1" applyAlignment="1">
      <alignment horizontal="left" vertical="top" wrapText="1"/>
    </xf>
    <xf numFmtId="3" fontId="0" fillId="0" borderId="6" xfId="0" applyNumberFormat="1" applyBorder="1" applyAlignment="1">
      <alignment horizontal="left" vertical="top" wrapText="1" shrinkToFit="1"/>
    </xf>
    <xf numFmtId="0" fontId="9" fillId="2" borderId="0" xfId="0" applyFont="1" applyFill="1" applyAlignment="1">
      <alignment horizontal="center"/>
    </xf>
    <xf numFmtId="0" fontId="4" fillId="2" borderId="0" xfId="0" applyFont="1" applyFill="1" applyAlignment="1">
      <alignment horizontal="center" vertical="center" wrapText="1"/>
    </xf>
    <xf numFmtId="0" fontId="4" fillId="2" borderId="1" xfId="0" applyFont="1" applyFill="1" applyBorder="1" applyAlignment="1">
      <alignment horizontal="center" vertical="center" wrapText="1"/>
    </xf>
    <xf numFmtId="0" fontId="5" fillId="3" borderId="0" xfId="0" applyFont="1" applyFill="1" applyAlignment="1">
      <alignment horizontal="center" vertical="center"/>
    </xf>
    <xf numFmtId="0" fontId="5" fillId="3" borderId="1" xfId="0" applyFont="1" applyFill="1" applyBorder="1" applyAlignment="1">
      <alignment horizontal="center" vertical="center"/>
    </xf>
    <xf numFmtId="0" fontId="5" fillId="2" borderId="0" xfId="0" applyFont="1" applyFill="1" applyAlignment="1">
      <alignment horizontal="center" vertical="center"/>
    </xf>
    <xf numFmtId="0" fontId="5" fillId="2" borderId="1" xfId="0" applyFont="1" applyFill="1" applyBorder="1" applyAlignment="1">
      <alignment horizontal="center" vertical="center"/>
    </xf>
    <xf numFmtId="0" fontId="6" fillId="4" borderId="1" xfId="0" applyFont="1" applyFill="1" applyBorder="1" applyAlignment="1">
      <alignment horizontal="center" vertical="center"/>
    </xf>
    <xf numFmtId="0" fontId="6" fillId="5" borderId="0" xfId="0" applyFont="1" applyFill="1" applyAlignment="1">
      <alignment horizontal="center" vertical="center" wrapText="1"/>
    </xf>
    <xf numFmtId="0" fontId="7" fillId="7" borderId="0" xfId="0" applyFont="1" applyFill="1" applyAlignment="1">
      <alignment horizontal="center" vertical="center"/>
    </xf>
    <xf numFmtId="0" fontId="2" fillId="8" borderId="2" xfId="0" applyFont="1" applyFill="1" applyBorder="1" applyAlignment="1">
      <alignment horizontal="center" vertical="center"/>
    </xf>
    <xf numFmtId="0" fontId="2" fillId="8" borderId="3" xfId="0" applyFont="1" applyFill="1" applyBorder="1" applyAlignment="1">
      <alignment horizontal="center" vertical="center"/>
    </xf>
    <xf numFmtId="0" fontId="2" fillId="8" borderId="4" xfId="0" applyFont="1" applyFill="1" applyBorder="1" applyAlignment="1">
      <alignment horizontal="center" vertical="center"/>
    </xf>
    <xf numFmtId="0" fontId="2" fillId="8" borderId="5" xfId="0" applyFont="1" applyFill="1" applyBorder="1" applyAlignment="1">
      <alignment horizontal="center" vertical="center"/>
    </xf>
    <xf numFmtId="0" fontId="2" fillId="8" borderId="1" xfId="0" applyFont="1" applyFill="1" applyBorder="1" applyAlignment="1">
      <alignment horizontal="center" vertical="center"/>
    </xf>
    <xf numFmtId="0" fontId="7" fillId="6" borderId="0" xfId="0" applyFont="1" applyFill="1" applyAlignment="1">
      <alignment horizontal="center" vertical="center"/>
    </xf>
  </cellXfs>
  <cellStyles count="6">
    <cellStyle name="Normal" xfId="0" builtinId="0"/>
    <cellStyle name="Normal 2" xfId="3" xr:uid="{00000000-0005-0000-0000-000001000000}"/>
    <cellStyle name="Normal 3" xfId="2" xr:uid="{00000000-0005-0000-0000-000002000000}"/>
    <cellStyle name="Normal 4" xfId="4" xr:uid="{00000000-0005-0000-0000-000003000000}"/>
    <cellStyle name="Normal 5" xfId="5" xr:uid="{00000000-0005-0000-0000-000004000000}"/>
    <cellStyle name="Porcentaje" xfId="1" builtinId="5"/>
  </cellStyles>
  <dxfs count="12">
    <dxf>
      <fill>
        <patternFill>
          <bgColor rgb="FFFFFF00"/>
        </patternFill>
      </fill>
    </dxf>
    <dxf>
      <font>
        <color rgb="FFFF0000"/>
      </font>
      <fill>
        <patternFill>
          <bgColor theme="0"/>
        </patternFill>
      </fill>
    </dxf>
    <dxf>
      <fill>
        <patternFill>
          <bgColor rgb="FF00B050"/>
        </patternFill>
      </fill>
    </dxf>
    <dxf>
      <font>
        <color rgb="FFFF0000"/>
      </font>
      <fill>
        <patternFill>
          <bgColor theme="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G:\Unidades%20compartidas\SEGUIMIENTO%20PLANES%20ESTRAT&#201;GICOS%20UDEA\RESPALDOS\0_Respaldo_Seguimientos_PAI\BASE%20DE%20DATOS\Base_Datos_PAI_Indicadores_21nov202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gramas_PAI"/>
      <sheetName val="Dependencias"/>
      <sheetName val="Resultados"/>
      <sheetName val="Documentos_Indicadores_PAI"/>
      <sheetName val="Proyectos_PAI"/>
      <sheetName val="Indicadores_PAI"/>
      <sheetName val="Reporte_Indicadores_PAI"/>
      <sheetName val="Cualit_Indi_PAI"/>
      <sheetName val="Avance_Dependencia"/>
    </sheetNames>
    <sheetDataSet>
      <sheetData sheetId="0" refreshError="1"/>
      <sheetData sheetId="1" refreshError="1"/>
      <sheetData sheetId="2" refreshError="1"/>
      <sheetData sheetId="3" refreshError="1"/>
      <sheetData sheetId="4" refreshError="1"/>
      <sheetData sheetId="5" refreshError="1">
        <row r="2">
          <cell r="A2">
            <v>1</v>
          </cell>
          <cell r="B2" t="str">
            <v>Número de cursos de pregrado que integren o combinen  asignaturas en distintas modalidades</v>
          </cell>
        </row>
        <row r="3">
          <cell r="A3">
            <v>2</v>
          </cell>
          <cell r="B3" t="str">
            <v>Número de programas de pregrado que estén en armonización curricular</v>
          </cell>
        </row>
        <row r="4">
          <cell r="A4">
            <v>3</v>
          </cell>
          <cell r="B4" t="str">
            <v>Número de estrategias didácticas innovadoras aplicadas en los programas de pregrado y posgrado en correspondencia con los cambios en los entornos de aprendizaje</v>
          </cell>
        </row>
        <row r="5">
          <cell r="A5">
            <v>4</v>
          </cell>
          <cell r="B5" t="str">
            <v>Número de integrantes de la comunidad universitaria participando en la nueva plataforma de fortalecimiento de capacidades en internacionalización, interculturalidad y ciudadanía global</v>
          </cell>
        </row>
        <row r="6">
          <cell r="A6">
            <v>5</v>
          </cell>
          <cell r="B6" t="str">
            <v>Número de aliados estratégicos internacionales con los que se realizan actividades de cooperación científica, docente y de extensión por año.</v>
          </cell>
        </row>
        <row r="7">
          <cell r="A7">
            <v>6</v>
          </cell>
          <cell r="B7" t="str">
            <v>Número de participantes en los cursos ofertados en el marco de formación complementaria, deportiva, cultural  y de Bienestar</v>
          </cell>
        </row>
        <row r="8">
          <cell r="A8">
            <v>7</v>
          </cell>
          <cell r="B8" t="str">
            <v>Cantidad de publicaciones en bases de datos</v>
          </cell>
        </row>
        <row r="9">
          <cell r="A9">
            <v>8</v>
          </cell>
          <cell r="B9" t="str">
            <v>Número de participaciones de los estudiantes en actividades y estrategias que permiten fortalecer la formación en investigación</v>
          </cell>
        </row>
        <row r="10">
          <cell r="A10">
            <v>9</v>
          </cell>
          <cell r="B10" t="str">
            <v>Número de emprendimientos  beneficiados de los nuevos  programas institucionales  para el fortalecimiento empresarial</v>
          </cell>
        </row>
        <row r="11">
          <cell r="A11">
            <v>10</v>
          </cell>
          <cell r="B11" t="str">
            <v>Número de proyectos, convenios y contratos en actividades de ciencia, tecnología, innovación y emprendimiento entre Universidad - Empresa - Estado - Sociedad</v>
          </cell>
        </row>
        <row r="12">
          <cell r="A12">
            <v>11</v>
          </cell>
          <cell r="B12" t="str">
            <v>Número proyectos de innovación social</v>
          </cell>
        </row>
        <row r="13">
          <cell r="A13">
            <v>12</v>
          </cell>
          <cell r="B13" t="str">
            <v>Número de citaciones de Google Scholar por año que recibe la UdeA</v>
          </cell>
        </row>
        <row r="14">
          <cell r="A14">
            <v>13</v>
          </cell>
          <cell r="B14" t="str">
            <v>Número de estudiantes beneficiarios de los programas y servicios orientados a promover la permanencia estudiantil</v>
          </cell>
        </row>
        <row r="15">
          <cell r="A15">
            <v>14</v>
          </cell>
          <cell r="B15" t="str">
            <v>Tasa de deserción por semestre</v>
          </cell>
        </row>
        <row r="16">
          <cell r="A16">
            <v>15</v>
          </cell>
          <cell r="B16" t="str">
            <v>Número de participantes en actividades desarrolladas para promover  el buen vivir en la comunidad universitaria</v>
          </cell>
        </row>
        <row r="17">
          <cell r="A17">
            <v>16</v>
          </cell>
          <cell r="B17" t="str">
            <v>Porcentaje de profesores que realizan procesos formativos y de cualificación docente ofertados por la Universidad</v>
          </cell>
        </row>
        <row r="18">
          <cell r="A18">
            <v>17</v>
          </cell>
          <cell r="B18" t="str">
            <v>Porcentaje de implementación de teletrabajo</v>
          </cell>
        </row>
        <row r="19">
          <cell r="A19">
            <v>18</v>
          </cell>
          <cell r="B19" t="str">
            <v>Porcentaje planificación y retroalimentación de la labor</v>
          </cell>
        </row>
        <row r="20">
          <cell r="A20">
            <v>19</v>
          </cell>
          <cell r="B20" t="str">
            <v>Número de nuevos empleados vinculados en carrera administrativa por concurso público</v>
          </cell>
        </row>
        <row r="21">
          <cell r="A21">
            <v>20</v>
          </cell>
          <cell r="B21" t="str">
            <v>Número de plazas docentes de tiempo completos equivalentes ocupadas</v>
          </cell>
        </row>
        <row r="22">
          <cell r="A22">
            <v>21</v>
          </cell>
          <cell r="B22" t="str">
            <v>Número de plazas docentes de tiempo completos equivalentes creadas</v>
          </cell>
        </row>
        <row r="23">
          <cell r="A23">
            <v>22</v>
          </cell>
          <cell r="B23" t="str">
            <v>Número de temas de interés institucional priorizados que se actualizan desde lo normativo</v>
          </cell>
        </row>
        <row r="24">
          <cell r="A24">
            <v>23</v>
          </cell>
          <cell r="B24" t="str">
            <v xml:space="preserve">Talleres de apoyo para la deliberación y proyección de la reforma de regulaciones específicas, priorizados por la Dirección Jurídica </v>
          </cell>
        </row>
        <row r="25">
          <cell r="A25">
            <v>24</v>
          </cell>
          <cell r="B25" t="str">
            <v>Eventos de formación y divulgación sobre temas   de gobierno, democracia, participación, ciudadanía y covivencia para la comunidad universitaria</v>
          </cell>
        </row>
        <row r="26">
          <cell r="A26">
            <v>25</v>
          </cell>
          <cell r="B26" t="str">
            <v>Participación de la comunidad universitaria en los procesos de elección y consulta para la designación de autoridades y de representantes en órganos de decisión universitarios</v>
          </cell>
        </row>
        <row r="27">
          <cell r="A27">
            <v>26</v>
          </cell>
          <cell r="B27" t="str">
            <v>Nivel de optimización de recursos en los nuevos procesos académicos o administrativos intervenidos</v>
          </cell>
        </row>
        <row r="28">
          <cell r="A28">
            <v>27</v>
          </cell>
          <cell r="B28" t="str">
            <v>Número de procesos académicos y administrativos prioritarios estandarizados</v>
          </cell>
        </row>
        <row r="29">
          <cell r="A29">
            <v>28</v>
          </cell>
          <cell r="B29" t="str">
            <v>Índice de madurez de la transformación digital</v>
          </cell>
        </row>
        <row r="30">
          <cell r="A30">
            <v>29</v>
          </cell>
          <cell r="B30" t="str">
            <v>Índice de apropiación de la transformación digital</v>
          </cell>
        </row>
        <row r="31">
          <cell r="A31">
            <v>30</v>
          </cell>
          <cell r="B31" t="str">
            <v>Número de metros cuadrados construidos para adaptar la infraestructura universitaria a  nuevas dinámicas institucionales</v>
          </cell>
        </row>
        <row r="32">
          <cell r="A32">
            <v>31</v>
          </cell>
          <cell r="B32" t="str">
            <v>Número de metros cuadrados adecuados para adaptar la infraestructura universitaria a nuevas dinámicas institucionales</v>
          </cell>
        </row>
        <row r="33">
          <cell r="A33">
            <v>32</v>
          </cell>
          <cell r="B33" t="str">
            <v>Número de estudiantes con capacidades diversas partícipes o beneficiarios de las actividades, programas y servicios de la Dirección de Bienestar Universitario</v>
          </cell>
        </row>
        <row r="34">
          <cell r="A34">
            <v>33</v>
          </cell>
          <cell r="B34" t="str">
            <v>Nivel de implementación de adecuaciones en la Ciudad Universitaria que faciliten procesos de inclusión de personas con capacidades diversas (fase: circulación y espacio público)</v>
          </cell>
        </row>
        <row r="35">
          <cell r="A35">
            <v>34</v>
          </cell>
          <cell r="B35" t="str">
            <v>Número de programas académicos de pregrado y posgrado interdisciplinarios ofertados con enfoque en paz</v>
          </cell>
        </row>
        <row r="36">
          <cell r="A36">
            <v>35</v>
          </cell>
          <cell r="B36" t="str">
            <v>Número de proyectos de investigación y extensión con comunidades, que fortalezcan los procesos de construcción de paz con enfoque territorial</v>
          </cell>
        </row>
        <row r="37">
          <cell r="A37">
            <v>36</v>
          </cell>
          <cell r="B37" t="str">
            <v>Número de participantes en espacios educativos, políticos y culturales implementados para la construcción de paz</v>
          </cell>
        </row>
        <row r="38">
          <cell r="A38">
            <v>37</v>
          </cell>
          <cell r="B38" t="str">
            <v>Porcentaje de avance en la implementación de la política de gestión ambiental</v>
          </cell>
        </row>
        <row r="39">
          <cell r="A39">
            <v>38</v>
          </cell>
          <cell r="B39" t="str">
            <v>Número de iniciativas ambientales en los campus y sedes universitarios</v>
          </cell>
        </row>
        <row r="40">
          <cell r="A40">
            <v>39</v>
          </cell>
          <cell r="B40" t="str">
            <v>Número de eventos culturales y de patrimonio realizados en la Universidad</v>
          </cell>
        </row>
        <row r="41">
          <cell r="A41">
            <v>40</v>
          </cell>
          <cell r="B41" t="str">
            <v>Beneficiarios de la actividad cultural y de patrimonio universitaria</v>
          </cell>
        </row>
      </sheetData>
      <sheetData sheetId="6" refreshError="1"/>
      <sheetData sheetId="7" refreshError="1"/>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5">
    <tabColor rgb="FF00B0F0"/>
  </sheetPr>
  <dimension ref="A1:F14"/>
  <sheetViews>
    <sheetView showGridLines="0" workbookViewId="0">
      <selection activeCell="C10" sqref="C10"/>
    </sheetView>
  </sheetViews>
  <sheetFormatPr baseColWidth="10" defaultColWidth="0" defaultRowHeight="15" x14ac:dyDescent="0.25"/>
  <cols>
    <col min="1" max="1" width="45.42578125" style="15" bestFit="1" customWidth="1"/>
    <col min="2" max="2" width="67.7109375" bestFit="1" customWidth="1"/>
    <col min="3" max="3" width="16.85546875" bestFit="1" customWidth="1"/>
    <col min="4" max="4" width="36.7109375" customWidth="1"/>
    <col min="5" max="5" width="11.42578125" customWidth="1"/>
    <col min="6" max="6" width="0" hidden="1" customWidth="1"/>
    <col min="7" max="16384" width="11.42578125" hidden="1"/>
  </cols>
  <sheetData>
    <row r="1" spans="1:4" x14ac:dyDescent="0.25">
      <c r="A1" s="58" t="s">
        <v>83</v>
      </c>
      <c r="B1" s="58"/>
      <c r="C1" s="17">
        <v>10</v>
      </c>
    </row>
    <row r="2" spans="1:4" x14ac:dyDescent="0.25">
      <c r="A2" s="58" t="s">
        <v>66</v>
      </c>
      <c r="B2" s="58"/>
      <c r="C2" s="17">
        <v>40</v>
      </c>
    </row>
    <row r="4" spans="1:4" s="38" customFormat="1" x14ac:dyDescent="0.25">
      <c r="A4" s="37" t="s">
        <v>207</v>
      </c>
      <c r="B4" s="37" t="s">
        <v>67</v>
      </c>
      <c r="C4" s="37" t="s">
        <v>68</v>
      </c>
      <c r="D4" s="37" t="s">
        <v>296</v>
      </c>
    </row>
    <row r="5" spans="1:4" x14ac:dyDescent="0.25">
      <c r="A5" s="39" t="s">
        <v>53</v>
      </c>
      <c r="B5" s="16" t="s">
        <v>456</v>
      </c>
      <c r="C5" s="16" t="s">
        <v>28</v>
      </c>
      <c r="D5" s="39" t="s">
        <v>53</v>
      </c>
    </row>
    <row r="6" spans="1:4" x14ac:dyDescent="0.25">
      <c r="A6" s="39" t="s">
        <v>47</v>
      </c>
      <c r="B6" s="16" t="s">
        <v>457</v>
      </c>
      <c r="C6" s="16" t="s">
        <v>28</v>
      </c>
      <c r="D6" s="39" t="s">
        <v>47</v>
      </c>
    </row>
    <row r="7" spans="1:4" x14ac:dyDescent="0.25">
      <c r="A7" s="39" t="s">
        <v>44</v>
      </c>
      <c r="B7" s="16" t="s">
        <v>458</v>
      </c>
      <c r="C7" s="16" t="s">
        <v>28</v>
      </c>
      <c r="D7" s="39" t="s">
        <v>44</v>
      </c>
    </row>
    <row r="8" spans="1:4" x14ac:dyDescent="0.25">
      <c r="A8" s="39" t="s">
        <v>40</v>
      </c>
      <c r="B8" s="16" t="s">
        <v>459</v>
      </c>
      <c r="C8" s="16" t="s">
        <v>28</v>
      </c>
      <c r="D8" s="39" t="s">
        <v>40</v>
      </c>
    </row>
    <row r="9" spans="1:4" x14ac:dyDescent="0.25">
      <c r="A9" s="39" t="s">
        <v>51</v>
      </c>
      <c r="B9" s="16" t="s">
        <v>460</v>
      </c>
      <c r="C9" s="16" t="s">
        <v>28</v>
      </c>
      <c r="D9" s="39" t="s">
        <v>51</v>
      </c>
    </row>
    <row r="10" spans="1:4" x14ac:dyDescent="0.25">
      <c r="A10" s="39" t="s">
        <v>57</v>
      </c>
      <c r="B10" s="16" t="s">
        <v>461</v>
      </c>
      <c r="C10" s="16" t="s">
        <v>42</v>
      </c>
      <c r="D10" s="39" t="s">
        <v>455</v>
      </c>
    </row>
    <row r="11" spans="1:4" x14ac:dyDescent="0.25">
      <c r="A11" s="39" t="s">
        <v>49</v>
      </c>
      <c r="B11" s="16" t="s">
        <v>462</v>
      </c>
      <c r="C11" s="16" t="s">
        <v>28</v>
      </c>
      <c r="D11" s="39" t="s">
        <v>49</v>
      </c>
    </row>
    <row r="12" spans="1:4" x14ac:dyDescent="0.25">
      <c r="A12" s="39" t="s">
        <v>46</v>
      </c>
      <c r="B12" s="16" t="s">
        <v>463</v>
      </c>
      <c r="C12" s="16" t="s">
        <v>28</v>
      </c>
      <c r="D12" s="39" t="s">
        <v>46</v>
      </c>
    </row>
    <row r="13" spans="1:4" x14ac:dyDescent="0.25">
      <c r="A13" s="39" t="s">
        <v>208</v>
      </c>
      <c r="B13" s="16" t="s">
        <v>464</v>
      </c>
      <c r="C13" s="16" t="s">
        <v>28</v>
      </c>
      <c r="D13" s="39" t="s">
        <v>208</v>
      </c>
    </row>
    <row r="14" spans="1:4" x14ac:dyDescent="0.25">
      <c r="A14" s="39" t="s">
        <v>55</v>
      </c>
      <c r="B14" s="16" t="s">
        <v>465</v>
      </c>
      <c r="C14" s="16" t="s">
        <v>28</v>
      </c>
      <c r="D14" s="39" t="s">
        <v>55</v>
      </c>
    </row>
  </sheetData>
  <mergeCells count="2">
    <mergeCell ref="A1:B1"/>
    <mergeCell ref="A2:B2"/>
  </mergeCells>
  <dataValidations count="1">
    <dataValidation type="list" allowBlank="1" showInputMessage="1" showErrorMessage="1" sqref="C5:C14" xr:uid="{00000000-0002-0000-0000-000000000000}">
      <formula1>"Sí,No"</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7D6231-B434-4650-A1C1-7E8D1EE5F6C3}">
  <sheetPr codeName="Hoja1">
    <tabColor rgb="FF00B050"/>
  </sheetPr>
  <dimension ref="A1:AL44"/>
  <sheetViews>
    <sheetView showGridLines="0" zoomScaleNormal="100" workbookViewId="0">
      <pane xSplit="3" ySplit="3" topLeftCell="G12" activePane="bottomRight" state="frozen"/>
      <selection pane="topRight" activeCell="D1" sqref="D1"/>
      <selection pane="bottomLeft" activeCell="A4" sqref="A4"/>
      <selection pane="bottomRight" activeCell="M13" sqref="M13"/>
    </sheetView>
  </sheetViews>
  <sheetFormatPr baseColWidth="10" defaultColWidth="0" defaultRowHeight="15" customHeight="1" zeroHeight="1" x14ac:dyDescent="0.25"/>
  <cols>
    <col min="1" max="1" width="15.140625" customWidth="1"/>
    <col min="2" max="2" width="13.5703125" customWidth="1"/>
    <col min="3" max="4" width="41.5703125" customWidth="1"/>
    <col min="5" max="5" width="57.5703125" customWidth="1"/>
    <col min="6" max="6" width="40" customWidth="1"/>
    <col min="7" max="8" width="18.5703125" customWidth="1"/>
    <col min="9" max="9" width="20.140625" style="14" customWidth="1"/>
    <col min="10" max="11" width="18" style="14" customWidth="1"/>
    <col min="12" max="12" width="13.28515625" customWidth="1"/>
    <col min="13" max="17" width="11.42578125" customWidth="1"/>
    <col min="18" max="21" width="14.5703125" customWidth="1"/>
    <col min="22" max="22" width="16.140625" customWidth="1"/>
    <col min="23" max="23" width="27.28515625" customWidth="1"/>
    <col min="24" max="24" width="7.85546875" customWidth="1"/>
    <col min="25" max="25" width="9.42578125" customWidth="1"/>
    <col min="26" max="26" width="10.140625" style="18" customWidth="1"/>
    <col min="27" max="27" width="11.42578125" customWidth="1"/>
    <col min="28" max="28" width="12.140625" customWidth="1"/>
    <col min="29" max="29" width="13.85546875" style="18" customWidth="1"/>
    <col min="30" max="30" width="20.5703125" customWidth="1"/>
    <col min="31" max="31" width="11.42578125" customWidth="1"/>
    <col min="32" max="38" width="15" hidden="1" customWidth="1"/>
    <col min="39" max="16384" width="11.42578125" hidden="1"/>
  </cols>
  <sheetData>
    <row r="1" spans="1:30" s="2" customFormat="1" ht="41.25" customHeight="1" x14ac:dyDescent="0.25">
      <c r="A1" s="59" t="s">
        <v>84</v>
      </c>
      <c r="B1" s="61" t="s">
        <v>0</v>
      </c>
      <c r="C1" s="61"/>
      <c r="D1" s="63" t="s">
        <v>85</v>
      </c>
      <c r="E1" s="63"/>
      <c r="F1" s="63"/>
      <c r="G1" s="63"/>
      <c r="H1" s="63"/>
      <c r="I1" s="63"/>
      <c r="J1" s="63"/>
      <c r="K1" s="63"/>
      <c r="L1" s="65" t="s">
        <v>86</v>
      </c>
      <c r="M1" s="65"/>
      <c r="N1" s="65"/>
      <c r="O1" s="65"/>
      <c r="P1" s="65"/>
      <c r="Q1" s="65"/>
      <c r="R1" s="66" t="s">
        <v>87</v>
      </c>
      <c r="S1" s="66"/>
      <c r="T1" s="66"/>
      <c r="U1" s="66"/>
      <c r="V1" s="66"/>
      <c r="W1" s="66"/>
      <c r="X1" s="73" t="s">
        <v>1</v>
      </c>
      <c r="Y1" s="73"/>
      <c r="Z1" s="73"/>
      <c r="AA1" s="67" t="s">
        <v>2</v>
      </c>
      <c r="AB1" s="67"/>
      <c r="AC1" s="67"/>
      <c r="AD1" s="1"/>
    </row>
    <row r="2" spans="1:30" s="2" customFormat="1" ht="31.5" customHeight="1" x14ac:dyDescent="0.25">
      <c r="A2" s="60"/>
      <c r="B2" s="62"/>
      <c r="C2" s="62"/>
      <c r="D2" s="64"/>
      <c r="E2" s="64"/>
      <c r="F2" s="64"/>
      <c r="G2" s="64"/>
      <c r="H2" s="64"/>
      <c r="I2" s="64"/>
      <c r="J2" s="64"/>
      <c r="K2" s="64"/>
      <c r="L2" s="19" t="s">
        <v>3</v>
      </c>
      <c r="M2" s="68" t="s">
        <v>4</v>
      </c>
      <c r="N2" s="68"/>
      <c r="O2" s="69" t="s">
        <v>5</v>
      </c>
      <c r="P2" s="70"/>
      <c r="Q2" s="19" t="s">
        <v>6</v>
      </c>
      <c r="R2" s="71" t="s">
        <v>3</v>
      </c>
      <c r="S2" s="72"/>
      <c r="T2" s="72"/>
      <c r="U2" s="71" t="s">
        <v>4</v>
      </c>
      <c r="V2" s="72"/>
      <c r="W2" s="72"/>
      <c r="X2" s="73"/>
      <c r="Y2" s="73"/>
      <c r="Z2" s="73"/>
      <c r="AA2" s="67"/>
      <c r="AB2" s="67"/>
      <c r="AC2" s="67"/>
      <c r="AD2" s="1"/>
    </row>
    <row r="3" spans="1:30" s="11" customFormat="1" ht="39" customHeight="1" x14ac:dyDescent="0.25">
      <c r="A3" s="3" t="s">
        <v>7</v>
      </c>
      <c r="B3" s="4" t="s">
        <v>88</v>
      </c>
      <c r="C3" s="4" t="s">
        <v>89</v>
      </c>
      <c r="D3" s="5" t="s">
        <v>90</v>
      </c>
      <c r="E3" s="5" t="s">
        <v>8</v>
      </c>
      <c r="F3" s="5" t="s">
        <v>9</v>
      </c>
      <c r="G3" s="5" t="s">
        <v>91</v>
      </c>
      <c r="H3" s="5" t="s">
        <v>11</v>
      </c>
      <c r="I3" s="5" t="s">
        <v>12</v>
      </c>
      <c r="J3" s="5" t="s">
        <v>13</v>
      </c>
      <c r="K3" s="20" t="s">
        <v>92</v>
      </c>
      <c r="L3" s="6" t="s">
        <v>14</v>
      </c>
      <c r="M3" s="6" t="s">
        <v>15</v>
      </c>
      <c r="N3" s="6" t="s">
        <v>16</v>
      </c>
      <c r="O3" s="6" t="s">
        <v>17</v>
      </c>
      <c r="P3" s="6" t="s">
        <v>18</v>
      </c>
      <c r="Q3" s="6" t="s">
        <v>19</v>
      </c>
      <c r="R3" s="21" t="s">
        <v>20</v>
      </c>
      <c r="S3" s="21" t="s">
        <v>93</v>
      </c>
      <c r="T3" s="21" t="s">
        <v>94</v>
      </c>
      <c r="U3" s="21" t="s">
        <v>21</v>
      </c>
      <c r="V3" s="21" t="s">
        <v>95</v>
      </c>
      <c r="W3" s="21" t="s">
        <v>96</v>
      </c>
      <c r="X3" s="3" t="s">
        <v>22</v>
      </c>
      <c r="Y3" s="7" t="s">
        <v>23</v>
      </c>
      <c r="Z3" s="22" t="s">
        <v>10</v>
      </c>
      <c r="AA3" s="8" t="s">
        <v>22</v>
      </c>
      <c r="AB3" s="9" t="s">
        <v>24</v>
      </c>
      <c r="AC3" s="23" t="s">
        <v>25</v>
      </c>
      <c r="AD3" s="10" t="s">
        <v>26</v>
      </c>
    </row>
    <row r="4" spans="1:30" ht="39.950000000000003" customHeight="1" x14ac:dyDescent="0.25">
      <c r="A4" s="24">
        <v>1</v>
      </c>
      <c r="B4" s="25">
        <v>1</v>
      </c>
      <c r="C4" s="26" t="s">
        <v>97</v>
      </c>
      <c r="D4" s="27" t="s">
        <v>98</v>
      </c>
      <c r="E4" s="27" t="s">
        <v>99</v>
      </c>
      <c r="F4" s="28" t="s">
        <v>40</v>
      </c>
      <c r="G4" s="28" t="s">
        <v>100</v>
      </c>
      <c r="H4" s="28" t="s">
        <v>27</v>
      </c>
      <c r="I4" s="29">
        <v>100</v>
      </c>
      <c r="J4" s="28">
        <v>2020</v>
      </c>
      <c r="K4" s="29">
        <v>460</v>
      </c>
      <c r="L4" s="29">
        <v>120</v>
      </c>
      <c r="M4" s="29">
        <v>190</v>
      </c>
      <c r="N4" s="29">
        <v>260</v>
      </c>
      <c r="O4" s="29">
        <v>340</v>
      </c>
      <c r="P4" s="29">
        <v>420</v>
      </c>
      <c r="Q4" s="29">
        <v>460</v>
      </c>
      <c r="R4" s="29">
        <v>136</v>
      </c>
      <c r="S4" s="30" t="s">
        <v>320</v>
      </c>
      <c r="T4" s="30" t="s">
        <v>321</v>
      </c>
      <c r="U4" s="29">
        <v>302</v>
      </c>
      <c r="V4" s="30" t="s">
        <v>322</v>
      </c>
      <c r="W4" s="30" t="s">
        <v>323</v>
      </c>
      <c r="X4" s="13" t="s">
        <v>42</v>
      </c>
      <c r="Y4" s="13" t="s">
        <v>101</v>
      </c>
      <c r="Z4" s="12">
        <v>44858</v>
      </c>
      <c r="AA4" s="13" t="s">
        <v>42</v>
      </c>
      <c r="AB4" s="13" t="s">
        <v>102</v>
      </c>
      <c r="AC4" s="12">
        <v>44870</v>
      </c>
      <c r="AD4" s="25">
        <v>3</v>
      </c>
    </row>
    <row r="5" spans="1:30" ht="39.950000000000003" customHeight="1" x14ac:dyDescent="0.25">
      <c r="A5" s="24">
        <v>2</v>
      </c>
      <c r="B5" s="25">
        <v>1</v>
      </c>
      <c r="C5" s="26" t="s">
        <v>103</v>
      </c>
      <c r="D5" s="27" t="s">
        <v>104</v>
      </c>
      <c r="E5" s="27" t="s">
        <v>105</v>
      </c>
      <c r="F5" s="28" t="s">
        <v>40</v>
      </c>
      <c r="G5" s="28" t="s">
        <v>100</v>
      </c>
      <c r="H5" s="28" t="s">
        <v>27</v>
      </c>
      <c r="I5" s="31">
        <v>7</v>
      </c>
      <c r="J5" s="28">
        <v>2020</v>
      </c>
      <c r="K5" s="31">
        <v>15</v>
      </c>
      <c r="L5" s="31">
        <v>0</v>
      </c>
      <c r="M5" s="31">
        <v>1.5</v>
      </c>
      <c r="N5" s="31">
        <v>3</v>
      </c>
      <c r="O5" s="31">
        <v>5.5</v>
      </c>
      <c r="P5" s="31">
        <v>8</v>
      </c>
      <c r="Q5" s="31">
        <v>15</v>
      </c>
      <c r="R5" s="29">
        <v>0</v>
      </c>
      <c r="S5" s="30" t="s">
        <v>324</v>
      </c>
      <c r="T5" s="30" t="s">
        <v>325</v>
      </c>
      <c r="U5" s="29">
        <v>4</v>
      </c>
      <c r="V5" s="30" t="s">
        <v>326</v>
      </c>
      <c r="W5" s="30" t="s">
        <v>327</v>
      </c>
      <c r="X5" s="13" t="s">
        <v>42</v>
      </c>
      <c r="Y5" s="13" t="s">
        <v>106</v>
      </c>
      <c r="Z5" s="12">
        <v>44860</v>
      </c>
      <c r="AA5" s="13" t="s">
        <v>42</v>
      </c>
      <c r="AB5" s="13" t="s">
        <v>102</v>
      </c>
      <c r="AC5" s="12">
        <v>44870</v>
      </c>
      <c r="AD5" s="25">
        <v>3</v>
      </c>
    </row>
    <row r="6" spans="1:30" ht="39.950000000000003" customHeight="1" x14ac:dyDescent="0.25">
      <c r="A6" s="24">
        <v>3</v>
      </c>
      <c r="B6" s="25">
        <v>1</v>
      </c>
      <c r="C6" s="26" t="s">
        <v>107</v>
      </c>
      <c r="D6" s="27" t="s">
        <v>108</v>
      </c>
      <c r="E6" s="27" t="s">
        <v>109</v>
      </c>
      <c r="F6" s="28" t="s">
        <v>40</v>
      </c>
      <c r="G6" s="28" t="s">
        <v>100</v>
      </c>
      <c r="H6" s="28" t="s">
        <v>27</v>
      </c>
      <c r="I6" s="29">
        <v>10</v>
      </c>
      <c r="J6" s="28">
        <v>2020</v>
      </c>
      <c r="K6" s="29">
        <v>20</v>
      </c>
      <c r="L6" s="29">
        <v>0</v>
      </c>
      <c r="M6" s="29">
        <v>5</v>
      </c>
      <c r="N6" s="29">
        <v>10</v>
      </c>
      <c r="O6" s="29">
        <v>13.5</v>
      </c>
      <c r="P6" s="29">
        <v>17</v>
      </c>
      <c r="Q6" s="29">
        <v>20</v>
      </c>
      <c r="R6" s="29">
        <v>0</v>
      </c>
      <c r="S6" s="30" t="s">
        <v>328</v>
      </c>
      <c r="T6" s="30" t="s">
        <v>329</v>
      </c>
      <c r="U6" s="29">
        <v>10</v>
      </c>
      <c r="V6" s="30" t="s">
        <v>330</v>
      </c>
      <c r="W6" s="30" t="s">
        <v>331</v>
      </c>
      <c r="X6" s="13" t="s">
        <v>42</v>
      </c>
      <c r="Y6" s="13" t="s">
        <v>106</v>
      </c>
      <c r="Z6" s="12">
        <v>44860</v>
      </c>
      <c r="AA6" s="13" t="s">
        <v>42</v>
      </c>
      <c r="AB6" s="13" t="s">
        <v>102</v>
      </c>
      <c r="AC6" s="12">
        <v>44870</v>
      </c>
      <c r="AD6" s="25">
        <v>3</v>
      </c>
    </row>
    <row r="7" spans="1:30" ht="39.950000000000003" customHeight="1" x14ac:dyDescent="0.25">
      <c r="A7" s="24">
        <v>4</v>
      </c>
      <c r="B7" s="25">
        <v>2</v>
      </c>
      <c r="C7" s="26" t="s">
        <v>110</v>
      </c>
      <c r="D7" s="27" t="s">
        <v>111</v>
      </c>
      <c r="E7" s="27" t="s">
        <v>112</v>
      </c>
      <c r="F7" s="28" t="s">
        <v>44</v>
      </c>
      <c r="G7" s="28" t="s">
        <v>100</v>
      </c>
      <c r="H7" s="28" t="s">
        <v>27</v>
      </c>
      <c r="I7" s="32">
        <v>0</v>
      </c>
      <c r="J7" s="28">
        <v>2020</v>
      </c>
      <c r="K7" s="32">
        <v>2800</v>
      </c>
      <c r="L7" s="32">
        <v>240</v>
      </c>
      <c r="M7" s="32">
        <v>720</v>
      </c>
      <c r="N7" s="32">
        <v>1200</v>
      </c>
      <c r="O7" s="32">
        <v>1950</v>
      </c>
      <c r="P7" s="32">
        <v>2700</v>
      </c>
      <c r="Q7" s="32">
        <v>2800</v>
      </c>
      <c r="R7" s="29">
        <v>426</v>
      </c>
      <c r="S7" s="30" t="s">
        <v>332</v>
      </c>
      <c r="T7" s="30" t="s">
        <v>333</v>
      </c>
      <c r="U7" s="29">
        <v>1186</v>
      </c>
      <c r="V7" s="30" t="s">
        <v>70</v>
      </c>
      <c r="W7" s="30" t="s">
        <v>71</v>
      </c>
      <c r="X7" s="13" t="s">
        <v>42</v>
      </c>
      <c r="Y7" s="13" t="s">
        <v>106</v>
      </c>
      <c r="Z7" s="12">
        <v>44860</v>
      </c>
      <c r="AA7" s="13" t="s">
        <v>42</v>
      </c>
      <c r="AB7" s="13" t="s">
        <v>102</v>
      </c>
      <c r="AC7" s="12">
        <v>44870</v>
      </c>
      <c r="AD7" s="25">
        <v>3</v>
      </c>
    </row>
    <row r="8" spans="1:30" ht="39.950000000000003" customHeight="1" x14ac:dyDescent="0.25">
      <c r="A8" s="25">
        <v>5</v>
      </c>
      <c r="B8" s="25">
        <v>2</v>
      </c>
      <c r="C8" s="26" t="s">
        <v>113</v>
      </c>
      <c r="D8" s="33" t="s">
        <v>114</v>
      </c>
      <c r="E8" s="33" t="s">
        <v>115</v>
      </c>
      <c r="F8" s="28" t="s">
        <v>44</v>
      </c>
      <c r="G8" s="28" t="s">
        <v>100</v>
      </c>
      <c r="H8" s="28" t="s">
        <v>27</v>
      </c>
      <c r="I8" s="28">
        <v>320</v>
      </c>
      <c r="J8" s="28">
        <v>2020</v>
      </c>
      <c r="K8" s="28">
        <v>450</v>
      </c>
      <c r="L8" s="28">
        <v>340</v>
      </c>
      <c r="M8" s="28">
        <v>390</v>
      </c>
      <c r="N8" s="28">
        <v>390</v>
      </c>
      <c r="O8" s="28">
        <v>440</v>
      </c>
      <c r="P8" s="28">
        <v>440</v>
      </c>
      <c r="Q8" s="28">
        <v>450</v>
      </c>
      <c r="R8" s="29">
        <v>237</v>
      </c>
      <c r="S8" s="30" t="s">
        <v>334</v>
      </c>
      <c r="T8" s="30" t="s">
        <v>335</v>
      </c>
      <c r="U8" s="29">
        <v>243</v>
      </c>
      <c r="V8" s="30" t="s">
        <v>336</v>
      </c>
      <c r="W8" s="30" t="s">
        <v>69</v>
      </c>
      <c r="X8" s="13" t="s">
        <v>42</v>
      </c>
      <c r="Y8" s="13" t="s">
        <v>106</v>
      </c>
      <c r="Z8" s="12">
        <v>44860</v>
      </c>
      <c r="AA8" s="13" t="s">
        <v>42</v>
      </c>
      <c r="AB8" s="13" t="s">
        <v>102</v>
      </c>
      <c r="AC8" s="12">
        <v>44870</v>
      </c>
      <c r="AD8" s="25">
        <v>2</v>
      </c>
    </row>
    <row r="9" spans="1:30" ht="39.950000000000003" customHeight="1" x14ac:dyDescent="0.25">
      <c r="A9" s="25">
        <v>6</v>
      </c>
      <c r="B9" s="25">
        <v>2</v>
      </c>
      <c r="C9" s="26" t="s">
        <v>116</v>
      </c>
      <c r="D9" s="33" t="s">
        <v>117</v>
      </c>
      <c r="E9" s="33" t="s">
        <v>118</v>
      </c>
      <c r="F9" s="28" t="s">
        <v>49</v>
      </c>
      <c r="G9" s="28" t="s">
        <v>100</v>
      </c>
      <c r="H9" s="28" t="s">
        <v>27</v>
      </c>
      <c r="I9" s="32">
        <v>14614</v>
      </c>
      <c r="J9" s="28">
        <v>2020</v>
      </c>
      <c r="K9" s="32">
        <v>54416</v>
      </c>
      <c r="L9" s="32">
        <v>15603</v>
      </c>
      <c r="M9" s="34">
        <v>31700</v>
      </c>
      <c r="N9" s="34">
        <v>32194</v>
      </c>
      <c r="O9" s="34">
        <v>57081</v>
      </c>
      <c r="P9" s="34">
        <v>49774</v>
      </c>
      <c r="Q9" s="34">
        <v>54416</v>
      </c>
      <c r="R9" s="29">
        <v>16492</v>
      </c>
      <c r="S9" s="30" t="s">
        <v>337</v>
      </c>
      <c r="T9" s="30" t="s">
        <v>338</v>
      </c>
      <c r="U9" s="29">
        <v>30916</v>
      </c>
      <c r="V9" s="30" t="s">
        <v>339</v>
      </c>
      <c r="W9" s="30" t="s">
        <v>340</v>
      </c>
      <c r="X9" s="13" t="s">
        <v>42</v>
      </c>
      <c r="Y9" s="13" t="s">
        <v>106</v>
      </c>
      <c r="Z9" s="12">
        <v>44860</v>
      </c>
      <c r="AA9" s="13" t="s">
        <v>42</v>
      </c>
      <c r="AB9" s="13" t="s">
        <v>102</v>
      </c>
      <c r="AC9" s="12">
        <v>44870</v>
      </c>
      <c r="AD9" s="25">
        <v>4</v>
      </c>
    </row>
    <row r="10" spans="1:30" ht="39.950000000000003" customHeight="1" x14ac:dyDescent="0.25">
      <c r="A10" s="24">
        <v>7</v>
      </c>
      <c r="B10" s="25">
        <v>3</v>
      </c>
      <c r="C10" s="26" t="s">
        <v>119</v>
      </c>
      <c r="D10" s="27" t="s">
        <v>119</v>
      </c>
      <c r="E10" s="27" t="s">
        <v>120</v>
      </c>
      <c r="F10" s="28" t="s">
        <v>47</v>
      </c>
      <c r="G10" s="28" t="s">
        <v>100</v>
      </c>
      <c r="H10" s="28" t="s">
        <v>27</v>
      </c>
      <c r="I10" s="32">
        <v>1601</v>
      </c>
      <c r="J10" s="28">
        <v>2020</v>
      </c>
      <c r="K10" s="32">
        <v>4869</v>
      </c>
      <c r="L10" s="32">
        <v>1623</v>
      </c>
      <c r="M10" s="32">
        <v>2434.5</v>
      </c>
      <c r="N10" s="32">
        <v>3246</v>
      </c>
      <c r="O10" s="32">
        <v>4869</v>
      </c>
      <c r="P10" s="32">
        <v>4869</v>
      </c>
      <c r="Q10" s="32">
        <v>4869</v>
      </c>
      <c r="R10" s="29">
        <v>1691</v>
      </c>
      <c r="S10" s="30" t="s">
        <v>341</v>
      </c>
      <c r="T10" s="30" t="s">
        <v>342</v>
      </c>
      <c r="U10" s="29">
        <v>3247</v>
      </c>
      <c r="V10" s="30" t="s">
        <v>343</v>
      </c>
      <c r="W10" s="30" t="s">
        <v>344</v>
      </c>
      <c r="X10" s="13" t="s">
        <v>42</v>
      </c>
      <c r="Y10" s="13" t="s">
        <v>106</v>
      </c>
      <c r="Z10" s="12">
        <v>44860</v>
      </c>
      <c r="AA10" s="13" t="s">
        <v>42</v>
      </c>
      <c r="AB10" s="13" t="s">
        <v>102</v>
      </c>
      <c r="AC10" s="12">
        <v>44870</v>
      </c>
      <c r="AD10" s="25">
        <v>3</v>
      </c>
    </row>
    <row r="11" spans="1:30" ht="39.950000000000003" customHeight="1" x14ac:dyDescent="0.25">
      <c r="A11" s="24">
        <v>8</v>
      </c>
      <c r="B11" s="25">
        <v>3</v>
      </c>
      <c r="C11" s="26" t="s">
        <v>121</v>
      </c>
      <c r="D11" s="27" t="s">
        <v>122</v>
      </c>
      <c r="E11" s="27" t="s">
        <v>123</v>
      </c>
      <c r="F11" s="28" t="s">
        <v>47</v>
      </c>
      <c r="G11" s="28" t="s">
        <v>100</v>
      </c>
      <c r="H11" s="28" t="s">
        <v>27</v>
      </c>
      <c r="I11" s="32">
        <v>430</v>
      </c>
      <c r="J11" s="28">
        <v>2020</v>
      </c>
      <c r="K11" s="32">
        <v>1572</v>
      </c>
      <c r="L11" s="32">
        <v>524</v>
      </c>
      <c r="M11" s="32">
        <v>786</v>
      </c>
      <c r="N11" s="32">
        <v>1048</v>
      </c>
      <c r="O11" s="32">
        <v>1572</v>
      </c>
      <c r="P11" s="32">
        <v>1572</v>
      </c>
      <c r="Q11" s="32">
        <v>1572</v>
      </c>
      <c r="R11" s="29">
        <v>539</v>
      </c>
      <c r="S11" s="30" t="s">
        <v>345</v>
      </c>
      <c r="T11" s="30" t="s">
        <v>346</v>
      </c>
      <c r="U11" s="29">
        <v>795</v>
      </c>
      <c r="V11" s="30" t="s">
        <v>347</v>
      </c>
      <c r="W11" s="30" t="s">
        <v>348</v>
      </c>
      <c r="X11" s="13" t="s">
        <v>42</v>
      </c>
      <c r="Y11" s="13" t="s">
        <v>106</v>
      </c>
      <c r="Z11" s="12">
        <v>44860</v>
      </c>
      <c r="AA11" s="13" t="s">
        <v>42</v>
      </c>
      <c r="AB11" s="13" t="s">
        <v>102</v>
      </c>
      <c r="AC11" s="12">
        <v>44870</v>
      </c>
      <c r="AD11" s="25">
        <v>3</v>
      </c>
    </row>
    <row r="12" spans="1:30" ht="39.950000000000003" customHeight="1" x14ac:dyDescent="0.25">
      <c r="A12" s="24">
        <v>9</v>
      </c>
      <c r="B12" s="25">
        <v>3</v>
      </c>
      <c r="C12" s="26" t="s">
        <v>124</v>
      </c>
      <c r="D12" s="27" t="s">
        <v>125</v>
      </c>
      <c r="E12" s="27" t="s">
        <v>126</v>
      </c>
      <c r="F12" s="28" t="s">
        <v>46</v>
      </c>
      <c r="G12" s="28" t="s">
        <v>100</v>
      </c>
      <c r="H12" s="28" t="s">
        <v>27</v>
      </c>
      <c r="I12" s="31">
        <v>0</v>
      </c>
      <c r="J12" s="28">
        <v>2020</v>
      </c>
      <c r="K12" s="31">
        <v>320</v>
      </c>
      <c r="L12" s="31">
        <v>60</v>
      </c>
      <c r="M12" s="31">
        <v>125</v>
      </c>
      <c r="N12" s="31">
        <v>190</v>
      </c>
      <c r="O12" s="31">
        <v>320</v>
      </c>
      <c r="P12" s="31">
        <v>320</v>
      </c>
      <c r="Q12" s="31">
        <v>320</v>
      </c>
      <c r="R12" s="29">
        <v>85</v>
      </c>
      <c r="S12" s="30" t="s">
        <v>349</v>
      </c>
      <c r="T12" s="30" t="s">
        <v>350</v>
      </c>
      <c r="U12" s="29">
        <v>142</v>
      </c>
      <c r="V12" s="30" t="s">
        <v>351</v>
      </c>
      <c r="W12" s="30" t="s">
        <v>352</v>
      </c>
      <c r="X12" s="13" t="s">
        <v>42</v>
      </c>
      <c r="Y12" s="13" t="s">
        <v>106</v>
      </c>
      <c r="Z12" s="12">
        <v>44860</v>
      </c>
      <c r="AA12" s="13" t="s">
        <v>42</v>
      </c>
      <c r="AB12" s="13" t="s">
        <v>102</v>
      </c>
      <c r="AC12" s="12">
        <v>44870</v>
      </c>
      <c r="AD12" s="25">
        <v>3</v>
      </c>
    </row>
    <row r="13" spans="1:30" ht="39.950000000000003" customHeight="1" x14ac:dyDescent="0.25">
      <c r="A13" s="24">
        <v>10</v>
      </c>
      <c r="B13" s="25">
        <v>3</v>
      </c>
      <c r="C13" s="26" t="s">
        <v>127</v>
      </c>
      <c r="D13" s="27" t="s">
        <v>128</v>
      </c>
      <c r="E13" s="27" t="s">
        <v>129</v>
      </c>
      <c r="F13" s="28" t="s">
        <v>46</v>
      </c>
      <c r="G13" s="28" t="s">
        <v>100</v>
      </c>
      <c r="H13" s="28" t="s">
        <v>27</v>
      </c>
      <c r="I13" s="31">
        <v>4</v>
      </c>
      <c r="J13" s="28">
        <v>2020</v>
      </c>
      <c r="K13" s="31">
        <v>66</v>
      </c>
      <c r="L13" s="29">
        <v>21</v>
      </c>
      <c r="M13" s="31">
        <v>32</v>
      </c>
      <c r="N13" s="31">
        <v>43</v>
      </c>
      <c r="O13" s="31">
        <v>66</v>
      </c>
      <c r="P13" s="31">
        <v>66</v>
      </c>
      <c r="Q13" s="31">
        <v>66</v>
      </c>
      <c r="R13" s="29">
        <v>18</v>
      </c>
      <c r="S13" s="30" t="s">
        <v>353</v>
      </c>
      <c r="T13" s="30" t="s">
        <v>354</v>
      </c>
      <c r="U13" s="29">
        <v>22</v>
      </c>
      <c r="V13" s="30" t="s">
        <v>355</v>
      </c>
      <c r="W13" s="30" t="s">
        <v>356</v>
      </c>
      <c r="X13" s="13" t="s">
        <v>42</v>
      </c>
      <c r="Y13" s="13" t="s">
        <v>106</v>
      </c>
      <c r="Z13" s="12">
        <v>44860</v>
      </c>
      <c r="AA13" s="13" t="s">
        <v>42</v>
      </c>
      <c r="AB13" s="13" t="s">
        <v>102</v>
      </c>
      <c r="AC13" s="12">
        <v>44870</v>
      </c>
      <c r="AD13" s="25">
        <v>3</v>
      </c>
    </row>
    <row r="14" spans="1:30" ht="39.950000000000003" customHeight="1" x14ac:dyDescent="0.25">
      <c r="A14" s="24">
        <v>11</v>
      </c>
      <c r="B14" s="25">
        <v>3</v>
      </c>
      <c r="C14" s="26" t="s">
        <v>130</v>
      </c>
      <c r="D14" s="27" t="s">
        <v>130</v>
      </c>
      <c r="E14" s="27" t="s">
        <v>131</v>
      </c>
      <c r="F14" s="28" t="s">
        <v>46</v>
      </c>
      <c r="G14" s="28" t="s">
        <v>100</v>
      </c>
      <c r="H14" s="28" t="s">
        <v>27</v>
      </c>
      <c r="I14" s="29">
        <v>0</v>
      </c>
      <c r="J14" s="28">
        <v>2020</v>
      </c>
      <c r="K14" s="29">
        <v>9</v>
      </c>
      <c r="L14" s="29">
        <v>3</v>
      </c>
      <c r="M14" s="29">
        <v>4.5</v>
      </c>
      <c r="N14" s="29">
        <v>6</v>
      </c>
      <c r="O14" s="29">
        <v>9</v>
      </c>
      <c r="P14" s="29">
        <v>9</v>
      </c>
      <c r="Q14" s="29">
        <v>9</v>
      </c>
      <c r="R14" s="29">
        <v>3</v>
      </c>
      <c r="S14" s="30" t="s">
        <v>357</v>
      </c>
      <c r="T14" s="30" t="s">
        <v>358</v>
      </c>
      <c r="U14" s="29">
        <v>3</v>
      </c>
      <c r="V14" s="30" t="s">
        <v>359</v>
      </c>
      <c r="W14" s="30" t="s">
        <v>360</v>
      </c>
      <c r="X14" s="13" t="s">
        <v>42</v>
      </c>
      <c r="Y14" s="13" t="s">
        <v>106</v>
      </c>
      <c r="Z14" s="12">
        <v>44860</v>
      </c>
      <c r="AA14" s="13" t="s">
        <v>42</v>
      </c>
      <c r="AB14" s="13" t="s">
        <v>102</v>
      </c>
      <c r="AC14" s="12">
        <v>44870</v>
      </c>
      <c r="AD14" s="25">
        <v>3</v>
      </c>
    </row>
    <row r="15" spans="1:30" ht="39.950000000000003" customHeight="1" x14ac:dyDescent="0.25">
      <c r="A15" s="25">
        <v>12</v>
      </c>
      <c r="B15" s="25">
        <v>3</v>
      </c>
      <c r="C15" s="26" t="s">
        <v>132</v>
      </c>
      <c r="D15" s="33" t="s">
        <v>133</v>
      </c>
      <c r="E15" s="33" t="s">
        <v>134</v>
      </c>
      <c r="F15" s="28" t="s">
        <v>47</v>
      </c>
      <c r="G15" s="28" t="s">
        <v>100</v>
      </c>
      <c r="H15" s="28" t="s">
        <v>27</v>
      </c>
      <c r="I15" s="32">
        <v>46354</v>
      </c>
      <c r="J15" s="28">
        <v>2020</v>
      </c>
      <c r="K15" s="32">
        <v>145062</v>
      </c>
      <c r="L15" s="32">
        <v>47354</v>
      </c>
      <c r="M15" s="32">
        <v>95208</v>
      </c>
      <c r="N15" s="32">
        <v>95708</v>
      </c>
      <c r="O15" s="32">
        <v>168239</v>
      </c>
      <c r="P15" s="32">
        <v>145062</v>
      </c>
      <c r="Q15" s="32">
        <v>145062</v>
      </c>
      <c r="R15" s="29">
        <v>43755</v>
      </c>
      <c r="S15" s="30" t="s">
        <v>361</v>
      </c>
      <c r="T15" s="30" t="s">
        <v>362</v>
      </c>
      <c r="U15" s="29">
        <v>127434</v>
      </c>
      <c r="V15" s="30" t="s">
        <v>363</v>
      </c>
      <c r="W15" s="30" t="s">
        <v>364</v>
      </c>
      <c r="X15" s="13" t="s">
        <v>42</v>
      </c>
      <c r="Y15" s="13" t="s">
        <v>106</v>
      </c>
      <c r="Z15" s="12">
        <v>44860</v>
      </c>
      <c r="AA15" s="13" t="s">
        <v>42</v>
      </c>
      <c r="AB15" s="13" t="s">
        <v>102</v>
      </c>
      <c r="AC15" s="12">
        <v>44870</v>
      </c>
      <c r="AD15" s="25">
        <v>4</v>
      </c>
    </row>
    <row r="16" spans="1:30" ht="39.950000000000003" customHeight="1" x14ac:dyDescent="0.25">
      <c r="A16" s="25">
        <v>13</v>
      </c>
      <c r="B16" s="25">
        <v>4</v>
      </c>
      <c r="C16" s="26" t="s">
        <v>135</v>
      </c>
      <c r="D16" s="33" t="s">
        <v>136</v>
      </c>
      <c r="E16" s="33" t="s">
        <v>137</v>
      </c>
      <c r="F16" s="28" t="s">
        <v>49</v>
      </c>
      <c r="G16" s="28" t="s">
        <v>100</v>
      </c>
      <c r="H16" s="28" t="s">
        <v>27</v>
      </c>
      <c r="I16" s="32">
        <v>21732</v>
      </c>
      <c r="J16" s="28">
        <v>2020</v>
      </c>
      <c r="K16" s="32">
        <v>77024</v>
      </c>
      <c r="L16" s="32">
        <v>22384</v>
      </c>
      <c r="M16" s="32">
        <v>45360.5</v>
      </c>
      <c r="N16" s="32">
        <v>45953</v>
      </c>
      <c r="O16" s="32">
        <v>81310</v>
      </c>
      <c r="P16" s="32">
        <v>70714</v>
      </c>
      <c r="Q16" s="32">
        <v>77024</v>
      </c>
      <c r="R16" s="29">
        <v>15800</v>
      </c>
      <c r="S16" s="30" t="s">
        <v>365</v>
      </c>
      <c r="T16" s="30" t="s">
        <v>366</v>
      </c>
      <c r="U16" s="29">
        <v>40015</v>
      </c>
      <c r="V16" s="30" t="s">
        <v>367</v>
      </c>
      <c r="W16" s="30" t="s">
        <v>368</v>
      </c>
      <c r="X16" s="13" t="s">
        <v>42</v>
      </c>
      <c r="Y16" s="13" t="s">
        <v>106</v>
      </c>
      <c r="Z16" s="12">
        <v>44860</v>
      </c>
      <c r="AA16" s="13" t="s">
        <v>42</v>
      </c>
      <c r="AB16" s="13" t="s">
        <v>102</v>
      </c>
      <c r="AC16" s="12">
        <v>44870</v>
      </c>
      <c r="AD16" s="25">
        <v>4</v>
      </c>
    </row>
    <row r="17" spans="1:30" ht="39.950000000000003" customHeight="1" x14ac:dyDescent="0.25">
      <c r="A17" s="25">
        <v>14</v>
      </c>
      <c r="B17" s="25">
        <v>4</v>
      </c>
      <c r="C17" s="26" t="s">
        <v>138</v>
      </c>
      <c r="D17" s="33" t="s">
        <v>138</v>
      </c>
      <c r="E17" s="33" t="s">
        <v>139</v>
      </c>
      <c r="F17" s="28" t="s">
        <v>40</v>
      </c>
      <c r="G17" s="28" t="s">
        <v>100</v>
      </c>
      <c r="H17" s="28" t="s">
        <v>27</v>
      </c>
      <c r="I17" s="35">
        <v>0.36870000000000003</v>
      </c>
      <c r="J17" s="28">
        <v>2020</v>
      </c>
      <c r="K17" s="36">
        <v>28</v>
      </c>
      <c r="L17" s="36">
        <v>35</v>
      </c>
      <c r="M17" s="36">
        <v>32</v>
      </c>
      <c r="N17" s="36">
        <v>32</v>
      </c>
      <c r="O17" s="36">
        <v>30</v>
      </c>
      <c r="P17" s="36">
        <v>30</v>
      </c>
      <c r="Q17" s="36">
        <v>28</v>
      </c>
      <c r="R17" s="29">
        <v>6</v>
      </c>
      <c r="S17" s="30" t="s">
        <v>369</v>
      </c>
      <c r="T17" s="30" t="s">
        <v>370</v>
      </c>
      <c r="U17" s="29">
        <v>29.81</v>
      </c>
      <c r="V17" s="30" t="s">
        <v>371</v>
      </c>
      <c r="W17" s="30" t="s">
        <v>372</v>
      </c>
      <c r="X17" s="13" t="s">
        <v>42</v>
      </c>
      <c r="Y17" s="13" t="s">
        <v>106</v>
      </c>
      <c r="Z17" s="12">
        <v>44860</v>
      </c>
      <c r="AA17" s="13" t="s">
        <v>42</v>
      </c>
      <c r="AB17" s="13" t="s">
        <v>102</v>
      </c>
      <c r="AC17" s="12">
        <v>44870</v>
      </c>
      <c r="AD17" s="25">
        <v>2</v>
      </c>
    </row>
    <row r="18" spans="1:30" ht="39.950000000000003" customHeight="1" x14ac:dyDescent="0.25">
      <c r="A18" s="25">
        <v>15</v>
      </c>
      <c r="B18" s="25">
        <v>4</v>
      </c>
      <c r="C18" s="26" t="s">
        <v>140</v>
      </c>
      <c r="D18" s="33" t="s">
        <v>141</v>
      </c>
      <c r="E18" s="33" t="s">
        <v>142</v>
      </c>
      <c r="F18" s="28" t="s">
        <v>40</v>
      </c>
      <c r="G18" s="28" t="s">
        <v>100</v>
      </c>
      <c r="H18" s="28" t="s">
        <v>27</v>
      </c>
      <c r="I18" s="32">
        <v>18247</v>
      </c>
      <c r="J18" s="28">
        <v>2020</v>
      </c>
      <c r="K18" s="36">
        <v>25000</v>
      </c>
      <c r="L18" s="36">
        <v>20000</v>
      </c>
      <c r="M18" s="36">
        <v>22000</v>
      </c>
      <c r="N18" s="36">
        <v>22000</v>
      </c>
      <c r="O18" s="36">
        <v>24000</v>
      </c>
      <c r="P18" s="36">
        <v>24000</v>
      </c>
      <c r="Q18" s="36">
        <v>25000</v>
      </c>
      <c r="R18" s="29">
        <v>18247</v>
      </c>
      <c r="S18" s="30" t="s">
        <v>373</v>
      </c>
      <c r="T18" s="30" t="s">
        <v>374</v>
      </c>
      <c r="U18" s="29">
        <v>22390</v>
      </c>
      <c r="V18" s="30" t="s">
        <v>375</v>
      </c>
      <c r="W18" s="30" t="s">
        <v>376</v>
      </c>
      <c r="X18" s="13" t="s">
        <v>42</v>
      </c>
      <c r="Y18" s="13" t="s">
        <v>106</v>
      </c>
      <c r="Z18" s="12">
        <v>44860</v>
      </c>
      <c r="AA18" s="13" t="s">
        <v>42</v>
      </c>
      <c r="AB18" s="13" t="s">
        <v>102</v>
      </c>
      <c r="AC18" s="12">
        <v>44870</v>
      </c>
      <c r="AD18" s="25">
        <v>2</v>
      </c>
    </row>
    <row r="19" spans="1:30" ht="39.950000000000003" customHeight="1" x14ac:dyDescent="0.25">
      <c r="A19" s="25">
        <v>16</v>
      </c>
      <c r="B19" s="25">
        <v>5</v>
      </c>
      <c r="C19" s="26" t="s">
        <v>143</v>
      </c>
      <c r="D19" s="33" t="s">
        <v>144</v>
      </c>
      <c r="E19" s="33" t="s">
        <v>145</v>
      </c>
      <c r="F19" s="28" t="s">
        <v>40</v>
      </c>
      <c r="G19" s="28" t="s">
        <v>100</v>
      </c>
      <c r="H19" s="28" t="s">
        <v>27</v>
      </c>
      <c r="I19" s="35">
        <v>0.1</v>
      </c>
      <c r="J19" s="28">
        <v>2020</v>
      </c>
      <c r="K19" s="36">
        <v>40</v>
      </c>
      <c r="L19" s="36">
        <v>20</v>
      </c>
      <c r="M19" s="36">
        <v>40</v>
      </c>
      <c r="N19" s="36">
        <v>40</v>
      </c>
      <c r="O19" s="36">
        <v>40</v>
      </c>
      <c r="P19" s="36">
        <v>40</v>
      </c>
      <c r="Q19" s="36">
        <v>40</v>
      </c>
      <c r="R19" s="28">
        <v>14</v>
      </c>
      <c r="S19" s="30" t="s">
        <v>377</v>
      </c>
      <c r="T19" s="30" t="s">
        <v>329</v>
      </c>
      <c r="U19" s="29">
        <v>61</v>
      </c>
      <c r="V19" s="30" t="s">
        <v>378</v>
      </c>
      <c r="W19" s="30" t="s">
        <v>379</v>
      </c>
      <c r="X19" s="13" t="s">
        <v>42</v>
      </c>
      <c r="Y19" s="13" t="s">
        <v>106</v>
      </c>
      <c r="Z19" s="12">
        <v>44860</v>
      </c>
      <c r="AA19" s="13" t="s">
        <v>42</v>
      </c>
      <c r="AB19" s="13" t="s">
        <v>102</v>
      </c>
      <c r="AC19" s="12">
        <v>44870</v>
      </c>
      <c r="AD19" s="25">
        <v>4</v>
      </c>
    </row>
    <row r="20" spans="1:30" ht="39.950000000000003" customHeight="1" x14ac:dyDescent="0.25">
      <c r="A20" s="25">
        <v>17</v>
      </c>
      <c r="B20" s="25">
        <v>5</v>
      </c>
      <c r="C20" s="26" t="s">
        <v>29</v>
      </c>
      <c r="D20" s="33" t="s">
        <v>29</v>
      </c>
      <c r="E20" s="33" t="s">
        <v>29</v>
      </c>
      <c r="F20" s="28" t="s">
        <v>51</v>
      </c>
      <c r="G20" s="28" t="s">
        <v>100</v>
      </c>
      <c r="H20" s="28" t="s">
        <v>27</v>
      </c>
      <c r="I20" s="35">
        <v>0</v>
      </c>
      <c r="J20" s="28">
        <v>2020</v>
      </c>
      <c r="K20" s="36">
        <v>44</v>
      </c>
      <c r="L20" s="36">
        <v>17</v>
      </c>
      <c r="M20" s="36">
        <v>33</v>
      </c>
      <c r="N20" s="36">
        <v>33</v>
      </c>
      <c r="O20" s="36">
        <v>40</v>
      </c>
      <c r="P20" s="36">
        <v>40</v>
      </c>
      <c r="Q20" s="36">
        <v>44</v>
      </c>
      <c r="R20" s="29">
        <v>9</v>
      </c>
      <c r="S20" s="30" t="s">
        <v>81</v>
      </c>
      <c r="T20" s="30" t="s">
        <v>82</v>
      </c>
      <c r="U20" s="29">
        <v>100</v>
      </c>
      <c r="V20" s="30" t="s">
        <v>380</v>
      </c>
      <c r="W20" s="30" t="s">
        <v>381</v>
      </c>
      <c r="X20" s="13" t="s">
        <v>42</v>
      </c>
      <c r="Y20" s="13" t="s">
        <v>106</v>
      </c>
      <c r="Z20" s="12">
        <v>44860</v>
      </c>
      <c r="AA20" s="13" t="s">
        <v>42</v>
      </c>
      <c r="AB20" s="13" t="s">
        <v>102</v>
      </c>
      <c r="AC20" s="12">
        <v>44870</v>
      </c>
      <c r="AD20" s="25">
        <v>2</v>
      </c>
    </row>
    <row r="21" spans="1:30" ht="39.950000000000003" customHeight="1" x14ac:dyDescent="0.25">
      <c r="A21" s="25">
        <v>18</v>
      </c>
      <c r="B21" s="25">
        <v>5</v>
      </c>
      <c r="C21" s="26" t="s">
        <v>146</v>
      </c>
      <c r="D21" s="33" t="s">
        <v>30</v>
      </c>
      <c r="E21" s="33" t="s">
        <v>30</v>
      </c>
      <c r="F21" s="28" t="s">
        <v>51</v>
      </c>
      <c r="G21" s="28" t="s">
        <v>100</v>
      </c>
      <c r="H21" s="28" t="s">
        <v>27</v>
      </c>
      <c r="I21" s="35">
        <v>0.16</v>
      </c>
      <c r="J21" s="28">
        <v>2020</v>
      </c>
      <c r="K21" s="36">
        <v>70</v>
      </c>
      <c r="L21" s="36">
        <v>16</v>
      </c>
      <c r="M21" s="36">
        <v>45</v>
      </c>
      <c r="N21" s="36">
        <v>45</v>
      </c>
      <c r="O21" s="36">
        <v>70</v>
      </c>
      <c r="P21" s="36">
        <v>70</v>
      </c>
      <c r="Q21" s="36">
        <v>70</v>
      </c>
      <c r="R21" s="29">
        <v>16</v>
      </c>
      <c r="S21" s="30" t="s">
        <v>382</v>
      </c>
      <c r="T21" s="30" t="s">
        <v>383</v>
      </c>
      <c r="U21" s="29">
        <v>18</v>
      </c>
      <c r="V21" s="30" t="s">
        <v>384</v>
      </c>
      <c r="W21" s="30" t="s">
        <v>385</v>
      </c>
      <c r="X21" s="13" t="s">
        <v>42</v>
      </c>
      <c r="Y21" s="13" t="s">
        <v>106</v>
      </c>
      <c r="Z21" s="12">
        <v>44860</v>
      </c>
      <c r="AA21" s="13" t="s">
        <v>42</v>
      </c>
      <c r="AB21" s="13" t="s">
        <v>102</v>
      </c>
      <c r="AC21" s="12">
        <v>44870</v>
      </c>
      <c r="AD21" s="25">
        <v>2</v>
      </c>
    </row>
    <row r="22" spans="1:30" ht="39.950000000000003" customHeight="1" x14ac:dyDescent="0.25">
      <c r="A22" s="24">
        <v>19</v>
      </c>
      <c r="B22" s="25">
        <v>5</v>
      </c>
      <c r="C22" s="26" t="s">
        <v>147</v>
      </c>
      <c r="D22" s="27" t="s">
        <v>148</v>
      </c>
      <c r="E22" s="27" t="s">
        <v>148</v>
      </c>
      <c r="F22" s="28" t="s">
        <v>51</v>
      </c>
      <c r="G22" s="28" t="s">
        <v>100</v>
      </c>
      <c r="H22" s="28" t="s">
        <v>27</v>
      </c>
      <c r="I22" s="29">
        <v>0</v>
      </c>
      <c r="J22" s="28">
        <v>2020</v>
      </c>
      <c r="K22" s="29">
        <v>50</v>
      </c>
      <c r="L22" s="29">
        <v>0</v>
      </c>
      <c r="M22" s="29">
        <v>10</v>
      </c>
      <c r="N22" s="29">
        <v>20</v>
      </c>
      <c r="O22" s="29">
        <v>30</v>
      </c>
      <c r="P22" s="29">
        <v>40</v>
      </c>
      <c r="Q22" s="29">
        <v>50</v>
      </c>
      <c r="R22" s="29">
        <v>0</v>
      </c>
      <c r="S22" s="30" t="s">
        <v>386</v>
      </c>
      <c r="T22" s="30" t="s">
        <v>73</v>
      </c>
      <c r="U22" s="29">
        <v>0</v>
      </c>
      <c r="V22" s="30" t="s">
        <v>387</v>
      </c>
      <c r="W22" s="30" t="s">
        <v>388</v>
      </c>
      <c r="X22" s="13" t="s">
        <v>42</v>
      </c>
      <c r="Y22" s="13" t="s">
        <v>106</v>
      </c>
      <c r="Z22" s="12">
        <v>44860</v>
      </c>
      <c r="AA22" s="13" t="s">
        <v>42</v>
      </c>
      <c r="AB22" s="13" t="s">
        <v>102</v>
      </c>
      <c r="AC22" s="12">
        <v>44870</v>
      </c>
      <c r="AD22" s="25">
        <v>3</v>
      </c>
    </row>
    <row r="23" spans="1:30" ht="39.950000000000003" customHeight="1" x14ac:dyDescent="0.25">
      <c r="A23" s="24">
        <v>20</v>
      </c>
      <c r="B23" s="25">
        <v>5</v>
      </c>
      <c r="C23" s="26" t="s">
        <v>149</v>
      </c>
      <c r="D23" s="27" t="s">
        <v>150</v>
      </c>
      <c r="E23" s="27" t="s">
        <v>151</v>
      </c>
      <c r="F23" s="28" t="s">
        <v>40</v>
      </c>
      <c r="G23" s="28" t="s">
        <v>100</v>
      </c>
      <c r="H23" s="28" t="s">
        <v>27</v>
      </c>
      <c r="I23" s="31">
        <v>0</v>
      </c>
      <c r="J23" s="28">
        <v>2020</v>
      </c>
      <c r="K23" s="31">
        <v>135</v>
      </c>
      <c r="L23" s="31">
        <v>87</v>
      </c>
      <c r="M23" s="31">
        <v>87</v>
      </c>
      <c r="N23" s="31">
        <v>87</v>
      </c>
      <c r="O23" s="31">
        <v>135</v>
      </c>
      <c r="P23" s="31">
        <v>135</v>
      </c>
      <c r="Q23" s="31">
        <v>135</v>
      </c>
      <c r="R23" s="29">
        <v>123</v>
      </c>
      <c r="S23" s="30" t="s">
        <v>389</v>
      </c>
      <c r="T23" s="30" t="s">
        <v>390</v>
      </c>
      <c r="U23" s="29">
        <v>140</v>
      </c>
      <c r="V23" s="30" t="s">
        <v>391</v>
      </c>
      <c r="W23" s="30" t="s">
        <v>72</v>
      </c>
      <c r="X23" s="13" t="s">
        <v>42</v>
      </c>
      <c r="Y23" s="13" t="s">
        <v>106</v>
      </c>
      <c r="Z23" s="12">
        <v>44860</v>
      </c>
      <c r="AA23" s="13" t="s">
        <v>42</v>
      </c>
      <c r="AB23" s="13" t="s">
        <v>102</v>
      </c>
      <c r="AC23" s="12">
        <v>44870</v>
      </c>
      <c r="AD23" s="25">
        <v>3</v>
      </c>
    </row>
    <row r="24" spans="1:30" ht="39.950000000000003" customHeight="1" x14ac:dyDescent="0.25">
      <c r="A24" s="25">
        <v>21</v>
      </c>
      <c r="B24" s="25">
        <v>5</v>
      </c>
      <c r="C24" s="26" t="s">
        <v>152</v>
      </c>
      <c r="D24" s="33" t="s">
        <v>153</v>
      </c>
      <c r="E24" s="33" t="s">
        <v>154</v>
      </c>
      <c r="F24" s="28" t="s">
        <v>40</v>
      </c>
      <c r="G24" s="28" t="s">
        <v>100</v>
      </c>
      <c r="H24" s="28" t="s">
        <v>27</v>
      </c>
      <c r="I24" s="32">
        <v>1666</v>
      </c>
      <c r="J24" s="28">
        <v>2020</v>
      </c>
      <c r="K24" s="36">
        <v>1731</v>
      </c>
      <c r="L24" s="36">
        <v>1666</v>
      </c>
      <c r="M24" s="36">
        <v>1692</v>
      </c>
      <c r="N24" s="36">
        <v>1692</v>
      </c>
      <c r="O24" s="36">
        <v>1731</v>
      </c>
      <c r="P24" s="36">
        <v>1731</v>
      </c>
      <c r="Q24" s="36">
        <v>1731</v>
      </c>
      <c r="R24" s="29">
        <v>1666</v>
      </c>
      <c r="S24" s="30" t="s">
        <v>392</v>
      </c>
      <c r="T24" s="30" t="s">
        <v>72</v>
      </c>
      <c r="U24" s="29">
        <v>1666</v>
      </c>
      <c r="V24" s="30" t="s">
        <v>393</v>
      </c>
      <c r="W24" s="30" t="s">
        <v>394</v>
      </c>
      <c r="X24" s="13" t="s">
        <v>42</v>
      </c>
      <c r="Y24" s="13" t="s">
        <v>106</v>
      </c>
      <c r="Z24" s="12">
        <v>44860</v>
      </c>
      <c r="AA24" s="13" t="s">
        <v>42</v>
      </c>
      <c r="AB24" s="13" t="s">
        <v>102</v>
      </c>
      <c r="AC24" s="12">
        <v>44870</v>
      </c>
      <c r="AD24" s="25">
        <v>2</v>
      </c>
    </row>
    <row r="25" spans="1:30" ht="39.950000000000003" customHeight="1" x14ac:dyDescent="0.25">
      <c r="A25" s="24">
        <v>22</v>
      </c>
      <c r="B25" s="25">
        <v>6</v>
      </c>
      <c r="C25" s="26" t="s">
        <v>155</v>
      </c>
      <c r="D25" s="27" t="s">
        <v>156</v>
      </c>
      <c r="E25" s="27" t="s">
        <v>157</v>
      </c>
      <c r="F25" s="28" t="s">
        <v>53</v>
      </c>
      <c r="G25" s="28" t="s">
        <v>100</v>
      </c>
      <c r="H25" s="28" t="s">
        <v>27</v>
      </c>
      <c r="I25" s="31">
        <v>0</v>
      </c>
      <c r="J25" s="28">
        <v>2020</v>
      </c>
      <c r="K25" s="31">
        <v>8</v>
      </c>
      <c r="L25" s="31">
        <v>2</v>
      </c>
      <c r="M25" s="31">
        <v>3.5</v>
      </c>
      <c r="N25" s="31">
        <v>5</v>
      </c>
      <c r="O25" s="31">
        <v>8</v>
      </c>
      <c r="P25" s="31">
        <v>8</v>
      </c>
      <c r="Q25" s="31">
        <v>8</v>
      </c>
      <c r="R25" s="29">
        <v>5</v>
      </c>
      <c r="S25" s="30" t="s">
        <v>395</v>
      </c>
      <c r="T25" s="30" t="s">
        <v>72</v>
      </c>
      <c r="U25" s="29">
        <v>11</v>
      </c>
      <c r="V25" s="30" t="s">
        <v>396</v>
      </c>
      <c r="W25" s="30" t="s">
        <v>72</v>
      </c>
      <c r="X25" s="13" t="s">
        <v>42</v>
      </c>
      <c r="Y25" s="13" t="s">
        <v>106</v>
      </c>
      <c r="Z25" s="12">
        <v>44860</v>
      </c>
      <c r="AA25" s="13" t="s">
        <v>42</v>
      </c>
      <c r="AB25" s="13" t="s">
        <v>102</v>
      </c>
      <c r="AC25" s="12">
        <v>44870</v>
      </c>
      <c r="AD25" s="25">
        <v>3</v>
      </c>
    </row>
    <row r="26" spans="1:30" ht="39.950000000000003" customHeight="1" x14ac:dyDescent="0.25">
      <c r="A26" s="24">
        <v>23</v>
      </c>
      <c r="B26" s="25">
        <v>6</v>
      </c>
      <c r="C26" s="26" t="s">
        <v>158</v>
      </c>
      <c r="D26" s="27" t="s">
        <v>159</v>
      </c>
      <c r="E26" s="27" t="s">
        <v>160</v>
      </c>
      <c r="F26" s="28" t="s">
        <v>55</v>
      </c>
      <c r="G26" s="28" t="s">
        <v>100</v>
      </c>
      <c r="H26" s="28" t="s">
        <v>27</v>
      </c>
      <c r="I26" s="29">
        <v>0</v>
      </c>
      <c r="J26" s="28">
        <v>2020</v>
      </c>
      <c r="K26" s="29">
        <v>3</v>
      </c>
      <c r="L26" s="29">
        <v>0</v>
      </c>
      <c r="M26" s="29">
        <v>0.5</v>
      </c>
      <c r="N26" s="29">
        <v>1</v>
      </c>
      <c r="O26" s="29">
        <v>3</v>
      </c>
      <c r="P26" s="29">
        <v>3</v>
      </c>
      <c r="Q26" s="29">
        <v>3</v>
      </c>
      <c r="R26" s="29">
        <v>0</v>
      </c>
      <c r="S26" s="30" t="s">
        <v>397</v>
      </c>
      <c r="T26" s="30">
        <v>0</v>
      </c>
      <c r="U26" s="29">
        <v>0</v>
      </c>
      <c r="V26" s="30" t="s">
        <v>398</v>
      </c>
      <c r="W26" s="30" t="s">
        <v>399</v>
      </c>
      <c r="X26" s="13" t="s">
        <v>42</v>
      </c>
      <c r="Y26" s="13" t="s">
        <v>106</v>
      </c>
      <c r="Z26" s="12">
        <v>44860</v>
      </c>
      <c r="AA26" s="13" t="s">
        <v>42</v>
      </c>
      <c r="AB26" s="13" t="s">
        <v>102</v>
      </c>
      <c r="AC26" s="12">
        <v>44870</v>
      </c>
      <c r="AD26" s="25">
        <v>3</v>
      </c>
    </row>
    <row r="27" spans="1:30" ht="39.950000000000003" customHeight="1" x14ac:dyDescent="0.25">
      <c r="A27" s="24">
        <v>24</v>
      </c>
      <c r="B27" s="25">
        <v>7</v>
      </c>
      <c r="C27" s="26" t="s">
        <v>161</v>
      </c>
      <c r="D27" s="27" t="s">
        <v>162</v>
      </c>
      <c r="E27" s="27" t="s">
        <v>163</v>
      </c>
      <c r="F27" s="28" t="s">
        <v>55</v>
      </c>
      <c r="G27" s="28" t="s">
        <v>100</v>
      </c>
      <c r="H27" s="28" t="s">
        <v>27</v>
      </c>
      <c r="I27" s="31">
        <v>4</v>
      </c>
      <c r="J27" s="28">
        <v>2020</v>
      </c>
      <c r="K27" s="31">
        <v>13</v>
      </c>
      <c r="L27" s="31">
        <v>0</v>
      </c>
      <c r="M27" s="31">
        <v>3</v>
      </c>
      <c r="N27" s="31">
        <v>6</v>
      </c>
      <c r="O27" s="31">
        <v>9</v>
      </c>
      <c r="P27" s="31">
        <v>12</v>
      </c>
      <c r="Q27" s="31">
        <v>13</v>
      </c>
      <c r="R27" s="29">
        <v>0</v>
      </c>
      <c r="S27" s="30" t="s">
        <v>400</v>
      </c>
      <c r="T27" s="30">
        <v>0</v>
      </c>
      <c r="U27" s="29">
        <v>6</v>
      </c>
      <c r="V27" s="30" t="s">
        <v>401</v>
      </c>
      <c r="W27" s="30" t="s">
        <v>402</v>
      </c>
      <c r="X27" s="13" t="s">
        <v>42</v>
      </c>
      <c r="Y27" s="13" t="s">
        <v>106</v>
      </c>
      <c r="Z27" s="12">
        <v>44860</v>
      </c>
      <c r="AA27" s="13" t="s">
        <v>42</v>
      </c>
      <c r="AB27" s="13" t="s">
        <v>102</v>
      </c>
      <c r="AC27" s="12">
        <v>44870</v>
      </c>
      <c r="AD27" s="25">
        <v>3</v>
      </c>
    </row>
    <row r="28" spans="1:30" ht="39.950000000000003" customHeight="1" x14ac:dyDescent="0.25">
      <c r="A28" s="25">
        <v>25</v>
      </c>
      <c r="B28" s="25">
        <v>7</v>
      </c>
      <c r="C28" s="26" t="s">
        <v>164</v>
      </c>
      <c r="D28" s="33" t="s">
        <v>165</v>
      </c>
      <c r="E28" s="33" t="s">
        <v>166</v>
      </c>
      <c r="F28" s="28" t="s">
        <v>55</v>
      </c>
      <c r="G28" s="28" t="s">
        <v>100</v>
      </c>
      <c r="H28" s="28" t="s">
        <v>27</v>
      </c>
      <c r="I28" s="35">
        <v>0.18</v>
      </c>
      <c r="J28" s="28">
        <v>2020</v>
      </c>
      <c r="K28" s="36">
        <v>24</v>
      </c>
      <c r="L28" s="36">
        <v>18</v>
      </c>
      <c r="M28" s="36">
        <v>22</v>
      </c>
      <c r="N28" s="36">
        <v>22</v>
      </c>
      <c r="O28" s="36">
        <v>22</v>
      </c>
      <c r="P28" s="36">
        <v>22</v>
      </c>
      <c r="Q28" s="36">
        <v>24</v>
      </c>
      <c r="R28" s="29">
        <v>68</v>
      </c>
      <c r="S28" s="30" t="s">
        <v>403</v>
      </c>
      <c r="T28" s="30" t="s">
        <v>404</v>
      </c>
      <c r="U28" s="29">
        <v>23</v>
      </c>
      <c r="V28" s="30" t="s">
        <v>405</v>
      </c>
      <c r="W28" s="30" t="s">
        <v>406</v>
      </c>
      <c r="X28" s="13" t="s">
        <v>42</v>
      </c>
      <c r="Y28" s="13" t="s">
        <v>106</v>
      </c>
      <c r="Z28" s="12">
        <v>44860</v>
      </c>
      <c r="AA28" s="13" t="s">
        <v>42</v>
      </c>
      <c r="AB28" s="13" t="s">
        <v>102</v>
      </c>
      <c r="AC28" s="12">
        <v>44870</v>
      </c>
      <c r="AD28" s="25">
        <v>2</v>
      </c>
    </row>
    <row r="29" spans="1:30" ht="39.950000000000003" customHeight="1" x14ac:dyDescent="0.25">
      <c r="A29" s="25">
        <v>26</v>
      </c>
      <c r="B29" s="25">
        <v>8</v>
      </c>
      <c r="C29" s="26" t="s">
        <v>167</v>
      </c>
      <c r="D29" s="33" t="s">
        <v>168</v>
      </c>
      <c r="E29" s="33" t="s">
        <v>169</v>
      </c>
      <c r="F29" s="28" t="s">
        <v>57</v>
      </c>
      <c r="G29" s="28" t="s">
        <v>100</v>
      </c>
      <c r="H29" s="28" t="s">
        <v>27</v>
      </c>
      <c r="I29" s="35">
        <v>0</v>
      </c>
      <c r="J29" s="28">
        <v>2020</v>
      </c>
      <c r="K29" s="36">
        <v>20</v>
      </c>
      <c r="L29" s="28">
        <v>0</v>
      </c>
      <c r="M29" s="36">
        <v>20</v>
      </c>
      <c r="N29" s="36">
        <v>20</v>
      </c>
      <c r="O29" s="36">
        <v>20</v>
      </c>
      <c r="P29" s="36">
        <v>20</v>
      </c>
      <c r="Q29" s="36">
        <v>20</v>
      </c>
      <c r="R29" s="29">
        <v>0</v>
      </c>
      <c r="S29" s="30" t="s">
        <v>407</v>
      </c>
      <c r="T29" s="30" t="s">
        <v>74</v>
      </c>
      <c r="U29" s="29">
        <v>0</v>
      </c>
      <c r="V29" s="30" t="s">
        <v>408</v>
      </c>
      <c r="W29" s="30" t="s">
        <v>76</v>
      </c>
      <c r="X29" s="13" t="s">
        <v>42</v>
      </c>
      <c r="Y29" s="13" t="s">
        <v>106</v>
      </c>
      <c r="Z29" s="12">
        <v>44860</v>
      </c>
      <c r="AA29" s="13" t="s">
        <v>42</v>
      </c>
      <c r="AB29" s="13" t="s">
        <v>102</v>
      </c>
      <c r="AC29" s="12">
        <v>44870</v>
      </c>
      <c r="AD29" s="25">
        <v>2</v>
      </c>
    </row>
    <row r="30" spans="1:30" ht="39.950000000000003" customHeight="1" x14ac:dyDescent="0.25">
      <c r="A30" s="24">
        <v>27</v>
      </c>
      <c r="B30" s="25">
        <v>8</v>
      </c>
      <c r="C30" s="26" t="s">
        <v>170</v>
      </c>
      <c r="D30" s="27" t="s">
        <v>171</v>
      </c>
      <c r="E30" s="27" t="s">
        <v>172</v>
      </c>
      <c r="F30" s="28" t="s">
        <v>57</v>
      </c>
      <c r="G30" s="28" t="s">
        <v>100</v>
      </c>
      <c r="H30" s="28" t="s">
        <v>27</v>
      </c>
      <c r="I30" s="29">
        <v>3</v>
      </c>
      <c r="J30" s="28">
        <v>2020</v>
      </c>
      <c r="K30" s="29">
        <v>7</v>
      </c>
      <c r="L30" s="29">
        <v>2</v>
      </c>
      <c r="M30" s="29">
        <v>3</v>
      </c>
      <c r="N30" s="29">
        <v>4</v>
      </c>
      <c r="O30" s="29">
        <v>5</v>
      </c>
      <c r="P30" s="29">
        <v>6</v>
      </c>
      <c r="Q30" s="29">
        <v>7</v>
      </c>
      <c r="R30" s="29">
        <v>0</v>
      </c>
      <c r="S30" s="30" t="s">
        <v>409</v>
      </c>
      <c r="T30" s="30" t="s">
        <v>410</v>
      </c>
      <c r="U30" s="29">
        <v>0</v>
      </c>
      <c r="V30" s="30" t="s">
        <v>75</v>
      </c>
      <c r="W30" s="30" t="s">
        <v>76</v>
      </c>
      <c r="X30" s="13" t="s">
        <v>42</v>
      </c>
      <c r="Y30" s="13" t="s">
        <v>106</v>
      </c>
      <c r="Z30" s="12">
        <v>44860</v>
      </c>
      <c r="AA30" s="13" t="s">
        <v>42</v>
      </c>
      <c r="AB30" s="13" t="s">
        <v>102</v>
      </c>
      <c r="AC30" s="12">
        <v>44870</v>
      </c>
      <c r="AD30" s="25">
        <v>3</v>
      </c>
    </row>
    <row r="31" spans="1:30" ht="39.950000000000003" customHeight="1" x14ac:dyDescent="0.25">
      <c r="A31" s="25">
        <v>28</v>
      </c>
      <c r="B31" s="25">
        <v>9</v>
      </c>
      <c r="C31" s="26" t="s">
        <v>173</v>
      </c>
      <c r="D31" s="33" t="s">
        <v>173</v>
      </c>
      <c r="E31" s="33" t="s">
        <v>174</v>
      </c>
      <c r="F31" s="28" t="s">
        <v>57</v>
      </c>
      <c r="G31" s="28" t="s">
        <v>100</v>
      </c>
      <c r="H31" s="28" t="s">
        <v>27</v>
      </c>
      <c r="I31" s="28">
        <v>65</v>
      </c>
      <c r="J31" s="28">
        <v>2020</v>
      </c>
      <c r="K31" s="28">
        <v>85</v>
      </c>
      <c r="L31" s="28">
        <v>68</v>
      </c>
      <c r="M31" s="28">
        <v>74</v>
      </c>
      <c r="N31" s="28">
        <v>74</v>
      </c>
      <c r="O31" s="28">
        <v>80</v>
      </c>
      <c r="P31" s="28">
        <v>80</v>
      </c>
      <c r="Q31" s="28">
        <v>85</v>
      </c>
      <c r="R31" s="29">
        <v>81</v>
      </c>
      <c r="S31" s="30" t="s">
        <v>411</v>
      </c>
      <c r="T31" s="30" t="s">
        <v>412</v>
      </c>
      <c r="U31" s="29">
        <v>81</v>
      </c>
      <c r="V31" s="30" t="s">
        <v>413</v>
      </c>
      <c r="W31" s="30" t="s">
        <v>414</v>
      </c>
      <c r="X31" s="13" t="s">
        <v>42</v>
      </c>
      <c r="Y31" s="13" t="s">
        <v>106</v>
      </c>
      <c r="Z31" s="12">
        <v>44860</v>
      </c>
      <c r="AA31" s="13" t="s">
        <v>42</v>
      </c>
      <c r="AB31" s="13" t="s">
        <v>102</v>
      </c>
      <c r="AC31" s="12">
        <v>44870</v>
      </c>
      <c r="AD31" s="25">
        <v>2</v>
      </c>
    </row>
    <row r="32" spans="1:30" ht="39.950000000000003" customHeight="1" x14ac:dyDescent="0.25">
      <c r="A32" s="25">
        <v>29</v>
      </c>
      <c r="B32" s="25">
        <v>9</v>
      </c>
      <c r="C32" s="26" t="s">
        <v>175</v>
      </c>
      <c r="D32" s="33" t="s">
        <v>175</v>
      </c>
      <c r="E32" s="33" t="s">
        <v>176</v>
      </c>
      <c r="F32" s="28" t="s">
        <v>57</v>
      </c>
      <c r="G32" s="28" t="s">
        <v>100</v>
      </c>
      <c r="H32" s="28" t="s">
        <v>27</v>
      </c>
      <c r="I32" s="28">
        <v>65</v>
      </c>
      <c r="J32" s="28">
        <v>2020</v>
      </c>
      <c r="K32" s="28">
        <v>85</v>
      </c>
      <c r="L32" s="28">
        <v>68</v>
      </c>
      <c r="M32" s="28">
        <v>74</v>
      </c>
      <c r="N32" s="28">
        <v>74</v>
      </c>
      <c r="O32" s="28">
        <v>80</v>
      </c>
      <c r="P32" s="28">
        <v>80</v>
      </c>
      <c r="Q32" s="28">
        <v>85</v>
      </c>
      <c r="R32" s="29">
        <v>81</v>
      </c>
      <c r="S32" s="30" t="s">
        <v>415</v>
      </c>
      <c r="T32" s="30" t="s">
        <v>412</v>
      </c>
      <c r="U32" s="29">
        <v>81</v>
      </c>
      <c r="V32" s="30" t="s">
        <v>413</v>
      </c>
      <c r="W32" s="30" t="s">
        <v>414</v>
      </c>
      <c r="X32" s="13" t="s">
        <v>42</v>
      </c>
      <c r="Y32" s="13" t="s">
        <v>106</v>
      </c>
      <c r="Z32" s="12">
        <v>44860</v>
      </c>
      <c r="AA32" s="13" t="s">
        <v>42</v>
      </c>
      <c r="AB32" s="13" t="s">
        <v>102</v>
      </c>
      <c r="AC32" s="12">
        <v>44870</v>
      </c>
      <c r="AD32" s="25">
        <v>2</v>
      </c>
    </row>
    <row r="33" spans="1:30" ht="39.950000000000003" customHeight="1" x14ac:dyDescent="0.25">
      <c r="A33" s="24">
        <v>30</v>
      </c>
      <c r="B33" s="25">
        <v>10</v>
      </c>
      <c r="C33" s="26" t="s">
        <v>177</v>
      </c>
      <c r="D33" s="27" t="s">
        <v>178</v>
      </c>
      <c r="E33" s="27" t="s">
        <v>178</v>
      </c>
      <c r="F33" s="28" t="s">
        <v>51</v>
      </c>
      <c r="G33" s="28" t="s">
        <v>100</v>
      </c>
      <c r="H33" s="28" t="s">
        <v>27</v>
      </c>
      <c r="I33" s="32">
        <v>3672</v>
      </c>
      <c r="J33" s="28">
        <v>2020</v>
      </c>
      <c r="K33" s="32">
        <v>25000</v>
      </c>
      <c r="L33" s="32">
        <v>0</v>
      </c>
      <c r="M33" s="32">
        <v>0</v>
      </c>
      <c r="N33" s="32">
        <v>0</v>
      </c>
      <c r="O33" s="32">
        <v>1350</v>
      </c>
      <c r="P33" s="32">
        <v>2700</v>
      </c>
      <c r="Q33" s="32">
        <v>25000</v>
      </c>
      <c r="R33" s="29">
        <v>0</v>
      </c>
      <c r="S33" s="30" t="s">
        <v>416</v>
      </c>
      <c r="T33" s="30" t="s">
        <v>417</v>
      </c>
      <c r="U33" s="29">
        <v>325</v>
      </c>
      <c r="V33" s="30" t="s">
        <v>418</v>
      </c>
      <c r="W33" s="30" t="s">
        <v>419</v>
      </c>
      <c r="X33" s="13" t="s">
        <v>42</v>
      </c>
      <c r="Y33" s="13" t="s">
        <v>106</v>
      </c>
      <c r="Z33" s="12">
        <v>44860</v>
      </c>
      <c r="AA33" s="13" t="s">
        <v>42</v>
      </c>
      <c r="AB33" s="13" t="s">
        <v>102</v>
      </c>
      <c r="AC33" s="12">
        <v>44870</v>
      </c>
      <c r="AD33" s="25">
        <v>3</v>
      </c>
    </row>
    <row r="34" spans="1:30" ht="39.950000000000003" customHeight="1" x14ac:dyDescent="0.25">
      <c r="A34" s="24">
        <v>31</v>
      </c>
      <c r="B34" s="25">
        <v>10</v>
      </c>
      <c r="C34" s="26" t="s">
        <v>179</v>
      </c>
      <c r="D34" s="27" t="s">
        <v>180</v>
      </c>
      <c r="E34" s="27" t="s">
        <v>180</v>
      </c>
      <c r="F34" s="28" t="s">
        <v>51</v>
      </c>
      <c r="G34" s="28" t="s">
        <v>100</v>
      </c>
      <c r="H34" s="28" t="s">
        <v>27</v>
      </c>
      <c r="I34" s="32">
        <v>14386</v>
      </c>
      <c r="J34" s="28">
        <v>2020</v>
      </c>
      <c r="K34" s="32">
        <v>30000</v>
      </c>
      <c r="L34" s="32">
        <v>6500</v>
      </c>
      <c r="M34" s="32">
        <v>8100</v>
      </c>
      <c r="N34" s="32">
        <v>9700</v>
      </c>
      <c r="O34" s="32">
        <v>14300</v>
      </c>
      <c r="P34" s="32">
        <v>18900</v>
      </c>
      <c r="Q34" s="32">
        <v>30000</v>
      </c>
      <c r="R34" s="29">
        <v>5365</v>
      </c>
      <c r="S34" s="30" t="s">
        <v>420</v>
      </c>
      <c r="T34" s="30" t="s">
        <v>421</v>
      </c>
      <c r="U34" s="29">
        <v>8833</v>
      </c>
      <c r="V34" s="30" t="s">
        <v>422</v>
      </c>
      <c r="W34" s="30" t="s">
        <v>419</v>
      </c>
      <c r="X34" s="13" t="s">
        <v>42</v>
      </c>
      <c r="Y34" s="13" t="s">
        <v>106</v>
      </c>
      <c r="Z34" s="12">
        <v>44860</v>
      </c>
      <c r="AA34" s="13" t="s">
        <v>42</v>
      </c>
      <c r="AB34" s="13" t="s">
        <v>102</v>
      </c>
      <c r="AC34" s="12">
        <v>44870</v>
      </c>
      <c r="AD34" s="25">
        <v>3</v>
      </c>
    </row>
    <row r="35" spans="1:30" ht="39.950000000000003" customHeight="1" x14ac:dyDescent="0.25">
      <c r="A35" s="25">
        <v>32</v>
      </c>
      <c r="B35" s="25">
        <v>11</v>
      </c>
      <c r="C35" s="26" t="s">
        <v>181</v>
      </c>
      <c r="D35" s="33" t="s">
        <v>182</v>
      </c>
      <c r="E35" s="33" t="s">
        <v>183</v>
      </c>
      <c r="F35" s="28" t="s">
        <v>49</v>
      </c>
      <c r="G35" s="28" t="s">
        <v>100</v>
      </c>
      <c r="H35" s="28" t="s">
        <v>27</v>
      </c>
      <c r="I35" s="32">
        <v>282</v>
      </c>
      <c r="J35" s="28">
        <v>2020</v>
      </c>
      <c r="K35" s="32">
        <v>1315</v>
      </c>
      <c r="L35" s="32">
        <v>334</v>
      </c>
      <c r="M35" s="32">
        <v>700</v>
      </c>
      <c r="N35" s="32">
        <v>732</v>
      </c>
      <c r="O35" s="32">
        <v>1325</v>
      </c>
      <c r="P35" s="32">
        <v>1186</v>
      </c>
      <c r="Q35" s="32">
        <v>1315</v>
      </c>
      <c r="R35" s="29">
        <v>306</v>
      </c>
      <c r="S35" s="30" t="s">
        <v>423</v>
      </c>
      <c r="T35" s="30" t="s">
        <v>424</v>
      </c>
      <c r="U35" s="29">
        <v>772</v>
      </c>
      <c r="V35" s="30" t="s">
        <v>425</v>
      </c>
      <c r="W35" s="30" t="s">
        <v>426</v>
      </c>
      <c r="X35" s="13" t="s">
        <v>42</v>
      </c>
      <c r="Y35" s="13" t="s">
        <v>106</v>
      </c>
      <c r="Z35" s="12">
        <v>44860</v>
      </c>
      <c r="AA35" s="13" t="s">
        <v>42</v>
      </c>
      <c r="AB35" s="13" t="s">
        <v>102</v>
      </c>
      <c r="AC35" s="12">
        <v>44870</v>
      </c>
      <c r="AD35" s="25">
        <v>4</v>
      </c>
    </row>
    <row r="36" spans="1:30" ht="39.950000000000003" customHeight="1" x14ac:dyDescent="0.25">
      <c r="A36" s="25">
        <v>33</v>
      </c>
      <c r="B36" s="25">
        <v>11</v>
      </c>
      <c r="C36" s="26" t="s">
        <v>184</v>
      </c>
      <c r="D36" s="33" t="s">
        <v>185</v>
      </c>
      <c r="E36" s="33" t="s">
        <v>186</v>
      </c>
      <c r="F36" s="28" t="s">
        <v>51</v>
      </c>
      <c r="G36" s="28" t="s">
        <v>100</v>
      </c>
      <c r="H36" s="28" t="s">
        <v>27</v>
      </c>
      <c r="I36" s="35">
        <v>0.05</v>
      </c>
      <c r="J36" s="28">
        <v>2020</v>
      </c>
      <c r="K36" s="36">
        <v>33</v>
      </c>
      <c r="L36" s="36">
        <v>8</v>
      </c>
      <c r="M36" s="36">
        <v>12</v>
      </c>
      <c r="N36" s="36">
        <v>12</v>
      </c>
      <c r="O36" s="36">
        <v>25</v>
      </c>
      <c r="P36" s="36">
        <v>25</v>
      </c>
      <c r="Q36" s="36">
        <v>33</v>
      </c>
      <c r="R36" s="29">
        <v>0</v>
      </c>
      <c r="S36" s="30" t="s">
        <v>427</v>
      </c>
      <c r="T36" s="30" t="s">
        <v>428</v>
      </c>
      <c r="U36" s="29">
        <v>10</v>
      </c>
      <c r="V36" s="30" t="s">
        <v>429</v>
      </c>
      <c r="W36" s="30" t="s">
        <v>430</v>
      </c>
      <c r="X36" s="13" t="s">
        <v>42</v>
      </c>
      <c r="Y36" s="13" t="s">
        <v>106</v>
      </c>
      <c r="Z36" s="12">
        <v>44860</v>
      </c>
      <c r="AA36" s="13" t="s">
        <v>42</v>
      </c>
      <c r="AB36" s="13" t="s">
        <v>102</v>
      </c>
      <c r="AC36" s="12">
        <v>44870</v>
      </c>
      <c r="AD36" s="25">
        <v>2</v>
      </c>
    </row>
    <row r="37" spans="1:30" ht="39.950000000000003" customHeight="1" x14ac:dyDescent="0.25">
      <c r="A37" s="24">
        <v>34</v>
      </c>
      <c r="B37" s="25">
        <v>12</v>
      </c>
      <c r="C37" s="26" t="s">
        <v>187</v>
      </c>
      <c r="D37" s="27" t="s">
        <v>188</v>
      </c>
      <c r="E37" s="27" t="s">
        <v>189</v>
      </c>
      <c r="F37" s="28" t="s">
        <v>40</v>
      </c>
      <c r="G37" s="28" t="s">
        <v>100</v>
      </c>
      <c r="H37" s="28" t="s">
        <v>27</v>
      </c>
      <c r="I37" s="29">
        <v>1</v>
      </c>
      <c r="J37" s="28">
        <v>2020</v>
      </c>
      <c r="K37" s="29">
        <v>7</v>
      </c>
      <c r="L37" s="29">
        <v>1</v>
      </c>
      <c r="M37" s="29">
        <v>2</v>
      </c>
      <c r="N37" s="29">
        <v>3</v>
      </c>
      <c r="O37" s="29">
        <v>4.5</v>
      </c>
      <c r="P37" s="29">
        <v>6</v>
      </c>
      <c r="Q37" s="29">
        <v>7</v>
      </c>
      <c r="R37" s="29">
        <v>0</v>
      </c>
      <c r="S37" s="30" t="s">
        <v>431</v>
      </c>
      <c r="T37" s="30" t="s">
        <v>432</v>
      </c>
      <c r="U37" s="29">
        <v>2</v>
      </c>
      <c r="V37" s="30" t="s">
        <v>433</v>
      </c>
      <c r="W37" s="30" t="s">
        <v>434</v>
      </c>
      <c r="X37" s="13" t="s">
        <v>42</v>
      </c>
      <c r="Y37" s="13" t="s">
        <v>106</v>
      </c>
      <c r="Z37" s="12">
        <v>44860</v>
      </c>
      <c r="AA37" s="13" t="s">
        <v>42</v>
      </c>
      <c r="AB37" s="13" t="s">
        <v>102</v>
      </c>
      <c r="AC37" s="12">
        <v>44870</v>
      </c>
      <c r="AD37" s="25">
        <v>3</v>
      </c>
    </row>
    <row r="38" spans="1:30" ht="39.950000000000003" customHeight="1" x14ac:dyDescent="0.25">
      <c r="A38" s="24">
        <v>35</v>
      </c>
      <c r="B38" s="25">
        <v>12</v>
      </c>
      <c r="C38" s="26" t="s">
        <v>190</v>
      </c>
      <c r="D38" s="27" t="s">
        <v>191</v>
      </c>
      <c r="E38" s="27" t="s">
        <v>192</v>
      </c>
      <c r="F38" s="28" t="s">
        <v>208</v>
      </c>
      <c r="G38" s="28" t="s">
        <v>100</v>
      </c>
      <c r="H38" s="28" t="s">
        <v>27</v>
      </c>
      <c r="I38" s="31">
        <v>5</v>
      </c>
      <c r="J38" s="28">
        <v>2020</v>
      </c>
      <c r="K38" s="31">
        <v>6</v>
      </c>
      <c r="L38" s="31">
        <v>1</v>
      </c>
      <c r="M38" s="31">
        <v>2</v>
      </c>
      <c r="N38" s="31">
        <v>3</v>
      </c>
      <c r="O38" s="31">
        <v>4</v>
      </c>
      <c r="P38" s="31">
        <v>5</v>
      </c>
      <c r="Q38" s="31">
        <v>6</v>
      </c>
      <c r="R38" s="29">
        <v>1</v>
      </c>
      <c r="S38" s="30" t="s">
        <v>77</v>
      </c>
      <c r="T38" s="30" t="s">
        <v>78</v>
      </c>
      <c r="U38" s="29">
        <v>3</v>
      </c>
      <c r="V38" s="30" t="s">
        <v>435</v>
      </c>
      <c r="W38" s="30" t="s">
        <v>436</v>
      </c>
      <c r="X38" s="13" t="s">
        <v>42</v>
      </c>
      <c r="Y38" s="13" t="s">
        <v>106</v>
      </c>
      <c r="Z38" s="12">
        <v>44860</v>
      </c>
      <c r="AA38" s="13" t="s">
        <v>42</v>
      </c>
      <c r="AB38" s="13" t="s">
        <v>102</v>
      </c>
      <c r="AC38" s="12">
        <v>44870</v>
      </c>
      <c r="AD38" s="25">
        <v>3</v>
      </c>
    </row>
    <row r="39" spans="1:30" ht="39.950000000000003" customHeight="1" x14ac:dyDescent="0.25">
      <c r="A39" s="24">
        <v>36</v>
      </c>
      <c r="B39" s="25">
        <v>12</v>
      </c>
      <c r="C39" s="26" t="s">
        <v>193</v>
      </c>
      <c r="D39" s="27" t="s">
        <v>194</v>
      </c>
      <c r="E39" s="27" t="s">
        <v>195</v>
      </c>
      <c r="F39" s="28" t="s">
        <v>208</v>
      </c>
      <c r="G39" s="28" t="s">
        <v>100</v>
      </c>
      <c r="H39" s="28" t="s">
        <v>27</v>
      </c>
      <c r="I39" s="32">
        <v>700</v>
      </c>
      <c r="J39" s="28">
        <v>2020</v>
      </c>
      <c r="K39" s="32">
        <v>2000</v>
      </c>
      <c r="L39" s="32">
        <v>200</v>
      </c>
      <c r="M39" s="32">
        <v>550</v>
      </c>
      <c r="N39" s="32">
        <v>900</v>
      </c>
      <c r="O39" s="32">
        <v>1300</v>
      </c>
      <c r="P39" s="32">
        <v>1700</v>
      </c>
      <c r="Q39" s="32">
        <v>2000</v>
      </c>
      <c r="R39" s="29">
        <v>207</v>
      </c>
      <c r="S39" s="30" t="s">
        <v>79</v>
      </c>
      <c r="T39" s="30" t="s">
        <v>80</v>
      </c>
      <c r="U39" s="29">
        <v>1017</v>
      </c>
      <c r="V39" s="30" t="s">
        <v>437</v>
      </c>
      <c r="W39" s="30" t="s">
        <v>438</v>
      </c>
      <c r="X39" s="13" t="s">
        <v>42</v>
      </c>
      <c r="Y39" s="13" t="s">
        <v>106</v>
      </c>
      <c r="Z39" s="12">
        <v>44860</v>
      </c>
      <c r="AA39" s="13" t="s">
        <v>42</v>
      </c>
      <c r="AB39" s="13" t="s">
        <v>102</v>
      </c>
      <c r="AC39" s="12">
        <v>44870</v>
      </c>
      <c r="AD39" s="25">
        <v>3</v>
      </c>
    </row>
    <row r="40" spans="1:30" ht="39.950000000000003" customHeight="1" x14ac:dyDescent="0.25">
      <c r="A40" s="25">
        <v>37</v>
      </c>
      <c r="B40" s="25">
        <v>13</v>
      </c>
      <c r="C40" s="26" t="s">
        <v>196</v>
      </c>
      <c r="D40" s="33" t="s">
        <v>197</v>
      </c>
      <c r="E40" s="33" t="s">
        <v>197</v>
      </c>
      <c r="F40" s="28" t="s">
        <v>51</v>
      </c>
      <c r="G40" s="28" t="s">
        <v>100</v>
      </c>
      <c r="H40" s="28" t="s">
        <v>27</v>
      </c>
      <c r="I40" s="35">
        <v>0.51</v>
      </c>
      <c r="J40" s="28">
        <v>2020</v>
      </c>
      <c r="K40" s="36">
        <v>75</v>
      </c>
      <c r="L40" s="36">
        <v>55</v>
      </c>
      <c r="M40" s="36">
        <v>65</v>
      </c>
      <c r="N40" s="36">
        <v>65</v>
      </c>
      <c r="O40" s="36">
        <v>70</v>
      </c>
      <c r="P40" s="36">
        <v>70</v>
      </c>
      <c r="Q40" s="36">
        <v>75</v>
      </c>
      <c r="R40" s="29">
        <v>55</v>
      </c>
      <c r="S40" s="30" t="s">
        <v>439</v>
      </c>
      <c r="T40" s="30" t="s">
        <v>440</v>
      </c>
      <c r="U40" s="29">
        <v>59</v>
      </c>
      <c r="V40" s="30" t="s">
        <v>441</v>
      </c>
      <c r="W40" s="30" t="s">
        <v>442</v>
      </c>
      <c r="X40" s="13" t="s">
        <v>42</v>
      </c>
      <c r="Y40" s="13" t="s">
        <v>106</v>
      </c>
      <c r="Z40" s="12">
        <v>44860</v>
      </c>
      <c r="AA40" s="13" t="s">
        <v>42</v>
      </c>
      <c r="AB40" s="13" t="s">
        <v>102</v>
      </c>
      <c r="AC40" s="12">
        <v>44870</v>
      </c>
      <c r="AD40" s="25">
        <v>2</v>
      </c>
    </row>
    <row r="41" spans="1:30" ht="39.950000000000003" customHeight="1" x14ac:dyDescent="0.25">
      <c r="A41" s="24">
        <v>38</v>
      </c>
      <c r="B41" s="25">
        <v>13</v>
      </c>
      <c r="C41" s="26" t="s">
        <v>198</v>
      </c>
      <c r="D41" s="27" t="s">
        <v>199</v>
      </c>
      <c r="E41" s="27" t="s">
        <v>200</v>
      </c>
      <c r="F41" s="28" t="s">
        <v>51</v>
      </c>
      <c r="G41" s="28" t="s">
        <v>100</v>
      </c>
      <c r="H41" s="28" t="s">
        <v>27</v>
      </c>
      <c r="I41" s="29">
        <v>10</v>
      </c>
      <c r="J41" s="28">
        <v>2020</v>
      </c>
      <c r="K41" s="29">
        <v>12</v>
      </c>
      <c r="L41" s="29">
        <v>2</v>
      </c>
      <c r="M41" s="29">
        <v>4</v>
      </c>
      <c r="N41" s="29">
        <v>6</v>
      </c>
      <c r="O41" s="29">
        <v>8.5</v>
      </c>
      <c r="P41" s="29">
        <v>11</v>
      </c>
      <c r="Q41" s="29">
        <v>12</v>
      </c>
      <c r="R41" s="29">
        <v>2</v>
      </c>
      <c r="S41" s="30" t="s">
        <v>443</v>
      </c>
      <c r="T41" s="30" t="s">
        <v>444</v>
      </c>
      <c r="U41" s="29">
        <v>5</v>
      </c>
      <c r="V41" s="30" t="s">
        <v>445</v>
      </c>
      <c r="W41" s="30" t="s">
        <v>446</v>
      </c>
      <c r="X41" s="13" t="s">
        <v>42</v>
      </c>
      <c r="Y41" s="13" t="s">
        <v>106</v>
      </c>
      <c r="Z41" s="12">
        <v>44860</v>
      </c>
      <c r="AA41" s="13" t="s">
        <v>42</v>
      </c>
      <c r="AB41" s="13" t="s">
        <v>102</v>
      </c>
      <c r="AC41" s="12">
        <v>44870</v>
      </c>
      <c r="AD41" s="25">
        <v>3</v>
      </c>
    </row>
    <row r="42" spans="1:30" ht="39.950000000000003" customHeight="1" x14ac:dyDescent="0.25">
      <c r="A42" s="24">
        <v>39</v>
      </c>
      <c r="B42" s="25">
        <v>14</v>
      </c>
      <c r="C42" s="26" t="s">
        <v>201</v>
      </c>
      <c r="D42" s="27" t="s">
        <v>202</v>
      </c>
      <c r="E42" s="27" t="s">
        <v>203</v>
      </c>
      <c r="F42" s="28" t="s">
        <v>46</v>
      </c>
      <c r="G42" s="28" t="s">
        <v>100</v>
      </c>
      <c r="H42" s="28" t="s">
        <v>27</v>
      </c>
      <c r="I42" s="32">
        <v>889</v>
      </c>
      <c r="J42" s="28">
        <v>2020</v>
      </c>
      <c r="K42" s="32">
        <v>4650</v>
      </c>
      <c r="L42" s="32">
        <v>900</v>
      </c>
      <c r="M42" s="32">
        <v>1650</v>
      </c>
      <c r="N42" s="32">
        <v>2400</v>
      </c>
      <c r="O42" s="32">
        <v>3400</v>
      </c>
      <c r="P42" s="32">
        <v>4400</v>
      </c>
      <c r="Q42" s="32">
        <v>4650</v>
      </c>
      <c r="R42" s="29">
        <v>1208</v>
      </c>
      <c r="S42" s="30" t="s">
        <v>447</v>
      </c>
      <c r="T42" s="30" t="s">
        <v>448</v>
      </c>
      <c r="U42" s="29">
        <v>2183</v>
      </c>
      <c r="V42" s="30" t="s">
        <v>449</v>
      </c>
      <c r="W42" s="30" t="s">
        <v>450</v>
      </c>
      <c r="X42" s="13" t="s">
        <v>42</v>
      </c>
      <c r="Y42" s="13" t="s">
        <v>106</v>
      </c>
      <c r="Z42" s="12">
        <v>44860</v>
      </c>
      <c r="AA42" s="13" t="s">
        <v>42</v>
      </c>
      <c r="AB42" s="13" t="s">
        <v>102</v>
      </c>
      <c r="AC42" s="12">
        <v>44870</v>
      </c>
      <c r="AD42" s="25">
        <v>3</v>
      </c>
    </row>
    <row r="43" spans="1:30" ht="39.950000000000003" customHeight="1" x14ac:dyDescent="0.25">
      <c r="A43" s="24">
        <v>40</v>
      </c>
      <c r="B43" s="25">
        <v>14</v>
      </c>
      <c r="C43" s="26" t="s">
        <v>204</v>
      </c>
      <c r="D43" s="27" t="s">
        <v>205</v>
      </c>
      <c r="E43" s="27" t="s">
        <v>206</v>
      </c>
      <c r="F43" s="28" t="s">
        <v>46</v>
      </c>
      <c r="G43" s="28" t="s">
        <v>100</v>
      </c>
      <c r="H43" s="28" t="s">
        <v>27</v>
      </c>
      <c r="I43" s="32">
        <v>483092</v>
      </c>
      <c r="J43" s="28">
        <v>2020</v>
      </c>
      <c r="K43" s="32">
        <v>1739131.2000000002</v>
      </c>
      <c r="L43" s="32">
        <v>483092</v>
      </c>
      <c r="M43" s="32">
        <v>748792.60000000009</v>
      </c>
      <c r="N43" s="32">
        <v>1014493.2000000001</v>
      </c>
      <c r="O43" s="32">
        <v>1316425.7000000002</v>
      </c>
      <c r="P43" s="32">
        <v>1618358.2000000002</v>
      </c>
      <c r="Q43" s="32">
        <v>1739131.2000000002</v>
      </c>
      <c r="R43" s="29">
        <v>130196</v>
      </c>
      <c r="S43" s="30" t="s">
        <v>451</v>
      </c>
      <c r="T43" s="30" t="s">
        <v>452</v>
      </c>
      <c r="U43" s="29">
        <v>36314</v>
      </c>
      <c r="V43" s="30" t="s">
        <v>453</v>
      </c>
      <c r="W43" s="30" t="s">
        <v>454</v>
      </c>
      <c r="X43" s="13" t="s">
        <v>42</v>
      </c>
      <c r="Y43" s="13" t="s">
        <v>106</v>
      </c>
      <c r="Z43" s="12">
        <v>44860</v>
      </c>
      <c r="AA43" s="13" t="s">
        <v>42</v>
      </c>
      <c r="AB43" s="13" t="s">
        <v>102</v>
      </c>
      <c r="AC43" s="12">
        <v>44870</v>
      </c>
      <c r="AD43" s="25">
        <v>3</v>
      </c>
    </row>
    <row r="44" spans="1:30" x14ac:dyDescent="0.25">
      <c r="K44"/>
      <c r="L44">
        <f>COLUMN()</f>
        <v>12</v>
      </c>
    </row>
  </sheetData>
  <autoFilter ref="A3:AD43" xr:uid="{00000000-0009-0000-0000-000003000000}">
    <sortState xmlns:xlrd2="http://schemas.microsoft.com/office/spreadsheetml/2017/richdata2" ref="A4:AD43">
      <sortCondition ref="A3:A43"/>
    </sortState>
  </autoFilter>
  <mergeCells count="11">
    <mergeCell ref="AA1:AC2"/>
    <mergeCell ref="M2:N2"/>
    <mergeCell ref="O2:P2"/>
    <mergeCell ref="R2:T2"/>
    <mergeCell ref="U2:W2"/>
    <mergeCell ref="X1:Z2"/>
    <mergeCell ref="A1:A2"/>
    <mergeCell ref="B1:C2"/>
    <mergeCell ref="D1:K2"/>
    <mergeCell ref="L1:Q1"/>
    <mergeCell ref="R1:W1"/>
  </mergeCells>
  <conditionalFormatting sqref="A3:B3 F3:H3 AD3 L3:W3">
    <cfRule type="containsBlanks" dxfId="11" priority="12">
      <formula>LEN(TRIM(A3))=0</formula>
    </cfRule>
  </conditionalFormatting>
  <conditionalFormatting sqref="K3">
    <cfRule type="containsBlanks" dxfId="10" priority="11">
      <formula>LEN(TRIM(K3))=0</formula>
    </cfRule>
  </conditionalFormatting>
  <conditionalFormatting sqref="I3:J3">
    <cfRule type="containsBlanks" dxfId="9" priority="10">
      <formula>LEN(TRIM(I3))=0</formula>
    </cfRule>
  </conditionalFormatting>
  <conditionalFormatting sqref="E3">
    <cfRule type="containsBlanks" dxfId="8" priority="9">
      <formula>LEN(TRIM(E3))=0</formula>
    </cfRule>
  </conditionalFormatting>
  <conditionalFormatting sqref="D3">
    <cfRule type="containsBlanks" dxfId="7" priority="8">
      <formula>LEN(TRIM(D3))=0</formula>
    </cfRule>
  </conditionalFormatting>
  <conditionalFormatting sqref="C3">
    <cfRule type="containsBlanks" dxfId="6" priority="7">
      <formula>LEN(TRIM(C3))=0</formula>
    </cfRule>
  </conditionalFormatting>
  <conditionalFormatting sqref="X3:Z3">
    <cfRule type="containsBlanks" dxfId="5" priority="6">
      <formula>LEN(TRIM(X3))=0</formula>
    </cfRule>
  </conditionalFormatting>
  <conditionalFormatting sqref="X4:X43 Z4:AC43">
    <cfRule type="containsText" dxfId="4" priority="4" operator="containsText" text="Sí">
      <formula>NOT(ISERROR(SEARCH("Sí",X4)))</formula>
    </cfRule>
    <cfRule type="containsText" dxfId="3" priority="5" operator="containsText" text="No">
      <formula>NOT(ISERROR(SEARCH("No",X4)))</formula>
    </cfRule>
  </conditionalFormatting>
  <conditionalFormatting sqref="Y4:Y43">
    <cfRule type="containsText" dxfId="2" priority="2" operator="containsText" text="Sí">
      <formula>NOT(ISERROR(SEARCH("Sí",Y4)))</formula>
    </cfRule>
    <cfRule type="containsText" dxfId="1" priority="3" operator="containsText" text="No">
      <formula>NOT(ISERROR(SEARCH("No",Y4)))</formula>
    </cfRule>
  </conditionalFormatting>
  <conditionalFormatting sqref="AA3:AC3">
    <cfRule type="containsBlanks" dxfId="0" priority="1">
      <formula>LEN(TRIM(AA3))=0</formula>
    </cfRule>
  </conditionalFormatting>
  <dataValidations count="1">
    <dataValidation type="list" allowBlank="1" showInputMessage="1" showErrorMessage="1" sqref="X4:X43 AA4:AA43" xr:uid="{26644EDD-16A4-456B-B0C4-E55B89CFA9EE}">
      <formula1>"Sí,No"</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C1FCAD-BFDB-45E8-85EC-BBAA51FE7F30}">
  <sheetPr codeName="Hoja6">
    <tabColor theme="1" tint="0.499984740745262"/>
  </sheetPr>
  <dimension ref="A1:T44"/>
  <sheetViews>
    <sheetView showGridLines="0" zoomScale="90" zoomScaleNormal="90" workbookViewId="0">
      <pane xSplit="2" ySplit="1" topLeftCell="G22" activePane="bottomRight" state="frozen"/>
      <selection pane="topRight" activeCell="C1" sqref="C1"/>
      <selection pane="bottomLeft" activeCell="A2" sqref="A2"/>
      <selection pane="bottomRight" activeCell="O23" sqref="O23"/>
    </sheetView>
  </sheetViews>
  <sheetFormatPr baseColWidth="10" defaultColWidth="0" defaultRowHeight="15" zeroHeight="1" x14ac:dyDescent="0.25"/>
  <cols>
    <col min="1" max="1" width="12.140625" style="40" customWidth="1"/>
    <col min="2" max="2" width="28.28515625" style="40" customWidth="1"/>
    <col min="3" max="3" width="10.28515625" style="40" customWidth="1"/>
    <col min="4" max="4" width="11.5703125" style="40" customWidth="1"/>
    <col min="5" max="5" width="82.7109375" style="40" customWidth="1"/>
    <col min="6" max="6" width="11.140625" style="40" customWidth="1"/>
    <col min="7" max="7" width="11.5703125" style="40" customWidth="1"/>
    <col min="8" max="8" width="12.140625" style="40" customWidth="1"/>
    <col min="9" max="9" width="10.42578125" style="40" customWidth="1"/>
    <col min="10" max="10" width="10.85546875" style="40" customWidth="1"/>
    <col min="11" max="11" width="12.42578125" style="40" customWidth="1"/>
    <col min="12" max="13" width="10.5703125" style="40" bestFit="1" customWidth="1"/>
    <col min="14" max="14" width="10.5703125" style="40" customWidth="1"/>
    <col min="15" max="15" width="14.7109375" style="40" customWidth="1"/>
    <col min="16" max="16" width="17.5703125" style="40" customWidth="1"/>
    <col min="17" max="19" width="20.5703125" style="40" customWidth="1"/>
    <col min="20" max="20" width="9.7109375" style="40" customWidth="1"/>
    <col min="21" max="16384" width="20.5703125" style="40" hidden="1"/>
  </cols>
  <sheetData>
    <row r="1" spans="1:19" ht="45" x14ac:dyDescent="0.25">
      <c r="A1" s="42" t="s">
        <v>7</v>
      </c>
      <c r="B1" s="42" t="s">
        <v>209</v>
      </c>
      <c r="C1" s="42" t="s">
        <v>88</v>
      </c>
      <c r="D1" s="42" t="s">
        <v>210</v>
      </c>
      <c r="E1" s="42" t="s">
        <v>211</v>
      </c>
      <c r="F1" s="42" t="s">
        <v>212</v>
      </c>
      <c r="G1" s="42" t="s">
        <v>213</v>
      </c>
      <c r="H1" s="42" t="s">
        <v>214</v>
      </c>
      <c r="I1" s="42" t="s">
        <v>215</v>
      </c>
      <c r="J1" s="42" t="s">
        <v>216</v>
      </c>
      <c r="K1" s="42" t="s">
        <v>217</v>
      </c>
      <c r="L1" s="42" t="s">
        <v>65</v>
      </c>
      <c r="M1" s="42" t="s">
        <v>218</v>
      </c>
      <c r="N1" s="42" t="s">
        <v>219</v>
      </c>
      <c r="O1" s="42" t="s">
        <v>220</v>
      </c>
      <c r="P1" s="42" t="s">
        <v>221</v>
      </c>
      <c r="Q1" s="42" t="s">
        <v>222</v>
      </c>
      <c r="R1" s="42" t="s">
        <v>223</v>
      </c>
      <c r="S1" s="42" t="s">
        <v>224</v>
      </c>
    </row>
    <row r="2" spans="1:19" ht="90" x14ac:dyDescent="0.25">
      <c r="A2" s="43">
        <v>1</v>
      </c>
      <c r="B2" s="43" t="s">
        <v>98</v>
      </c>
      <c r="C2" s="43">
        <v>1</v>
      </c>
      <c r="D2" s="43" t="s">
        <v>225</v>
      </c>
      <c r="E2" s="43" t="s">
        <v>226</v>
      </c>
      <c r="F2" s="43"/>
      <c r="G2" s="43"/>
      <c r="H2" s="43">
        <v>25</v>
      </c>
      <c r="I2" s="43">
        <v>50</v>
      </c>
      <c r="J2" s="43">
        <v>100</v>
      </c>
      <c r="K2" s="43">
        <v>460</v>
      </c>
      <c r="L2" s="43">
        <v>120</v>
      </c>
      <c r="M2" s="43">
        <v>140</v>
      </c>
      <c r="N2" s="43">
        <v>160</v>
      </c>
      <c r="O2" s="43">
        <v>40</v>
      </c>
      <c r="P2" s="43"/>
      <c r="Q2" s="43" t="s">
        <v>40</v>
      </c>
      <c r="R2" s="43">
        <v>56</v>
      </c>
      <c r="S2" s="43" t="s">
        <v>62</v>
      </c>
    </row>
    <row r="3" spans="1:19" ht="90" x14ac:dyDescent="0.25">
      <c r="A3" s="43">
        <v>2</v>
      </c>
      <c r="B3" s="43" t="s">
        <v>104</v>
      </c>
      <c r="C3" s="43">
        <v>1</v>
      </c>
      <c r="D3" s="43" t="s">
        <v>225</v>
      </c>
      <c r="E3" s="43" t="s">
        <v>227</v>
      </c>
      <c r="F3" s="43"/>
      <c r="G3" s="43"/>
      <c r="H3" s="43"/>
      <c r="I3" s="43"/>
      <c r="J3" s="43">
        <v>7</v>
      </c>
      <c r="K3" s="43">
        <v>15</v>
      </c>
      <c r="L3" s="43">
        <v>0</v>
      </c>
      <c r="M3" s="43">
        <v>3</v>
      </c>
      <c r="N3" s="43">
        <v>5</v>
      </c>
      <c r="O3" s="43">
        <v>7</v>
      </c>
      <c r="P3" s="43"/>
      <c r="Q3" s="43" t="s">
        <v>40</v>
      </c>
      <c r="R3" s="43">
        <v>34</v>
      </c>
      <c r="S3" s="43" t="s">
        <v>39</v>
      </c>
    </row>
    <row r="4" spans="1:19" ht="105" x14ac:dyDescent="0.25">
      <c r="A4" s="43">
        <v>3</v>
      </c>
      <c r="B4" s="43" t="s">
        <v>108</v>
      </c>
      <c r="C4" s="43">
        <v>1</v>
      </c>
      <c r="D4" s="43" t="s">
        <v>225</v>
      </c>
      <c r="E4" s="43" t="s">
        <v>228</v>
      </c>
      <c r="F4" s="43"/>
      <c r="G4" s="43"/>
      <c r="H4" s="43"/>
      <c r="I4" s="43">
        <v>5</v>
      </c>
      <c r="J4" s="43">
        <v>10</v>
      </c>
      <c r="K4" s="43">
        <v>20</v>
      </c>
      <c r="L4" s="43">
        <v>0</v>
      </c>
      <c r="M4" s="43">
        <v>10</v>
      </c>
      <c r="N4" s="43">
        <v>7</v>
      </c>
      <c r="O4" s="43">
        <v>3</v>
      </c>
      <c r="P4" s="43"/>
      <c r="Q4" s="43" t="s">
        <v>40</v>
      </c>
      <c r="R4" s="43">
        <v>64</v>
      </c>
      <c r="S4" s="43" t="s">
        <v>229</v>
      </c>
    </row>
    <row r="5" spans="1:19" ht="120" x14ac:dyDescent="0.25">
      <c r="A5" s="43">
        <v>4</v>
      </c>
      <c r="B5" s="43" t="s">
        <v>111</v>
      </c>
      <c r="C5" s="43">
        <v>2</v>
      </c>
      <c r="D5" s="43" t="s">
        <v>225</v>
      </c>
      <c r="E5" s="43" t="s">
        <v>230</v>
      </c>
      <c r="F5" s="43"/>
      <c r="G5" s="43"/>
      <c r="H5" s="43"/>
      <c r="I5" s="43"/>
      <c r="J5" s="43">
        <v>0</v>
      </c>
      <c r="K5" s="43">
        <v>2800</v>
      </c>
      <c r="L5" s="43">
        <v>240</v>
      </c>
      <c r="M5" s="43">
        <v>960</v>
      </c>
      <c r="N5" s="43">
        <v>1500</v>
      </c>
      <c r="O5" s="43">
        <v>100</v>
      </c>
      <c r="P5" s="43"/>
      <c r="Q5" s="43" t="s">
        <v>44</v>
      </c>
      <c r="R5" s="43">
        <v>53</v>
      </c>
      <c r="S5" s="43" t="s">
        <v>45</v>
      </c>
    </row>
    <row r="6" spans="1:19" ht="90" x14ac:dyDescent="0.25">
      <c r="A6" s="43">
        <v>5</v>
      </c>
      <c r="B6" s="43" t="s">
        <v>114</v>
      </c>
      <c r="C6" s="43">
        <v>2</v>
      </c>
      <c r="D6" s="43" t="s">
        <v>225</v>
      </c>
      <c r="E6" s="43" t="s">
        <v>231</v>
      </c>
      <c r="F6" s="43"/>
      <c r="G6" s="43"/>
      <c r="H6" s="43"/>
      <c r="I6" s="43"/>
      <c r="J6" s="43">
        <v>320</v>
      </c>
      <c r="K6" s="43">
        <v>450</v>
      </c>
      <c r="L6" s="43">
        <v>340</v>
      </c>
      <c r="M6" s="43">
        <v>390</v>
      </c>
      <c r="N6" s="43">
        <v>440</v>
      </c>
      <c r="O6" s="43">
        <v>450</v>
      </c>
      <c r="P6" s="43"/>
      <c r="Q6" s="43" t="s">
        <v>44</v>
      </c>
      <c r="R6" s="43">
        <v>66</v>
      </c>
      <c r="S6" s="43" t="s">
        <v>43</v>
      </c>
    </row>
    <row r="7" spans="1:19" ht="75" x14ac:dyDescent="0.25">
      <c r="A7" s="43">
        <v>6</v>
      </c>
      <c r="B7" s="43" t="s">
        <v>117</v>
      </c>
      <c r="C7" s="43">
        <v>2</v>
      </c>
      <c r="D7" s="43" t="s">
        <v>225</v>
      </c>
      <c r="E7" s="43" t="s">
        <v>232</v>
      </c>
      <c r="F7" s="43">
        <v>11430</v>
      </c>
      <c r="G7" s="43">
        <v>12098</v>
      </c>
      <c r="H7" s="43">
        <v>14902</v>
      </c>
      <c r="I7" s="43">
        <v>18156</v>
      </c>
      <c r="J7" s="43">
        <v>14614</v>
      </c>
      <c r="K7" s="43">
        <v>18568</v>
      </c>
      <c r="L7" s="43">
        <v>15603</v>
      </c>
      <c r="M7" s="43">
        <v>16591</v>
      </c>
      <c r="N7" s="43">
        <v>17580</v>
      </c>
      <c r="O7" s="43">
        <v>4642</v>
      </c>
      <c r="P7" s="43"/>
      <c r="Q7" s="43" t="s">
        <v>49</v>
      </c>
      <c r="R7" s="43" t="s">
        <v>233</v>
      </c>
      <c r="S7" s="43" t="s">
        <v>58</v>
      </c>
    </row>
    <row r="8" spans="1:19" ht="165" x14ac:dyDescent="0.25">
      <c r="A8" s="43">
        <v>7</v>
      </c>
      <c r="B8" s="43" t="s">
        <v>119</v>
      </c>
      <c r="C8" s="43">
        <v>3</v>
      </c>
      <c r="D8" s="43" t="s">
        <v>234</v>
      </c>
      <c r="E8" s="43" t="s">
        <v>235</v>
      </c>
      <c r="F8" s="43">
        <v>2042</v>
      </c>
      <c r="G8" s="43">
        <v>1835</v>
      </c>
      <c r="H8" s="43">
        <v>1676</v>
      </c>
      <c r="I8" s="43">
        <v>1594</v>
      </c>
      <c r="J8" s="43">
        <v>1601</v>
      </c>
      <c r="K8" s="43">
        <v>4869</v>
      </c>
      <c r="L8" s="43">
        <v>1623</v>
      </c>
      <c r="M8" s="43">
        <v>1623</v>
      </c>
      <c r="N8" s="43">
        <v>1623</v>
      </c>
      <c r="O8" s="43">
        <v>0</v>
      </c>
      <c r="P8" s="43"/>
      <c r="Q8" s="43" t="s">
        <v>47</v>
      </c>
      <c r="R8" s="43">
        <v>14</v>
      </c>
      <c r="S8" s="43" t="s">
        <v>48</v>
      </c>
    </row>
    <row r="9" spans="1:19" ht="75" x14ac:dyDescent="0.25">
      <c r="A9" s="43">
        <v>8</v>
      </c>
      <c r="B9" s="43" t="s">
        <v>122</v>
      </c>
      <c r="C9" s="43">
        <v>3</v>
      </c>
      <c r="D9" s="43" t="s">
        <v>225</v>
      </c>
      <c r="E9" s="43" t="s">
        <v>236</v>
      </c>
      <c r="F9" s="43">
        <v>685</v>
      </c>
      <c r="G9" s="43">
        <v>531</v>
      </c>
      <c r="H9" s="43">
        <v>557</v>
      </c>
      <c r="I9" s="43">
        <v>585</v>
      </c>
      <c r="J9" s="43">
        <v>430</v>
      </c>
      <c r="K9" s="43">
        <v>1572</v>
      </c>
      <c r="L9" s="43">
        <v>524</v>
      </c>
      <c r="M9" s="43">
        <v>524</v>
      </c>
      <c r="N9" s="43">
        <v>524</v>
      </c>
      <c r="O9" s="43">
        <v>0</v>
      </c>
      <c r="P9" s="43"/>
      <c r="Q9" s="43" t="s">
        <v>47</v>
      </c>
      <c r="R9" s="43">
        <v>53</v>
      </c>
      <c r="S9" s="43" t="s">
        <v>237</v>
      </c>
    </row>
    <row r="10" spans="1:19" ht="105" x14ac:dyDescent="0.25">
      <c r="A10" s="43">
        <v>9</v>
      </c>
      <c r="B10" s="43" t="s">
        <v>125</v>
      </c>
      <c r="C10" s="43">
        <v>3</v>
      </c>
      <c r="D10" s="43" t="s">
        <v>238</v>
      </c>
      <c r="E10" s="43" t="s">
        <v>239</v>
      </c>
      <c r="F10" s="43"/>
      <c r="G10" s="43"/>
      <c r="H10" s="43"/>
      <c r="I10" s="43"/>
      <c r="J10" s="43">
        <v>0</v>
      </c>
      <c r="K10" s="43">
        <v>320</v>
      </c>
      <c r="L10" s="43">
        <v>60</v>
      </c>
      <c r="M10" s="43">
        <v>130</v>
      </c>
      <c r="N10" s="43">
        <v>130</v>
      </c>
      <c r="O10" s="43">
        <v>0</v>
      </c>
      <c r="P10" s="43"/>
      <c r="Q10" s="43" t="s">
        <v>46</v>
      </c>
      <c r="R10" s="43">
        <v>53</v>
      </c>
      <c r="S10" s="43" t="s">
        <v>240</v>
      </c>
    </row>
    <row r="11" spans="1:19" ht="105" x14ac:dyDescent="0.25">
      <c r="A11" s="43">
        <v>10</v>
      </c>
      <c r="B11" s="43" t="s">
        <v>128</v>
      </c>
      <c r="C11" s="43">
        <v>3</v>
      </c>
      <c r="D11" s="43" t="s">
        <v>225</v>
      </c>
      <c r="E11" s="43" t="s">
        <v>241</v>
      </c>
      <c r="F11" s="43"/>
      <c r="G11" s="43">
        <v>2</v>
      </c>
      <c r="H11" s="43">
        <v>1</v>
      </c>
      <c r="I11" s="43">
        <v>3</v>
      </c>
      <c r="J11" s="43">
        <v>4</v>
      </c>
      <c r="K11" s="43">
        <v>66</v>
      </c>
      <c r="L11" s="43">
        <v>21</v>
      </c>
      <c r="M11" s="43">
        <v>22</v>
      </c>
      <c r="N11" s="43">
        <v>23</v>
      </c>
      <c r="O11" s="43">
        <v>0</v>
      </c>
      <c r="P11" s="43"/>
      <c r="Q11" s="43" t="s">
        <v>46</v>
      </c>
      <c r="R11" s="43">
        <v>17</v>
      </c>
      <c r="S11" s="43" t="s">
        <v>240</v>
      </c>
    </row>
    <row r="12" spans="1:19" ht="105" x14ac:dyDescent="0.25">
      <c r="A12" s="43">
        <v>11</v>
      </c>
      <c r="B12" s="43" t="s">
        <v>130</v>
      </c>
      <c r="C12" s="43">
        <v>3</v>
      </c>
      <c r="D12" s="43" t="s">
        <v>225</v>
      </c>
      <c r="E12" s="43" t="s">
        <v>242</v>
      </c>
      <c r="F12" s="43"/>
      <c r="G12" s="43"/>
      <c r="H12" s="43"/>
      <c r="I12" s="43"/>
      <c r="J12" s="43" t="s">
        <v>243</v>
      </c>
      <c r="K12" s="43">
        <v>9</v>
      </c>
      <c r="L12" s="43">
        <v>3</v>
      </c>
      <c r="M12" s="43">
        <v>3</v>
      </c>
      <c r="N12" s="43">
        <v>3</v>
      </c>
      <c r="O12" s="43">
        <v>0</v>
      </c>
      <c r="P12" s="43"/>
      <c r="Q12" s="43" t="s">
        <v>46</v>
      </c>
      <c r="R12" s="43">
        <v>14</v>
      </c>
      <c r="S12" s="43" t="s">
        <v>240</v>
      </c>
    </row>
    <row r="13" spans="1:19" ht="165" x14ac:dyDescent="0.25">
      <c r="A13" s="43">
        <v>12</v>
      </c>
      <c r="B13" s="43" t="s">
        <v>133</v>
      </c>
      <c r="C13" s="43">
        <v>3</v>
      </c>
      <c r="D13" s="43" t="s">
        <v>225</v>
      </c>
      <c r="E13" s="43" t="s">
        <v>244</v>
      </c>
      <c r="F13" s="43">
        <v>33974</v>
      </c>
      <c r="G13" s="43">
        <v>38378</v>
      </c>
      <c r="H13" s="43">
        <v>41768</v>
      </c>
      <c r="I13" s="43">
        <v>44354</v>
      </c>
      <c r="J13" s="43">
        <v>46354</v>
      </c>
      <c r="K13" s="43">
        <v>49354</v>
      </c>
      <c r="L13" s="43">
        <v>47354</v>
      </c>
      <c r="M13" s="43">
        <v>48354</v>
      </c>
      <c r="N13" s="43">
        <v>49354</v>
      </c>
      <c r="O13" s="43"/>
      <c r="P13" s="43"/>
      <c r="Q13" s="43" t="s">
        <v>47</v>
      </c>
      <c r="R13" s="43" t="e">
        <v>#N/A</v>
      </c>
      <c r="S13" s="43" t="s">
        <v>48</v>
      </c>
    </row>
    <row r="14" spans="1:19" ht="90" x14ac:dyDescent="0.25">
      <c r="A14" s="43">
        <v>13</v>
      </c>
      <c r="B14" s="43" t="s">
        <v>136</v>
      </c>
      <c r="C14" s="43">
        <v>4</v>
      </c>
      <c r="D14" s="43" t="s">
        <v>225</v>
      </c>
      <c r="E14" s="43" t="s">
        <v>245</v>
      </c>
      <c r="F14" s="43">
        <v>22168</v>
      </c>
      <c r="G14" s="43">
        <v>22827</v>
      </c>
      <c r="H14" s="43">
        <v>24529</v>
      </c>
      <c r="I14" s="43">
        <v>25118</v>
      </c>
      <c r="J14" s="43">
        <v>21732</v>
      </c>
      <c r="K14" s="43">
        <v>25240</v>
      </c>
      <c r="L14" s="43">
        <v>22384</v>
      </c>
      <c r="M14" s="43">
        <v>23569</v>
      </c>
      <c r="N14" s="43">
        <v>24761</v>
      </c>
      <c r="O14" s="43">
        <v>6310</v>
      </c>
      <c r="P14" s="43"/>
      <c r="Q14" s="43" t="s">
        <v>49</v>
      </c>
      <c r="R14" s="43">
        <v>66</v>
      </c>
      <c r="S14" s="43" t="s">
        <v>246</v>
      </c>
    </row>
    <row r="15" spans="1:19" ht="75" x14ac:dyDescent="0.25">
      <c r="A15" s="43">
        <v>14</v>
      </c>
      <c r="B15" s="43" t="s">
        <v>138</v>
      </c>
      <c r="C15" s="43">
        <v>4</v>
      </c>
      <c r="D15" s="43" t="s">
        <v>247</v>
      </c>
      <c r="E15" s="43" t="s">
        <v>248</v>
      </c>
      <c r="F15" s="43">
        <v>0.48180000000000001</v>
      </c>
      <c r="G15" s="43" t="s">
        <v>249</v>
      </c>
      <c r="H15" s="43">
        <v>0.44900000000000001</v>
      </c>
      <c r="I15" s="43">
        <v>0.4254</v>
      </c>
      <c r="J15" s="43">
        <v>0.36870000000000003</v>
      </c>
      <c r="K15" s="43">
        <v>0.28000000000000003</v>
      </c>
      <c r="L15" s="43">
        <v>0.35</v>
      </c>
      <c r="M15" s="43">
        <v>0.32</v>
      </c>
      <c r="N15" s="43">
        <v>0.3</v>
      </c>
      <c r="O15" s="43">
        <v>0.28000000000000003</v>
      </c>
      <c r="P15" s="43"/>
      <c r="Q15" s="43" t="s">
        <v>40</v>
      </c>
      <c r="R15" s="43">
        <v>45</v>
      </c>
      <c r="S15" s="43" t="s">
        <v>250</v>
      </c>
    </row>
    <row r="16" spans="1:19" ht="120" x14ac:dyDescent="0.25">
      <c r="A16" s="43">
        <v>15</v>
      </c>
      <c r="B16" s="43" t="s">
        <v>141</v>
      </c>
      <c r="C16" s="43">
        <v>4</v>
      </c>
      <c r="D16" s="43" t="s">
        <v>225</v>
      </c>
      <c r="E16" s="43" t="s">
        <v>251</v>
      </c>
      <c r="F16" s="43">
        <v>1176</v>
      </c>
      <c r="G16" s="43">
        <v>3050</v>
      </c>
      <c r="H16" s="43">
        <v>8200</v>
      </c>
      <c r="I16" s="43">
        <v>10240</v>
      </c>
      <c r="J16" s="43">
        <v>18247</v>
      </c>
      <c r="K16" s="43">
        <v>25000</v>
      </c>
      <c r="L16" s="43">
        <v>20000</v>
      </c>
      <c r="M16" s="43">
        <v>22000</v>
      </c>
      <c r="N16" s="43">
        <v>24000</v>
      </c>
      <c r="O16" s="43">
        <v>25000</v>
      </c>
      <c r="P16" s="43"/>
      <c r="Q16" s="43" t="s">
        <v>40</v>
      </c>
      <c r="R16" s="43">
        <v>66</v>
      </c>
      <c r="S16" s="43" t="s">
        <v>63</v>
      </c>
    </row>
    <row r="17" spans="1:19" ht="60" x14ac:dyDescent="0.25">
      <c r="A17" s="43">
        <v>16</v>
      </c>
      <c r="B17" s="43" t="s">
        <v>144</v>
      </c>
      <c r="C17" s="43">
        <v>5</v>
      </c>
      <c r="D17" s="43" t="s">
        <v>225</v>
      </c>
      <c r="E17" s="43" t="s">
        <v>252</v>
      </c>
      <c r="F17" s="43">
        <v>0</v>
      </c>
      <c r="G17" s="43">
        <v>0.06</v>
      </c>
      <c r="H17" s="43">
        <v>0.08</v>
      </c>
      <c r="I17" s="43">
        <v>0.1</v>
      </c>
      <c r="J17" s="43">
        <v>0.1</v>
      </c>
      <c r="K17" s="43">
        <v>0.4</v>
      </c>
      <c r="L17" s="43">
        <v>0.2</v>
      </c>
      <c r="M17" s="43">
        <v>0.4</v>
      </c>
      <c r="N17" s="43">
        <v>0.4</v>
      </c>
      <c r="O17" s="43">
        <v>0</v>
      </c>
      <c r="P17" s="43"/>
      <c r="Q17" s="43" t="s">
        <v>40</v>
      </c>
      <c r="R17" s="43" t="e">
        <v>#N/A</v>
      </c>
      <c r="S17" s="43" t="s">
        <v>41</v>
      </c>
    </row>
    <row r="18" spans="1:19" ht="45" x14ac:dyDescent="0.25">
      <c r="A18" s="43">
        <v>17</v>
      </c>
      <c r="B18" s="43" t="s">
        <v>29</v>
      </c>
      <c r="C18" s="43">
        <v>5</v>
      </c>
      <c r="D18" s="43" t="s">
        <v>225</v>
      </c>
      <c r="E18" s="43" t="s">
        <v>253</v>
      </c>
      <c r="F18" s="43"/>
      <c r="G18" s="43"/>
      <c r="H18" s="43"/>
      <c r="I18" s="43"/>
      <c r="J18" s="43">
        <v>0</v>
      </c>
      <c r="K18" s="43">
        <v>0.44</v>
      </c>
      <c r="L18" s="43">
        <v>0.17</v>
      </c>
      <c r="M18" s="43">
        <v>0.33</v>
      </c>
      <c r="N18" s="43">
        <v>0.4</v>
      </c>
      <c r="O18" s="43">
        <v>0.44</v>
      </c>
      <c r="P18" s="43"/>
      <c r="Q18" s="43" t="s">
        <v>51</v>
      </c>
      <c r="R18" s="43">
        <v>53</v>
      </c>
      <c r="S18" s="43" t="s">
        <v>64</v>
      </c>
    </row>
    <row r="19" spans="1:19" ht="45" x14ac:dyDescent="0.25">
      <c r="A19" s="43">
        <v>18</v>
      </c>
      <c r="B19" s="43" t="s">
        <v>30</v>
      </c>
      <c r="C19" s="43">
        <v>5</v>
      </c>
      <c r="D19" s="43" t="s">
        <v>225</v>
      </c>
      <c r="E19" s="43" t="s">
        <v>254</v>
      </c>
      <c r="F19" s="43"/>
      <c r="G19" s="43"/>
      <c r="H19" s="43"/>
      <c r="I19" s="43"/>
      <c r="J19" s="43">
        <v>0.16</v>
      </c>
      <c r="K19" s="43">
        <v>0.7</v>
      </c>
      <c r="L19" s="43">
        <v>0.16</v>
      </c>
      <c r="M19" s="43">
        <v>0.45</v>
      </c>
      <c r="N19" s="43">
        <v>0.7</v>
      </c>
      <c r="O19" s="43">
        <v>0.7</v>
      </c>
      <c r="P19" s="43"/>
      <c r="Q19" s="43" t="s">
        <v>51</v>
      </c>
      <c r="R19" s="43">
        <v>24</v>
      </c>
      <c r="S19" s="43" t="s">
        <v>64</v>
      </c>
    </row>
    <row r="20" spans="1:19" ht="120" x14ac:dyDescent="0.25">
      <c r="A20" s="43">
        <v>19</v>
      </c>
      <c r="B20" s="43" t="s">
        <v>148</v>
      </c>
      <c r="C20" s="43">
        <v>5</v>
      </c>
      <c r="D20" s="43" t="s">
        <v>255</v>
      </c>
      <c r="E20" s="43" t="s">
        <v>256</v>
      </c>
      <c r="F20" s="43"/>
      <c r="G20" s="43"/>
      <c r="H20" s="43"/>
      <c r="I20" s="43"/>
      <c r="J20" s="43">
        <v>0</v>
      </c>
      <c r="K20" s="43">
        <v>50</v>
      </c>
      <c r="L20" s="43">
        <v>0</v>
      </c>
      <c r="M20" s="43">
        <v>20</v>
      </c>
      <c r="N20" s="43">
        <v>20</v>
      </c>
      <c r="O20" s="43">
        <v>10</v>
      </c>
      <c r="P20" s="43"/>
      <c r="Q20" s="43" t="s">
        <v>51</v>
      </c>
      <c r="R20" s="43">
        <v>60</v>
      </c>
      <c r="S20" s="43" t="s">
        <v>50</v>
      </c>
    </row>
    <row r="21" spans="1:19" ht="120" x14ac:dyDescent="0.25">
      <c r="A21" s="43">
        <v>20</v>
      </c>
      <c r="B21" s="43" t="s">
        <v>150</v>
      </c>
      <c r="C21" s="43">
        <v>5</v>
      </c>
      <c r="D21" s="43" t="s">
        <v>257</v>
      </c>
      <c r="E21" s="43" t="s">
        <v>258</v>
      </c>
      <c r="F21" s="43"/>
      <c r="G21" s="43"/>
      <c r="H21" s="43"/>
      <c r="I21" s="43"/>
      <c r="J21" s="43"/>
      <c r="K21" s="43">
        <v>135</v>
      </c>
      <c r="L21" s="43">
        <v>87</v>
      </c>
      <c r="M21" s="43">
        <v>0</v>
      </c>
      <c r="N21" s="43">
        <v>48</v>
      </c>
      <c r="O21" s="43">
        <v>0</v>
      </c>
      <c r="P21" s="43"/>
      <c r="Q21" s="43" t="s">
        <v>40</v>
      </c>
      <c r="R21" s="43"/>
      <c r="S21" s="43"/>
    </row>
    <row r="22" spans="1:19" ht="120" x14ac:dyDescent="0.25">
      <c r="A22" s="43">
        <v>21</v>
      </c>
      <c r="B22" s="43" t="s">
        <v>153</v>
      </c>
      <c r="C22" s="43">
        <v>5</v>
      </c>
      <c r="D22" s="43" t="s">
        <v>257</v>
      </c>
      <c r="E22" s="43" t="s">
        <v>259</v>
      </c>
      <c r="F22" s="43"/>
      <c r="G22" s="43"/>
      <c r="H22" s="43">
        <v>1606</v>
      </c>
      <c r="I22" s="43">
        <v>1666</v>
      </c>
      <c r="J22" s="43">
        <v>1666</v>
      </c>
      <c r="K22" s="43">
        <v>1731</v>
      </c>
      <c r="L22" s="43">
        <v>1666</v>
      </c>
      <c r="M22" s="43">
        <v>1692</v>
      </c>
      <c r="N22" s="43">
        <v>1731</v>
      </c>
      <c r="O22" s="43">
        <v>1731</v>
      </c>
      <c r="P22" s="43"/>
      <c r="Q22" s="43" t="s">
        <v>40</v>
      </c>
      <c r="R22" s="43"/>
      <c r="S22" s="43"/>
    </row>
    <row r="23" spans="1:19" ht="60" x14ac:dyDescent="0.25">
      <c r="A23" s="43">
        <v>22</v>
      </c>
      <c r="B23" s="43" t="s">
        <v>156</v>
      </c>
      <c r="C23" s="43">
        <v>6</v>
      </c>
      <c r="D23" s="43" t="s">
        <v>225</v>
      </c>
      <c r="E23" s="43" t="s">
        <v>260</v>
      </c>
      <c r="F23" s="43"/>
      <c r="G23" s="43"/>
      <c r="H23" s="43"/>
      <c r="I23" s="43"/>
      <c r="J23" s="43">
        <v>0</v>
      </c>
      <c r="K23" s="43">
        <v>8</v>
      </c>
      <c r="L23" s="43">
        <v>2</v>
      </c>
      <c r="M23" s="43">
        <v>3</v>
      </c>
      <c r="N23" s="43">
        <v>3</v>
      </c>
      <c r="O23" s="43">
        <v>0</v>
      </c>
      <c r="P23" s="43"/>
      <c r="Q23" s="43" t="s">
        <v>53</v>
      </c>
      <c r="R23" s="43">
        <v>29</v>
      </c>
      <c r="S23" s="43" t="s">
        <v>52</v>
      </c>
    </row>
    <row r="24" spans="1:19" ht="75" x14ac:dyDescent="0.25">
      <c r="A24" s="43">
        <v>23</v>
      </c>
      <c r="B24" s="43" t="s">
        <v>159</v>
      </c>
      <c r="C24" s="43">
        <v>6</v>
      </c>
      <c r="D24" s="43" t="s">
        <v>225</v>
      </c>
      <c r="E24" s="43" t="s">
        <v>261</v>
      </c>
      <c r="F24" s="43"/>
      <c r="G24" s="43"/>
      <c r="H24" s="43"/>
      <c r="I24" s="43"/>
      <c r="J24" s="43">
        <v>0</v>
      </c>
      <c r="K24" s="43">
        <v>3</v>
      </c>
      <c r="L24" s="43">
        <v>0</v>
      </c>
      <c r="M24" s="43">
        <v>1</v>
      </c>
      <c r="N24" s="43">
        <v>2</v>
      </c>
      <c r="O24" s="43">
        <v>0</v>
      </c>
      <c r="P24" s="43"/>
      <c r="Q24" s="43" t="s">
        <v>55</v>
      </c>
      <c r="R24" s="43">
        <v>24</v>
      </c>
      <c r="S24" s="43" t="s">
        <v>54</v>
      </c>
    </row>
    <row r="25" spans="1:19" ht="90" x14ac:dyDescent="0.25">
      <c r="A25" s="43">
        <v>24</v>
      </c>
      <c r="B25" s="43" t="s">
        <v>162</v>
      </c>
      <c r="C25" s="43">
        <v>7</v>
      </c>
      <c r="D25" s="43" t="s">
        <v>225</v>
      </c>
      <c r="E25" s="43" t="s">
        <v>262</v>
      </c>
      <c r="F25" s="43"/>
      <c r="G25" s="43"/>
      <c r="H25" s="43"/>
      <c r="I25" s="43"/>
      <c r="J25" s="43">
        <v>4</v>
      </c>
      <c r="K25" s="43">
        <v>13</v>
      </c>
      <c r="L25" s="43">
        <v>0</v>
      </c>
      <c r="M25" s="43">
        <v>6</v>
      </c>
      <c r="N25" s="43">
        <v>6</v>
      </c>
      <c r="O25" s="43">
        <v>1</v>
      </c>
      <c r="P25" s="43"/>
      <c r="Q25" s="43" t="s">
        <v>55</v>
      </c>
      <c r="R25" s="43">
        <v>64</v>
      </c>
      <c r="S25" s="43" t="s">
        <v>263</v>
      </c>
    </row>
    <row r="26" spans="1:19" ht="90" x14ac:dyDescent="0.25">
      <c r="A26" s="43">
        <v>25</v>
      </c>
      <c r="B26" s="43" t="s">
        <v>165</v>
      </c>
      <c r="C26" s="43">
        <v>7</v>
      </c>
      <c r="D26" s="43" t="s">
        <v>225</v>
      </c>
      <c r="E26" s="43" t="s">
        <v>264</v>
      </c>
      <c r="F26" s="43"/>
      <c r="G26" s="43"/>
      <c r="H26" s="43"/>
      <c r="I26" s="43"/>
      <c r="J26" s="43">
        <v>0.18</v>
      </c>
      <c r="K26" s="43">
        <v>0.24</v>
      </c>
      <c r="L26" s="43">
        <v>0.18</v>
      </c>
      <c r="M26" s="43">
        <v>0.22</v>
      </c>
      <c r="N26" s="43">
        <v>0.22</v>
      </c>
      <c r="O26" s="43">
        <v>0.24</v>
      </c>
      <c r="P26" s="43"/>
      <c r="Q26" s="43" t="s">
        <v>55</v>
      </c>
      <c r="R26" s="43">
        <v>49</v>
      </c>
      <c r="S26" s="43" t="s">
        <v>54</v>
      </c>
    </row>
    <row r="27" spans="1:19" ht="105" x14ac:dyDescent="0.25">
      <c r="A27" s="43">
        <v>26</v>
      </c>
      <c r="B27" s="43" t="s">
        <v>168</v>
      </c>
      <c r="C27" s="43">
        <v>8</v>
      </c>
      <c r="D27" s="43" t="s">
        <v>225</v>
      </c>
      <c r="E27" s="43" t="s">
        <v>31</v>
      </c>
      <c r="F27" s="43"/>
      <c r="G27" s="43"/>
      <c r="H27" s="43"/>
      <c r="I27" s="43"/>
      <c r="J27" s="43">
        <v>0</v>
      </c>
      <c r="K27" s="43">
        <v>0.2</v>
      </c>
      <c r="L27" s="43">
        <v>0</v>
      </c>
      <c r="M27" s="43">
        <v>0.2</v>
      </c>
      <c r="N27" s="43">
        <v>0.2</v>
      </c>
      <c r="O27" s="43">
        <v>0.2</v>
      </c>
      <c r="P27" s="43"/>
      <c r="Q27" s="43" t="s">
        <v>57</v>
      </c>
      <c r="R27" s="43">
        <v>54</v>
      </c>
      <c r="S27" s="43" t="s">
        <v>56</v>
      </c>
    </row>
    <row r="28" spans="1:19" ht="105" x14ac:dyDescent="0.25">
      <c r="A28" s="43">
        <v>27</v>
      </c>
      <c r="B28" s="43" t="s">
        <v>171</v>
      </c>
      <c r="C28" s="43">
        <v>8</v>
      </c>
      <c r="D28" s="43" t="s">
        <v>225</v>
      </c>
      <c r="E28" s="43" t="s">
        <v>265</v>
      </c>
      <c r="F28" s="43"/>
      <c r="G28" s="43"/>
      <c r="H28" s="43"/>
      <c r="I28" s="43"/>
      <c r="J28" s="43">
        <v>3</v>
      </c>
      <c r="K28" s="43">
        <v>7</v>
      </c>
      <c r="L28" s="43">
        <v>2</v>
      </c>
      <c r="M28" s="43">
        <v>2</v>
      </c>
      <c r="N28" s="43">
        <v>2</v>
      </c>
      <c r="O28" s="43">
        <v>1</v>
      </c>
      <c r="P28" s="43"/>
      <c r="Q28" s="43" t="s">
        <v>57</v>
      </c>
      <c r="R28" s="43">
        <v>60</v>
      </c>
      <c r="S28" s="43" t="s">
        <v>56</v>
      </c>
    </row>
    <row r="29" spans="1:19" ht="390" x14ac:dyDescent="0.25">
      <c r="A29" s="43">
        <v>28</v>
      </c>
      <c r="B29" s="43" t="s">
        <v>173</v>
      </c>
      <c r="C29" s="43">
        <v>9</v>
      </c>
      <c r="D29" s="43" t="s">
        <v>225</v>
      </c>
      <c r="E29" s="43" t="s">
        <v>266</v>
      </c>
      <c r="F29" s="43"/>
      <c r="G29" s="43"/>
      <c r="H29" s="43" t="s">
        <v>267</v>
      </c>
      <c r="I29" s="43" t="s">
        <v>268</v>
      </c>
      <c r="J29" s="43" t="s">
        <v>269</v>
      </c>
      <c r="K29" s="43" t="s">
        <v>270</v>
      </c>
      <c r="L29" s="43" t="s">
        <v>271</v>
      </c>
      <c r="M29" s="43" t="s">
        <v>272</v>
      </c>
      <c r="N29" s="43" t="s">
        <v>273</v>
      </c>
      <c r="O29" s="43" t="s">
        <v>274</v>
      </c>
      <c r="P29" s="43"/>
      <c r="Q29" s="43" t="s">
        <v>57</v>
      </c>
      <c r="R29" s="43" t="e">
        <v>#VALUE!</v>
      </c>
      <c r="S29" s="43" t="s">
        <v>275</v>
      </c>
    </row>
    <row r="30" spans="1:19" ht="390" x14ac:dyDescent="0.25">
      <c r="A30" s="43">
        <v>29</v>
      </c>
      <c r="B30" s="43" t="s">
        <v>175</v>
      </c>
      <c r="C30" s="43">
        <v>9</v>
      </c>
      <c r="D30" s="43" t="s">
        <v>225</v>
      </c>
      <c r="E30" s="43" t="s">
        <v>276</v>
      </c>
      <c r="F30" s="43"/>
      <c r="G30" s="43"/>
      <c r="H30" s="43"/>
      <c r="I30" s="43"/>
      <c r="J30" s="43" t="s">
        <v>269</v>
      </c>
      <c r="K30" s="43" t="s">
        <v>270</v>
      </c>
      <c r="L30" s="43" t="s">
        <v>271</v>
      </c>
      <c r="M30" s="43" t="s">
        <v>272</v>
      </c>
      <c r="N30" s="43" t="s">
        <v>273</v>
      </c>
      <c r="O30" s="43" t="s">
        <v>274</v>
      </c>
      <c r="P30" s="43"/>
      <c r="Q30" s="43" t="s">
        <v>57</v>
      </c>
      <c r="R30" s="43" t="e">
        <v>#VALUE!</v>
      </c>
      <c r="S30" s="43" t="s">
        <v>275</v>
      </c>
    </row>
    <row r="31" spans="1:19" ht="255" x14ac:dyDescent="0.25">
      <c r="A31" s="43">
        <v>30</v>
      </c>
      <c r="B31" s="43" t="s">
        <v>178</v>
      </c>
      <c r="C31" s="43">
        <v>10</v>
      </c>
      <c r="D31" s="43" t="s">
        <v>277</v>
      </c>
      <c r="E31" s="43" t="s">
        <v>278</v>
      </c>
      <c r="F31" s="43">
        <v>9847</v>
      </c>
      <c r="G31" s="43">
        <v>6002</v>
      </c>
      <c r="H31" s="43">
        <v>263</v>
      </c>
      <c r="I31" s="43">
        <v>3021</v>
      </c>
      <c r="J31" s="43">
        <v>3672</v>
      </c>
      <c r="K31" s="43">
        <v>25000</v>
      </c>
      <c r="L31" s="43">
        <v>0</v>
      </c>
      <c r="M31" s="43">
        <v>0</v>
      </c>
      <c r="N31" s="43">
        <v>2700</v>
      </c>
      <c r="O31" s="43">
        <v>22300</v>
      </c>
      <c r="P31" s="43"/>
      <c r="Q31" s="43" t="s">
        <v>51</v>
      </c>
      <c r="R31" s="43" t="e">
        <v>#N/A</v>
      </c>
      <c r="S31" s="43" t="s">
        <v>279</v>
      </c>
    </row>
    <row r="32" spans="1:19" ht="135" x14ac:dyDescent="0.25">
      <c r="A32" s="43">
        <v>31</v>
      </c>
      <c r="B32" s="43" t="s">
        <v>180</v>
      </c>
      <c r="C32" s="43">
        <v>10</v>
      </c>
      <c r="D32" s="43" t="s">
        <v>280</v>
      </c>
      <c r="E32" s="43" t="s">
        <v>281</v>
      </c>
      <c r="F32" s="43">
        <v>2688</v>
      </c>
      <c r="G32" s="43">
        <v>13524</v>
      </c>
      <c r="H32" s="43">
        <v>10272</v>
      </c>
      <c r="I32" s="43">
        <v>11098</v>
      </c>
      <c r="J32" s="43">
        <v>14386</v>
      </c>
      <c r="K32" s="43">
        <v>30000</v>
      </c>
      <c r="L32" s="43">
        <v>6500</v>
      </c>
      <c r="M32" s="43">
        <v>3200</v>
      </c>
      <c r="N32" s="43">
        <v>9200</v>
      </c>
      <c r="O32" s="43">
        <v>11100</v>
      </c>
      <c r="P32" s="43"/>
      <c r="Q32" s="43" t="s">
        <v>51</v>
      </c>
      <c r="R32" s="43">
        <v>34</v>
      </c>
      <c r="S32" s="43" t="s">
        <v>282</v>
      </c>
    </row>
    <row r="33" spans="1:19" ht="180" x14ac:dyDescent="0.25">
      <c r="A33" s="43">
        <v>32</v>
      </c>
      <c r="B33" s="43" t="s">
        <v>182</v>
      </c>
      <c r="C33" s="43">
        <v>11</v>
      </c>
      <c r="D33" s="43" t="s">
        <v>225</v>
      </c>
      <c r="E33" s="43" t="s">
        <v>283</v>
      </c>
      <c r="F33" s="43">
        <v>111</v>
      </c>
      <c r="G33" s="43">
        <v>129</v>
      </c>
      <c r="H33" s="43">
        <v>169</v>
      </c>
      <c r="I33" s="43">
        <v>213</v>
      </c>
      <c r="J33" s="43">
        <v>282</v>
      </c>
      <c r="K33" s="43">
        <v>516</v>
      </c>
      <c r="L33" s="43">
        <v>334</v>
      </c>
      <c r="M33" s="43">
        <v>398</v>
      </c>
      <c r="N33" s="43">
        <v>454</v>
      </c>
      <c r="O33" s="43">
        <v>129</v>
      </c>
      <c r="P33" s="43"/>
      <c r="Q33" s="43" t="s">
        <v>49</v>
      </c>
      <c r="R33" s="43">
        <v>66</v>
      </c>
      <c r="S33" s="43" t="s">
        <v>284</v>
      </c>
    </row>
    <row r="34" spans="1:19" ht="135" x14ac:dyDescent="0.25">
      <c r="A34" s="43">
        <v>33</v>
      </c>
      <c r="B34" s="43" t="s">
        <v>185</v>
      </c>
      <c r="C34" s="43">
        <v>11</v>
      </c>
      <c r="D34" s="43" t="s">
        <v>225</v>
      </c>
      <c r="E34" s="43" t="s">
        <v>285</v>
      </c>
      <c r="F34" s="43"/>
      <c r="G34" s="43"/>
      <c r="H34" s="43"/>
      <c r="I34" s="43"/>
      <c r="J34" s="43">
        <v>0.05</v>
      </c>
      <c r="K34" s="43">
        <v>0.33</v>
      </c>
      <c r="L34" s="43">
        <v>0.08</v>
      </c>
      <c r="M34" s="43">
        <v>0.12</v>
      </c>
      <c r="N34" s="43">
        <v>0.25</v>
      </c>
      <c r="O34" s="43">
        <v>0.33</v>
      </c>
      <c r="P34" s="43"/>
      <c r="Q34" s="43" t="s">
        <v>51</v>
      </c>
      <c r="R34" s="43">
        <v>40</v>
      </c>
      <c r="S34" s="43" t="s">
        <v>282</v>
      </c>
    </row>
    <row r="35" spans="1:19" ht="90" x14ac:dyDescent="0.25">
      <c r="A35" s="43">
        <v>34</v>
      </c>
      <c r="B35" s="43" t="s">
        <v>188</v>
      </c>
      <c r="C35" s="43">
        <v>12</v>
      </c>
      <c r="D35" s="43" t="s">
        <v>225</v>
      </c>
      <c r="E35" s="43" t="s">
        <v>286</v>
      </c>
      <c r="F35" s="43">
        <v>1</v>
      </c>
      <c r="G35" s="43">
        <v>1</v>
      </c>
      <c r="H35" s="43">
        <v>1</v>
      </c>
      <c r="I35" s="43">
        <v>0</v>
      </c>
      <c r="J35" s="43">
        <v>1</v>
      </c>
      <c r="K35" s="43">
        <v>7</v>
      </c>
      <c r="L35" s="43">
        <v>1</v>
      </c>
      <c r="M35" s="43">
        <v>2</v>
      </c>
      <c r="N35" s="43">
        <v>3</v>
      </c>
      <c r="O35" s="43">
        <v>1</v>
      </c>
      <c r="P35" s="43"/>
      <c r="Q35" s="43" t="s">
        <v>40</v>
      </c>
      <c r="R35" s="43">
        <v>66</v>
      </c>
      <c r="S35" s="43" t="s">
        <v>287</v>
      </c>
    </row>
    <row r="36" spans="1:19" ht="90" x14ac:dyDescent="0.25">
      <c r="A36" s="43">
        <v>35</v>
      </c>
      <c r="B36" s="43" t="s">
        <v>191</v>
      </c>
      <c r="C36" s="43">
        <v>12</v>
      </c>
      <c r="D36" s="43" t="s">
        <v>225</v>
      </c>
      <c r="E36" s="43" t="s">
        <v>288</v>
      </c>
      <c r="F36" s="43"/>
      <c r="G36" s="43"/>
      <c r="H36" s="43"/>
      <c r="I36" s="43"/>
      <c r="J36" s="43">
        <v>5</v>
      </c>
      <c r="K36" s="43">
        <v>6</v>
      </c>
      <c r="L36" s="43">
        <v>1</v>
      </c>
      <c r="M36" s="43">
        <v>2</v>
      </c>
      <c r="N36" s="43">
        <v>2</v>
      </c>
      <c r="O36" s="43">
        <v>1</v>
      </c>
      <c r="P36" s="43"/>
      <c r="Q36" s="43" t="s">
        <v>60</v>
      </c>
      <c r="R36" s="43">
        <v>56</v>
      </c>
      <c r="S36" s="43" t="s">
        <v>59</v>
      </c>
    </row>
    <row r="37" spans="1:19" ht="150" x14ac:dyDescent="0.25">
      <c r="A37" s="43">
        <v>36</v>
      </c>
      <c r="B37" s="43" t="s">
        <v>194</v>
      </c>
      <c r="C37" s="43">
        <v>12</v>
      </c>
      <c r="D37" s="43" t="s">
        <v>225</v>
      </c>
      <c r="E37" s="43" t="s">
        <v>289</v>
      </c>
      <c r="F37" s="43"/>
      <c r="G37" s="43"/>
      <c r="H37" s="43"/>
      <c r="I37" s="43"/>
      <c r="J37" s="43">
        <v>700</v>
      </c>
      <c r="K37" s="43">
        <v>2000</v>
      </c>
      <c r="L37" s="43">
        <v>200</v>
      </c>
      <c r="M37" s="43">
        <v>700</v>
      </c>
      <c r="N37" s="43">
        <v>800</v>
      </c>
      <c r="O37" s="43">
        <v>300</v>
      </c>
      <c r="P37" s="43"/>
      <c r="Q37" s="43" t="s">
        <v>60</v>
      </c>
      <c r="R37" s="43">
        <v>50</v>
      </c>
      <c r="S37" s="43" t="s">
        <v>59</v>
      </c>
    </row>
    <row r="38" spans="1:19" ht="105" x14ac:dyDescent="0.25">
      <c r="A38" s="43">
        <v>37</v>
      </c>
      <c r="B38" s="43" t="s">
        <v>197</v>
      </c>
      <c r="C38" s="43">
        <v>13</v>
      </c>
      <c r="D38" s="43" t="s">
        <v>290</v>
      </c>
      <c r="E38" s="43" t="s">
        <v>291</v>
      </c>
      <c r="F38" s="43"/>
      <c r="G38" s="43"/>
      <c r="H38" s="43"/>
      <c r="I38" s="43"/>
      <c r="J38" s="43">
        <v>0.51</v>
      </c>
      <c r="K38" s="43">
        <v>0.75</v>
      </c>
      <c r="L38" s="43">
        <v>0.55000000000000004</v>
      </c>
      <c r="M38" s="43">
        <v>0.65</v>
      </c>
      <c r="N38" s="43">
        <v>0.7</v>
      </c>
      <c r="O38" s="43">
        <v>0.75</v>
      </c>
      <c r="P38" s="43"/>
      <c r="Q38" s="43" t="s">
        <v>51</v>
      </c>
      <c r="R38" s="43">
        <v>62</v>
      </c>
      <c r="S38" s="43" t="s">
        <v>61</v>
      </c>
    </row>
    <row r="39" spans="1:19" ht="105" x14ac:dyDescent="0.25">
      <c r="A39" s="43">
        <v>38</v>
      </c>
      <c r="B39" s="43" t="s">
        <v>199</v>
      </c>
      <c r="C39" s="43">
        <v>13</v>
      </c>
      <c r="D39" s="43" t="s">
        <v>290</v>
      </c>
      <c r="E39" s="43" t="s">
        <v>292</v>
      </c>
      <c r="F39" s="43"/>
      <c r="G39" s="43"/>
      <c r="H39" s="43"/>
      <c r="I39" s="43"/>
      <c r="J39" s="43">
        <v>10</v>
      </c>
      <c r="K39" s="43">
        <v>12</v>
      </c>
      <c r="L39" s="43">
        <v>2</v>
      </c>
      <c r="M39" s="43">
        <v>4</v>
      </c>
      <c r="N39" s="43">
        <v>5</v>
      </c>
      <c r="O39" s="43">
        <v>1</v>
      </c>
      <c r="P39" s="43"/>
      <c r="Q39" s="43" t="s">
        <v>51</v>
      </c>
      <c r="R39" s="43">
        <v>53</v>
      </c>
      <c r="S39" s="43" t="s">
        <v>61</v>
      </c>
    </row>
    <row r="40" spans="1:19" ht="225" x14ac:dyDescent="0.25">
      <c r="A40" s="43">
        <v>39</v>
      </c>
      <c r="B40" s="43" t="s">
        <v>202</v>
      </c>
      <c r="C40" s="43">
        <v>14</v>
      </c>
      <c r="D40" s="43" t="s">
        <v>225</v>
      </c>
      <c r="E40" s="43" t="s">
        <v>202</v>
      </c>
      <c r="F40" s="43">
        <v>2665</v>
      </c>
      <c r="G40" s="43">
        <v>2615</v>
      </c>
      <c r="H40" s="43">
        <v>2986</v>
      </c>
      <c r="I40" s="43">
        <v>2017</v>
      </c>
      <c r="J40" s="43">
        <v>889</v>
      </c>
      <c r="K40" s="43">
        <v>4650</v>
      </c>
      <c r="L40" s="43">
        <v>900</v>
      </c>
      <c r="M40" s="43">
        <v>1500</v>
      </c>
      <c r="N40" s="43">
        <v>2000</v>
      </c>
      <c r="O40" s="43">
        <v>250</v>
      </c>
      <c r="P40" s="43"/>
      <c r="Q40" s="43" t="s">
        <v>46</v>
      </c>
      <c r="R40" s="43">
        <v>40</v>
      </c>
      <c r="S40" s="43" t="s">
        <v>293</v>
      </c>
    </row>
    <row r="41" spans="1:19" ht="225" x14ac:dyDescent="0.25">
      <c r="A41" s="43">
        <v>40</v>
      </c>
      <c r="B41" s="43" t="s">
        <v>205</v>
      </c>
      <c r="C41" s="43">
        <v>14</v>
      </c>
      <c r="D41" s="43" t="s">
        <v>225</v>
      </c>
      <c r="E41" s="43" t="s">
        <v>294</v>
      </c>
      <c r="F41" s="43">
        <v>353529</v>
      </c>
      <c r="G41" s="43">
        <v>245839</v>
      </c>
      <c r="H41" s="43">
        <v>245839</v>
      </c>
      <c r="I41" s="43">
        <v>155840</v>
      </c>
      <c r="J41" s="43">
        <v>483092</v>
      </c>
      <c r="K41" s="43">
        <v>1739131.2</v>
      </c>
      <c r="L41" s="43">
        <v>483092</v>
      </c>
      <c r="M41" s="43">
        <v>531401.19999999995</v>
      </c>
      <c r="N41" s="43">
        <v>603865</v>
      </c>
      <c r="O41" s="43">
        <v>120773</v>
      </c>
      <c r="P41" s="43"/>
      <c r="Q41" s="43" t="s">
        <v>46</v>
      </c>
      <c r="R41" s="43">
        <v>49</v>
      </c>
      <c r="S41" s="43" t="s">
        <v>295</v>
      </c>
    </row>
    <row r="42" spans="1:19" x14ac:dyDescent="0.25">
      <c r="A42" s="41"/>
      <c r="B42" s="41"/>
      <c r="C42" s="41"/>
      <c r="D42" s="41"/>
      <c r="E42" s="41"/>
      <c r="F42" s="41"/>
      <c r="G42" s="41"/>
      <c r="H42" s="41"/>
      <c r="I42" s="41"/>
      <c r="J42" s="41"/>
      <c r="K42" s="41"/>
      <c r="L42" s="41"/>
      <c r="M42" s="41"/>
      <c r="N42" s="41"/>
      <c r="O42" s="41"/>
      <c r="P42" s="41"/>
      <c r="Q42" s="41"/>
      <c r="R42" s="41"/>
      <c r="S42" s="41"/>
    </row>
    <row r="43" spans="1:19" x14ac:dyDescent="0.25">
      <c r="A43" s="41"/>
      <c r="B43" s="41"/>
      <c r="C43" s="41"/>
      <c r="D43" s="41"/>
      <c r="E43" s="41"/>
      <c r="F43" s="41"/>
      <c r="G43" s="41"/>
      <c r="H43" s="41"/>
      <c r="I43" s="41"/>
      <c r="J43" s="41"/>
      <c r="K43" s="41"/>
      <c r="L43" s="41"/>
      <c r="M43" s="41"/>
      <c r="N43" s="41"/>
      <c r="O43" s="41"/>
      <c r="P43" s="41"/>
      <c r="Q43" s="41"/>
      <c r="R43" s="41"/>
      <c r="S43" s="41"/>
    </row>
    <row r="44" spans="1:19" x14ac:dyDescent="0.25"/>
  </sheetData>
  <autoFilter ref="A1:S41" xr:uid="{00000000-0009-0000-0000-000005000000}"/>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26B240-9240-4D61-BC33-B6659C47B868}">
  <sheetPr codeName="Hoja7">
    <tabColor theme="1" tint="0.499984740745262"/>
  </sheetPr>
  <dimension ref="A1:S42"/>
  <sheetViews>
    <sheetView showGridLines="0" tabSelected="1" zoomScale="110" zoomScaleNormal="110" workbookViewId="0">
      <pane xSplit="2" ySplit="1" topLeftCell="C26" activePane="bottomRight" state="frozen"/>
      <selection pane="topRight" activeCell="C1" sqref="C1"/>
      <selection pane="bottomLeft" activeCell="A2" sqref="A2"/>
      <selection pane="bottomRight" activeCell="E31" sqref="E31"/>
    </sheetView>
  </sheetViews>
  <sheetFormatPr baseColWidth="10" defaultColWidth="0" defaultRowHeight="15" zeroHeight="1" x14ac:dyDescent="0.25"/>
  <cols>
    <col min="1" max="1" width="13.5703125" style="40" customWidth="1"/>
    <col min="2" max="2" width="48.140625" style="40" customWidth="1"/>
    <col min="3" max="3" width="18.42578125" style="40" customWidth="1"/>
    <col min="4" max="4" width="25.7109375" style="40" customWidth="1"/>
    <col min="5" max="5" width="15.42578125" style="40" customWidth="1"/>
    <col min="6" max="6" width="18" style="40" customWidth="1"/>
    <col min="7" max="7" width="14.85546875" style="40" customWidth="1"/>
    <col min="8" max="8" width="17.7109375" style="40" hidden="1" customWidth="1"/>
    <col min="9" max="9" width="14.7109375" style="40" hidden="1" customWidth="1"/>
    <col min="10" max="10" width="17.7109375" style="40" hidden="1" customWidth="1"/>
    <col min="11" max="11" width="15.85546875" style="40" hidden="1" customWidth="1"/>
    <col min="12" max="12" width="17.7109375" style="40" hidden="1" customWidth="1"/>
    <col min="13" max="13" width="16.140625" style="40" hidden="1" customWidth="1"/>
    <col min="14" max="14" width="17.7109375" style="40" hidden="1" customWidth="1"/>
    <col min="15" max="15" width="11.140625" style="40" hidden="1" customWidth="1"/>
    <col min="16" max="16" width="17.7109375" style="40" hidden="1" customWidth="1"/>
    <col min="17" max="17" width="8.140625" style="40" bestFit="1" customWidth="1"/>
    <col min="18" max="18" width="17.7109375" style="40" bestFit="1" customWidth="1"/>
    <col min="19" max="19" width="20.5703125" style="40" customWidth="1"/>
    <col min="20" max="16384" width="20.5703125" style="40" hidden="1"/>
  </cols>
  <sheetData>
    <row r="1" spans="1:18" ht="60" x14ac:dyDescent="0.25">
      <c r="A1" s="42" t="s">
        <v>7</v>
      </c>
      <c r="B1" s="42" t="s">
        <v>209</v>
      </c>
      <c r="C1" s="44" t="s">
        <v>32</v>
      </c>
      <c r="D1" s="44" t="s">
        <v>297</v>
      </c>
      <c r="E1" s="42" t="s">
        <v>33</v>
      </c>
      <c r="F1" s="42" t="s">
        <v>298</v>
      </c>
      <c r="G1" s="42" t="s">
        <v>34</v>
      </c>
      <c r="H1" s="42" t="s">
        <v>299</v>
      </c>
      <c r="I1" s="42" t="s">
        <v>35</v>
      </c>
      <c r="J1" s="42" t="s">
        <v>300</v>
      </c>
      <c r="K1" s="42" t="s">
        <v>36</v>
      </c>
      <c r="L1" s="42" t="s">
        <v>301</v>
      </c>
      <c r="M1" s="42" t="s">
        <v>37</v>
      </c>
      <c r="N1" s="42" t="s">
        <v>302</v>
      </c>
      <c r="O1" s="42" t="s">
        <v>303</v>
      </c>
      <c r="P1" s="42" t="s">
        <v>304</v>
      </c>
      <c r="Q1" s="42" t="s">
        <v>38</v>
      </c>
      <c r="R1" s="42" t="s">
        <v>305</v>
      </c>
    </row>
    <row r="2" spans="1:18" ht="30" x14ac:dyDescent="0.25">
      <c r="A2" s="43">
        <f>[1]Indicadores_PAI!A2</f>
        <v>1</v>
      </c>
      <c r="B2" s="43" t="str">
        <f>[1]Indicadores_PAI!B2</f>
        <v>Número de cursos de pregrado que integren o combinen  asignaturas en distintas modalidades</v>
      </c>
      <c r="C2" s="45">
        <v>136</v>
      </c>
      <c r="D2" s="46">
        <v>1.1333333333333333</v>
      </c>
      <c r="E2" s="45">
        <v>166</v>
      </c>
      <c r="F2" s="46">
        <v>2.157142857142857</v>
      </c>
      <c r="G2" s="43"/>
      <c r="H2" s="46"/>
      <c r="I2" s="43"/>
      <c r="J2" s="46"/>
      <c r="K2" s="43"/>
      <c r="L2" s="46"/>
      <c r="M2" s="43"/>
      <c r="N2" s="46"/>
      <c r="O2" s="43"/>
      <c r="P2" s="46"/>
      <c r="Q2" s="47">
        <v>302</v>
      </c>
      <c r="R2" s="46">
        <v>0.65652173913043477</v>
      </c>
    </row>
    <row r="3" spans="1:18" ht="30" x14ac:dyDescent="0.25">
      <c r="A3" s="43">
        <f>[1]Indicadores_PAI!A3</f>
        <v>2</v>
      </c>
      <c r="B3" s="43" t="str">
        <f>[1]Indicadores_PAI!B3</f>
        <v>Número de programas de pregrado que estén en armonización curricular</v>
      </c>
      <c r="C3" s="45">
        <v>0</v>
      </c>
      <c r="D3" s="46">
        <v>0</v>
      </c>
      <c r="E3" s="45">
        <v>4</v>
      </c>
      <c r="F3" s="46">
        <v>1.3333333333333333</v>
      </c>
      <c r="G3" s="43"/>
      <c r="H3" s="46"/>
      <c r="I3" s="43"/>
      <c r="J3" s="46"/>
      <c r="K3" s="43"/>
      <c r="L3" s="46"/>
      <c r="M3" s="43"/>
      <c r="N3" s="46"/>
      <c r="O3" s="43"/>
      <c r="P3" s="46"/>
      <c r="Q3" s="47">
        <v>4</v>
      </c>
      <c r="R3" s="46">
        <v>0.26666666666666666</v>
      </c>
    </row>
    <row r="4" spans="1:18" ht="60" x14ac:dyDescent="0.25">
      <c r="A4" s="43">
        <f>[1]Indicadores_PAI!A4</f>
        <v>3</v>
      </c>
      <c r="B4" s="43" t="str">
        <f>[1]Indicadores_PAI!B4</f>
        <v>Número de estrategias didácticas innovadoras aplicadas en los programas de pregrado y posgrado en correspondencia con los cambios en los entornos de aprendizaje</v>
      </c>
      <c r="C4" s="45">
        <v>0</v>
      </c>
      <c r="D4" s="46">
        <v>0</v>
      </c>
      <c r="E4" s="45">
        <v>10</v>
      </c>
      <c r="F4" s="46">
        <v>1</v>
      </c>
      <c r="G4" s="43"/>
      <c r="H4" s="46"/>
      <c r="I4" s="43"/>
      <c r="J4" s="46"/>
      <c r="K4" s="43"/>
      <c r="L4" s="46"/>
      <c r="M4" s="43"/>
      <c r="N4" s="46"/>
      <c r="O4" s="43"/>
      <c r="P4" s="46"/>
      <c r="Q4" s="47">
        <v>10</v>
      </c>
      <c r="R4" s="46">
        <v>0.5</v>
      </c>
    </row>
    <row r="5" spans="1:18" ht="75" x14ac:dyDescent="0.25">
      <c r="A5" s="43">
        <f>[1]Indicadores_PAI!A5</f>
        <v>4</v>
      </c>
      <c r="B5" s="43" t="str">
        <f>[1]Indicadores_PAI!B5</f>
        <v>Número de integrantes de la comunidad universitaria participando en la nueva plataforma de fortalecimiento de capacidades en internacionalización, interculturalidad y ciudadanía global</v>
      </c>
      <c r="C5" s="45">
        <v>426</v>
      </c>
      <c r="D5" s="46">
        <v>1.7749999999999999</v>
      </c>
      <c r="E5" s="45">
        <v>1186</v>
      </c>
      <c r="F5" s="46">
        <v>1.2354166666666666</v>
      </c>
      <c r="G5" s="43"/>
      <c r="H5" s="46"/>
      <c r="I5" s="43"/>
      <c r="J5" s="46"/>
      <c r="K5" s="43"/>
      <c r="L5" s="46"/>
      <c r="M5" s="43"/>
      <c r="N5" s="46"/>
      <c r="O5" s="43"/>
      <c r="P5" s="46"/>
      <c r="Q5" s="45">
        <v>1186</v>
      </c>
      <c r="R5" s="46">
        <v>0.4235714285714286</v>
      </c>
    </row>
    <row r="6" spans="1:18" ht="45" x14ac:dyDescent="0.25">
      <c r="A6" s="43">
        <f>[1]Indicadores_PAI!A6</f>
        <v>5</v>
      </c>
      <c r="B6" s="43" t="str">
        <f>[1]Indicadores_PAI!B6</f>
        <v>Número de aliados estratégicos internacionales con los que se realizan actividades de cooperación científica, docente y de extensión por año.</v>
      </c>
      <c r="C6" s="45">
        <v>237</v>
      </c>
      <c r="D6" s="46">
        <v>0.69705882352941173</v>
      </c>
      <c r="E6" s="45">
        <v>243</v>
      </c>
      <c r="F6" s="46">
        <v>0.62307692307692308</v>
      </c>
      <c r="G6" s="43"/>
      <c r="H6" s="46"/>
      <c r="I6" s="43"/>
      <c r="J6" s="46"/>
      <c r="K6" s="43"/>
      <c r="L6" s="46"/>
      <c r="M6" s="43"/>
      <c r="N6" s="46"/>
      <c r="O6" s="43"/>
      <c r="P6" s="46"/>
      <c r="Q6" s="45">
        <v>243</v>
      </c>
      <c r="R6" s="46">
        <v>0.54</v>
      </c>
    </row>
    <row r="7" spans="1:18" ht="45" x14ac:dyDescent="0.25">
      <c r="A7" s="43">
        <f>[1]Indicadores_PAI!A7</f>
        <v>6</v>
      </c>
      <c r="B7" s="43" t="str">
        <f>[1]Indicadores_PAI!B7</f>
        <v>Número de participantes en los cursos ofertados en el marco de formación complementaria, deportiva, cultural  y de Bienestar</v>
      </c>
      <c r="C7" s="47">
        <v>16492</v>
      </c>
      <c r="D7" s="46">
        <v>1.05697622252131</v>
      </c>
      <c r="E7" s="47">
        <v>14424</v>
      </c>
      <c r="F7" s="46">
        <v>0.86938701705744081</v>
      </c>
      <c r="G7" s="43"/>
      <c r="H7" s="46"/>
      <c r="I7" s="43"/>
      <c r="J7" s="46"/>
      <c r="K7" s="43"/>
      <c r="L7" s="46"/>
      <c r="M7" s="43"/>
      <c r="N7" s="46"/>
      <c r="O7" s="43"/>
      <c r="P7" s="46"/>
      <c r="Q7" s="47">
        <v>14424</v>
      </c>
      <c r="R7" s="46">
        <v>0.77682033606204226</v>
      </c>
    </row>
    <row r="8" spans="1:18" x14ac:dyDescent="0.25">
      <c r="A8" s="43">
        <f>[1]Indicadores_PAI!A8</f>
        <v>7</v>
      </c>
      <c r="B8" s="43" t="str">
        <f>[1]Indicadores_PAI!B8</f>
        <v>Cantidad de publicaciones en bases de datos</v>
      </c>
      <c r="C8" s="47">
        <v>1691</v>
      </c>
      <c r="D8" s="46">
        <v>1.0418977202711028</v>
      </c>
      <c r="E8" s="47">
        <v>1556</v>
      </c>
      <c r="F8" s="46">
        <v>1.0003080714725816</v>
      </c>
      <c r="G8" s="43"/>
      <c r="H8" s="46"/>
      <c r="I8" s="43"/>
      <c r="J8" s="46"/>
      <c r="K8" s="43"/>
      <c r="L8" s="46"/>
      <c r="M8" s="43"/>
      <c r="N8" s="46"/>
      <c r="O8" s="43"/>
      <c r="P8" s="46"/>
      <c r="Q8" s="47">
        <v>3247</v>
      </c>
      <c r="R8" s="46">
        <v>0.66687204764838781</v>
      </c>
    </row>
    <row r="9" spans="1:18" ht="45" x14ac:dyDescent="0.25">
      <c r="A9" s="43">
        <f>[1]Indicadores_PAI!A9</f>
        <v>8</v>
      </c>
      <c r="B9" s="43" t="str">
        <f>[1]Indicadores_PAI!B9</f>
        <v>Número de participaciones de los estudiantes en actividades y estrategias que permiten fortalecer la formación en investigación</v>
      </c>
      <c r="C9" s="47">
        <v>539</v>
      </c>
      <c r="D9" s="46">
        <v>1.0286259541984732</v>
      </c>
      <c r="E9" s="47">
        <v>256</v>
      </c>
      <c r="F9" s="46">
        <v>0.75858778625954193</v>
      </c>
      <c r="G9" s="43"/>
      <c r="H9" s="46"/>
      <c r="I9" s="43"/>
      <c r="J9" s="46"/>
      <c r="K9" s="43"/>
      <c r="L9" s="46"/>
      <c r="M9" s="43"/>
      <c r="N9" s="46"/>
      <c r="O9" s="43"/>
      <c r="P9" s="46"/>
      <c r="Q9" s="47">
        <v>795</v>
      </c>
      <c r="R9" s="46">
        <v>0.50572519083969469</v>
      </c>
    </row>
    <row r="10" spans="1:18" ht="45" x14ac:dyDescent="0.25">
      <c r="A10" s="43">
        <f>[1]Indicadores_PAI!A10</f>
        <v>9</v>
      </c>
      <c r="B10" s="43" t="str">
        <f>[1]Indicadores_PAI!B10</f>
        <v>Número de emprendimientos  beneficiados de los nuevos  programas institucionales  para el fortalecimiento empresarial</v>
      </c>
      <c r="C10" s="45">
        <v>85</v>
      </c>
      <c r="D10" s="46">
        <v>1.4166666666666667</v>
      </c>
      <c r="E10" s="45">
        <v>57</v>
      </c>
      <c r="F10" s="46">
        <v>0.74736842105263157</v>
      </c>
      <c r="G10" s="43"/>
      <c r="H10" s="46"/>
      <c r="I10" s="43"/>
      <c r="J10" s="46"/>
      <c r="K10" s="43"/>
      <c r="L10" s="46"/>
      <c r="M10" s="43"/>
      <c r="N10" s="46"/>
      <c r="O10" s="43"/>
      <c r="P10" s="46"/>
      <c r="Q10" s="47">
        <v>142</v>
      </c>
      <c r="R10" s="46">
        <v>0.44374999999999998</v>
      </c>
    </row>
    <row r="11" spans="1:18" ht="60" x14ac:dyDescent="0.25">
      <c r="A11" s="43">
        <f>[1]Indicadores_PAI!A11</f>
        <v>10</v>
      </c>
      <c r="B11" s="43" t="str">
        <f>[1]Indicadores_PAI!B11</f>
        <v>Número de proyectos, convenios y contratos en actividades de ciencia, tecnología, innovación y emprendimiento entre Universidad - Empresa - Estado - Sociedad</v>
      </c>
      <c r="C11" s="45">
        <v>18</v>
      </c>
      <c r="D11" s="46">
        <v>0.8571428571428571</v>
      </c>
      <c r="E11" s="45">
        <v>4</v>
      </c>
      <c r="F11" s="46">
        <v>0.51162790697674421</v>
      </c>
      <c r="G11" s="43"/>
      <c r="H11" s="46"/>
      <c r="I11" s="43"/>
      <c r="J11" s="46"/>
      <c r="K11" s="43"/>
      <c r="L11" s="46"/>
      <c r="M11" s="43"/>
      <c r="N11" s="46"/>
      <c r="O11" s="43"/>
      <c r="P11" s="46"/>
      <c r="Q11" s="47">
        <v>22</v>
      </c>
      <c r="R11" s="46">
        <v>0.33333333333333331</v>
      </c>
    </row>
    <row r="12" spans="1:18" x14ac:dyDescent="0.25">
      <c r="A12" s="43">
        <f>[1]Indicadores_PAI!A12</f>
        <v>11</v>
      </c>
      <c r="B12" s="43" t="str">
        <f>[1]Indicadores_PAI!B12</f>
        <v>Número proyectos de innovación social</v>
      </c>
      <c r="C12" s="45">
        <v>3</v>
      </c>
      <c r="D12" s="46">
        <v>1</v>
      </c>
      <c r="E12" s="45">
        <v>0</v>
      </c>
      <c r="F12" s="46">
        <v>0.5</v>
      </c>
      <c r="G12" s="43"/>
      <c r="H12" s="46"/>
      <c r="I12" s="43"/>
      <c r="J12" s="46"/>
      <c r="K12" s="43"/>
      <c r="L12" s="46"/>
      <c r="M12" s="43"/>
      <c r="N12" s="46"/>
      <c r="O12" s="43"/>
      <c r="P12" s="46"/>
      <c r="Q12" s="47">
        <v>3</v>
      </c>
      <c r="R12" s="46">
        <v>0.33333333333333331</v>
      </c>
    </row>
    <row r="13" spans="1:18" ht="30" x14ac:dyDescent="0.25">
      <c r="A13" s="43">
        <f>[1]Indicadores_PAI!A13</f>
        <v>12</v>
      </c>
      <c r="B13" s="43" t="str">
        <f>[1]Indicadores_PAI!B13</f>
        <v>Número de citaciones de Google Scholar por año que recibe la UdeA</v>
      </c>
      <c r="C13" s="47">
        <v>43755</v>
      </c>
      <c r="D13" s="46">
        <v>0.92399797271613804</v>
      </c>
      <c r="E13" s="47">
        <v>39924</v>
      </c>
      <c r="F13" s="46">
        <v>0.82566075195433675</v>
      </c>
      <c r="G13" s="43"/>
      <c r="H13" s="46"/>
      <c r="I13" s="43"/>
      <c r="J13" s="46"/>
      <c r="K13" s="43"/>
      <c r="L13" s="46"/>
      <c r="M13" s="43"/>
      <c r="N13" s="46"/>
      <c r="O13" s="43"/>
      <c r="P13" s="46"/>
      <c r="Q13" s="47">
        <v>83679</v>
      </c>
      <c r="R13" s="46">
        <v>1.695485674919966</v>
      </c>
    </row>
    <row r="14" spans="1:18" ht="45" x14ac:dyDescent="0.25">
      <c r="A14" s="43">
        <f>[1]Indicadores_PAI!A14</f>
        <v>13</v>
      </c>
      <c r="B14" s="43" t="str">
        <f>[1]Indicadores_PAI!B14</f>
        <v>Número de estudiantes beneficiarios de los programas y servicios orientados a promover la permanencia estudiantil</v>
      </c>
      <c r="C14" s="47">
        <v>15800</v>
      </c>
      <c r="D14" s="46">
        <v>0.70586132952108649</v>
      </c>
      <c r="E14" s="47">
        <v>24215</v>
      </c>
      <c r="F14" s="46">
        <v>1.0274088845517417</v>
      </c>
      <c r="G14" s="43"/>
      <c r="H14" s="46"/>
      <c r="I14" s="43"/>
      <c r="J14" s="46"/>
      <c r="K14" s="43"/>
      <c r="L14" s="46"/>
      <c r="M14" s="43"/>
      <c r="N14" s="46"/>
      <c r="O14" s="43"/>
      <c r="P14" s="46"/>
      <c r="Q14" s="47">
        <v>24215</v>
      </c>
      <c r="R14" s="46">
        <v>0.95938985736925519</v>
      </c>
    </row>
    <row r="15" spans="1:18" x14ac:dyDescent="0.25">
      <c r="A15" s="43">
        <f>[1]Indicadores_PAI!A15</f>
        <v>14</v>
      </c>
      <c r="B15" s="43" t="str">
        <f>[1]Indicadores_PAI!B15</f>
        <v>Tasa de deserción por semestre</v>
      </c>
      <c r="C15" s="48">
        <v>0.06</v>
      </c>
      <c r="D15" s="46">
        <v>0.17142857142857143</v>
      </c>
      <c r="E15" s="48">
        <v>0.29809999999999998</v>
      </c>
      <c r="F15" s="46">
        <v>1.0734652801073465</v>
      </c>
      <c r="G15" s="43"/>
      <c r="H15" s="46"/>
      <c r="I15" s="43"/>
      <c r="J15" s="46"/>
      <c r="K15" s="43"/>
      <c r="L15" s="46"/>
      <c r="M15" s="43"/>
      <c r="N15" s="46"/>
      <c r="O15" s="43"/>
      <c r="P15" s="46"/>
      <c r="Q15" s="48">
        <v>0.29809999999999998</v>
      </c>
      <c r="R15" s="46">
        <v>0.93928212009392842</v>
      </c>
    </row>
    <row r="16" spans="1:18" ht="45" x14ac:dyDescent="0.25">
      <c r="A16" s="43">
        <f>[1]Indicadores_PAI!A16</f>
        <v>15</v>
      </c>
      <c r="B16" s="43" t="str">
        <f>[1]Indicadores_PAI!B16</f>
        <v>Número de participantes en actividades desarrolladas para promover  el buen vivir en la comunidad universitaria</v>
      </c>
      <c r="C16" s="47">
        <v>18247</v>
      </c>
      <c r="D16" s="46">
        <v>0.91234999999999999</v>
      </c>
      <c r="E16" s="47">
        <v>22390</v>
      </c>
      <c r="F16" s="46">
        <v>1.0177272727272728</v>
      </c>
      <c r="G16" s="43"/>
      <c r="H16" s="46"/>
      <c r="I16" s="43"/>
      <c r="J16" s="46"/>
      <c r="K16" s="43"/>
      <c r="L16" s="46"/>
      <c r="M16" s="43"/>
      <c r="N16" s="46"/>
      <c r="O16" s="43"/>
      <c r="P16" s="46"/>
      <c r="Q16" s="47">
        <v>22390</v>
      </c>
      <c r="R16" s="46">
        <v>0.89559999999999995</v>
      </c>
    </row>
    <row r="17" spans="1:18" ht="45" x14ac:dyDescent="0.25">
      <c r="A17" s="43">
        <f>[1]Indicadores_PAI!A17</f>
        <v>16</v>
      </c>
      <c r="B17" s="43" t="str">
        <f>[1]Indicadores_PAI!B17</f>
        <v>Porcentaje de profesores que realizan procesos formativos y de cualificación docente ofertados por la Universidad</v>
      </c>
      <c r="C17" s="48">
        <v>0.14000000000000001</v>
      </c>
      <c r="D17" s="46">
        <v>0.70000000000000007</v>
      </c>
      <c r="E17" s="48">
        <v>0.61</v>
      </c>
      <c r="F17" s="46">
        <v>1.5249999999999999</v>
      </c>
      <c r="G17" s="43"/>
      <c r="H17" s="46"/>
      <c r="I17" s="43"/>
      <c r="J17" s="46"/>
      <c r="K17" s="43"/>
      <c r="L17" s="46"/>
      <c r="M17" s="43"/>
      <c r="N17" s="46"/>
      <c r="O17" s="43"/>
      <c r="P17" s="46"/>
      <c r="Q17" s="48">
        <v>0.61</v>
      </c>
      <c r="R17" s="46">
        <v>1.5249999999999999</v>
      </c>
    </row>
    <row r="18" spans="1:18" x14ac:dyDescent="0.25">
      <c r="A18" s="43">
        <f>[1]Indicadores_PAI!A18</f>
        <v>17</v>
      </c>
      <c r="B18" s="43" t="str">
        <f>[1]Indicadores_PAI!B18</f>
        <v>Porcentaje de implementación de teletrabajo</v>
      </c>
      <c r="C18" s="48">
        <v>0.09</v>
      </c>
      <c r="D18" s="46">
        <v>0.52941176470588225</v>
      </c>
      <c r="E18" s="48">
        <v>1</v>
      </c>
      <c r="F18" s="46">
        <v>3.0303030303030303</v>
      </c>
      <c r="G18" s="43"/>
      <c r="H18" s="46"/>
      <c r="I18" s="43"/>
      <c r="J18" s="46"/>
      <c r="K18" s="43"/>
      <c r="L18" s="46"/>
      <c r="M18" s="43"/>
      <c r="N18" s="46"/>
      <c r="O18" s="43"/>
      <c r="P18" s="46"/>
      <c r="Q18" s="48">
        <v>1</v>
      </c>
      <c r="R18" s="46">
        <v>2.2727272727272729</v>
      </c>
    </row>
    <row r="19" spans="1:18" ht="30" x14ac:dyDescent="0.25">
      <c r="A19" s="43">
        <f>[1]Indicadores_PAI!A19</f>
        <v>18</v>
      </c>
      <c r="B19" s="43" t="str">
        <f>[1]Indicadores_PAI!B19</f>
        <v>Porcentaje planificación y retroalimentación de la labor</v>
      </c>
      <c r="C19" s="48">
        <v>0.16</v>
      </c>
      <c r="D19" s="46">
        <v>0.35555555555555557</v>
      </c>
      <c r="E19" s="48">
        <v>0.18</v>
      </c>
      <c r="F19" s="46">
        <v>0.39999999999999997</v>
      </c>
      <c r="G19" s="43"/>
      <c r="H19" s="46"/>
      <c r="I19" s="43"/>
      <c r="J19" s="46"/>
      <c r="K19" s="43"/>
      <c r="L19" s="46"/>
      <c r="M19" s="43"/>
      <c r="N19" s="46"/>
      <c r="O19" s="43"/>
      <c r="P19" s="46"/>
      <c r="Q19" s="48">
        <v>0.18</v>
      </c>
      <c r="R19" s="46">
        <v>0.25714285714285717</v>
      </c>
    </row>
    <row r="20" spans="1:18" ht="30" x14ac:dyDescent="0.25">
      <c r="A20" s="43">
        <f>[1]Indicadores_PAI!A20</f>
        <v>19</v>
      </c>
      <c r="B20" s="43" t="str">
        <f>[1]Indicadores_PAI!B20</f>
        <v>Número de nuevos empleados vinculados en carrera administrativa por concurso público</v>
      </c>
      <c r="C20" s="48">
        <v>0</v>
      </c>
      <c r="D20" s="46">
        <v>0</v>
      </c>
      <c r="E20" s="45">
        <v>0</v>
      </c>
      <c r="F20" s="46">
        <v>0</v>
      </c>
      <c r="G20" s="43"/>
      <c r="H20" s="46"/>
      <c r="I20" s="43"/>
      <c r="J20" s="46"/>
      <c r="K20" s="43"/>
      <c r="L20" s="46"/>
      <c r="M20" s="43"/>
      <c r="N20" s="46"/>
      <c r="O20" s="43"/>
      <c r="P20" s="46"/>
      <c r="Q20" s="45">
        <v>0</v>
      </c>
      <c r="R20" s="46">
        <v>0</v>
      </c>
    </row>
    <row r="21" spans="1:18" ht="30" x14ac:dyDescent="0.25">
      <c r="A21" s="43">
        <f>[1]Indicadores_PAI!A21</f>
        <v>20</v>
      </c>
      <c r="B21" s="43" t="str">
        <f>[1]Indicadores_PAI!B21</f>
        <v>Número de plazas docentes de tiempo completos equivalentes ocupadas</v>
      </c>
      <c r="C21" s="45">
        <v>123</v>
      </c>
      <c r="D21" s="46">
        <v>1.4137931034482758</v>
      </c>
      <c r="E21" s="45">
        <v>17</v>
      </c>
      <c r="F21" s="46">
        <v>141.66666666666669</v>
      </c>
      <c r="G21" s="43"/>
      <c r="H21" s="46"/>
      <c r="I21" s="43"/>
      <c r="J21" s="46"/>
      <c r="K21" s="43"/>
      <c r="L21" s="46"/>
      <c r="M21" s="43"/>
      <c r="N21" s="46"/>
      <c r="O21" s="43"/>
      <c r="P21" s="46"/>
      <c r="Q21" s="45">
        <v>140</v>
      </c>
      <c r="R21" s="46">
        <v>1.037037037037037</v>
      </c>
    </row>
    <row r="22" spans="1:18" ht="30" x14ac:dyDescent="0.25">
      <c r="A22" s="43">
        <f>[1]Indicadores_PAI!A22</f>
        <v>21</v>
      </c>
      <c r="B22" s="43" t="str">
        <f>[1]Indicadores_PAI!B22</f>
        <v>Número de plazas docentes de tiempo completos equivalentes creadas</v>
      </c>
      <c r="C22" s="47">
        <v>1666</v>
      </c>
      <c r="D22" s="46">
        <v>1</v>
      </c>
      <c r="E22" s="47">
        <v>1666</v>
      </c>
      <c r="F22" s="46">
        <v>0.98463356973995275</v>
      </c>
      <c r="G22" s="43"/>
      <c r="H22" s="46"/>
      <c r="I22" s="43"/>
      <c r="J22" s="46"/>
      <c r="K22" s="43"/>
      <c r="L22" s="46"/>
      <c r="M22" s="43"/>
      <c r="N22" s="46"/>
      <c r="O22" s="43"/>
      <c r="P22" s="46"/>
      <c r="Q22" s="47">
        <v>1666</v>
      </c>
      <c r="R22" s="46">
        <v>0.96244945118428649</v>
      </c>
    </row>
    <row r="23" spans="1:18" ht="30" x14ac:dyDescent="0.25">
      <c r="A23" s="43">
        <f>[1]Indicadores_PAI!A23</f>
        <v>22</v>
      </c>
      <c r="B23" s="43" t="str">
        <f>[1]Indicadores_PAI!B23</f>
        <v>Número de temas de interés institucional priorizados que se actualizan desde lo normativo</v>
      </c>
      <c r="C23" s="45">
        <v>5</v>
      </c>
      <c r="D23" s="46">
        <v>2.5</v>
      </c>
      <c r="E23" s="45">
        <v>6</v>
      </c>
      <c r="F23" s="46">
        <v>1.2</v>
      </c>
      <c r="G23" s="43"/>
      <c r="H23" s="46"/>
      <c r="I23" s="43"/>
      <c r="J23" s="46"/>
      <c r="K23" s="43"/>
      <c r="L23" s="46"/>
      <c r="M23" s="43"/>
      <c r="N23" s="46"/>
      <c r="O23" s="43"/>
      <c r="P23" s="46"/>
      <c r="Q23" s="43">
        <v>11</v>
      </c>
      <c r="R23" s="46">
        <v>1.375</v>
      </c>
    </row>
    <row r="24" spans="1:18" ht="45" x14ac:dyDescent="0.25">
      <c r="A24" s="43">
        <f>[1]Indicadores_PAI!A24</f>
        <v>23</v>
      </c>
      <c r="B24" s="43" t="str">
        <f>[1]Indicadores_PAI!B24</f>
        <v xml:space="preserve">Talleres de apoyo para la deliberación y proyección de la reforma de regulaciones específicas, priorizados por la Dirección Jurídica </v>
      </c>
      <c r="C24" s="45">
        <v>0</v>
      </c>
      <c r="D24" s="46">
        <v>0</v>
      </c>
      <c r="E24" s="45">
        <v>0</v>
      </c>
      <c r="F24" s="46">
        <v>0</v>
      </c>
      <c r="G24" s="43"/>
      <c r="H24" s="46"/>
      <c r="I24" s="43"/>
      <c r="J24" s="46"/>
      <c r="K24" s="43"/>
      <c r="L24" s="46"/>
      <c r="M24" s="43"/>
      <c r="N24" s="46"/>
      <c r="O24" s="43"/>
      <c r="P24" s="46"/>
      <c r="Q24" s="45">
        <v>0</v>
      </c>
      <c r="R24" s="46">
        <v>0</v>
      </c>
    </row>
    <row r="25" spans="1:18" ht="45" x14ac:dyDescent="0.25">
      <c r="A25" s="43">
        <f>[1]Indicadores_PAI!A25</f>
        <v>24</v>
      </c>
      <c r="B25" s="43" t="str">
        <f>[1]Indicadores_PAI!B25</f>
        <v>Eventos de formación y divulgación sobre temas   de gobierno, democracia, participación, ciudadanía y covivencia para la comunidad universitaria</v>
      </c>
      <c r="C25" s="45">
        <v>0</v>
      </c>
      <c r="D25" s="46">
        <v>0</v>
      </c>
      <c r="E25" s="45">
        <v>6</v>
      </c>
      <c r="F25" s="46">
        <v>0</v>
      </c>
      <c r="G25" s="43"/>
      <c r="H25" s="46"/>
      <c r="I25" s="43"/>
      <c r="J25" s="46"/>
      <c r="K25" s="43"/>
      <c r="L25" s="46"/>
      <c r="M25" s="43"/>
      <c r="N25" s="46"/>
      <c r="O25" s="43"/>
      <c r="P25" s="46"/>
      <c r="Q25" s="45">
        <v>6</v>
      </c>
      <c r="R25" s="46">
        <v>0.46153846153846156</v>
      </c>
    </row>
    <row r="26" spans="1:18" ht="60" x14ac:dyDescent="0.25">
      <c r="A26" s="43">
        <f>[1]Indicadores_PAI!A26</f>
        <v>25</v>
      </c>
      <c r="B26" s="43" t="str">
        <f>[1]Indicadores_PAI!B26</f>
        <v>Participación de la comunidad universitaria en los procesos de elección y consulta para la designación de autoridades y de representantes en órganos de decisión universitarios</v>
      </c>
      <c r="C26" s="48">
        <v>0.68</v>
      </c>
      <c r="D26" s="46">
        <v>3.7777777777777781</v>
      </c>
      <c r="E26" s="48">
        <v>0.23</v>
      </c>
      <c r="F26" s="46">
        <v>1.0454545454545454</v>
      </c>
      <c r="G26" s="43"/>
      <c r="H26" s="46"/>
      <c r="I26" s="43"/>
      <c r="J26" s="46"/>
      <c r="K26" s="43"/>
      <c r="L26" s="46"/>
      <c r="M26" s="43"/>
      <c r="N26" s="46"/>
      <c r="O26" s="43"/>
      <c r="P26" s="46"/>
      <c r="Q26" s="48">
        <v>0.23</v>
      </c>
      <c r="R26" s="46">
        <v>0.95833333333333337</v>
      </c>
    </row>
    <row r="27" spans="1:18" ht="30" x14ac:dyDescent="0.25">
      <c r="A27" s="43">
        <f>[1]Indicadores_PAI!A27</f>
        <v>26</v>
      </c>
      <c r="B27" s="49" t="str">
        <f>[1]Indicadores_PAI!B27</f>
        <v>Nivel de optimización de recursos en los nuevos procesos académicos o administrativos intervenidos</v>
      </c>
      <c r="C27" s="48">
        <v>0</v>
      </c>
      <c r="D27" s="46">
        <v>0</v>
      </c>
      <c r="E27" s="48">
        <v>0</v>
      </c>
      <c r="F27" s="46">
        <v>0</v>
      </c>
      <c r="G27" s="43"/>
      <c r="H27" s="46"/>
      <c r="I27" s="43"/>
      <c r="J27" s="46"/>
      <c r="K27" s="43"/>
      <c r="L27" s="46"/>
      <c r="M27" s="43"/>
      <c r="N27" s="46"/>
      <c r="O27" s="43"/>
      <c r="P27" s="46"/>
      <c r="Q27" s="48">
        <v>0</v>
      </c>
      <c r="R27" s="46">
        <v>0</v>
      </c>
    </row>
    <row r="28" spans="1:18" ht="30" x14ac:dyDescent="0.25">
      <c r="A28" s="43">
        <f>[1]Indicadores_PAI!A28</f>
        <v>27</v>
      </c>
      <c r="B28" s="43" t="str">
        <f>[1]Indicadores_PAI!B28</f>
        <v>Número de procesos académicos y administrativos prioritarios estandarizados</v>
      </c>
      <c r="C28" s="47">
        <v>0</v>
      </c>
      <c r="D28" s="46">
        <v>0</v>
      </c>
      <c r="E28" s="47">
        <v>0</v>
      </c>
      <c r="F28" s="46">
        <v>0</v>
      </c>
      <c r="G28" s="43"/>
      <c r="H28" s="46"/>
      <c r="I28" s="43"/>
      <c r="J28" s="46"/>
      <c r="K28" s="43"/>
      <c r="L28" s="46"/>
      <c r="M28" s="43"/>
      <c r="N28" s="46"/>
      <c r="O28" s="43"/>
      <c r="P28" s="46"/>
      <c r="Q28" s="43">
        <v>0</v>
      </c>
      <c r="R28" s="46">
        <v>0</v>
      </c>
    </row>
    <row r="29" spans="1:18" x14ac:dyDescent="0.25">
      <c r="A29" s="43">
        <f>[1]Indicadores_PAI!A29</f>
        <v>28</v>
      </c>
      <c r="B29" s="43" t="str">
        <f>[1]Indicadores_PAI!B29</f>
        <v>Índice de madurez de la transformación digital</v>
      </c>
      <c r="C29" s="45">
        <v>81</v>
      </c>
      <c r="D29" s="46">
        <v>1.1911764705882353</v>
      </c>
      <c r="E29" s="45">
        <v>81</v>
      </c>
      <c r="F29" s="46">
        <v>1.0945945945945945</v>
      </c>
      <c r="G29" s="43"/>
      <c r="H29" s="46"/>
      <c r="I29" s="43"/>
      <c r="J29" s="46"/>
      <c r="K29" s="43"/>
      <c r="L29" s="46"/>
      <c r="M29" s="43"/>
      <c r="N29" s="46"/>
      <c r="O29" s="43"/>
      <c r="P29" s="46"/>
      <c r="Q29" s="45">
        <v>81</v>
      </c>
      <c r="R29" s="46">
        <v>0.95294117647058818</v>
      </c>
    </row>
    <row r="30" spans="1:18" x14ac:dyDescent="0.25">
      <c r="A30" s="43">
        <f>[1]Indicadores_PAI!A30</f>
        <v>29</v>
      </c>
      <c r="B30" s="43" t="str">
        <f>[1]Indicadores_PAI!B30</f>
        <v>Índice de apropiación de la transformación digital</v>
      </c>
      <c r="C30" s="45">
        <v>81</v>
      </c>
      <c r="D30" s="46">
        <v>1.1911764705882353</v>
      </c>
      <c r="E30" s="45">
        <v>81</v>
      </c>
      <c r="F30" s="46">
        <v>1.0945945945945945</v>
      </c>
      <c r="G30" s="43"/>
      <c r="H30" s="46"/>
      <c r="I30" s="43"/>
      <c r="J30" s="46"/>
      <c r="K30" s="43"/>
      <c r="L30" s="46"/>
      <c r="M30" s="43"/>
      <c r="N30" s="46"/>
      <c r="O30" s="43"/>
      <c r="P30" s="46"/>
      <c r="Q30" s="45">
        <v>81</v>
      </c>
      <c r="R30" s="46">
        <v>0.95294117647058818</v>
      </c>
    </row>
    <row r="31" spans="1:18" ht="45" x14ac:dyDescent="0.25">
      <c r="A31" s="43">
        <f>[1]Indicadores_PAI!A31</f>
        <v>30</v>
      </c>
      <c r="B31" s="43" t="str">
        <f>[1]Indicadores_PAI!B31</f>
        <v>Número de metros cuadrados construidos para adaptar la infraestructura universitaria a  nuevas dinámicas institucionales</v>
      </c>
      <c r="C31" s="47">
        <v>0</v>
      </c>
      <c r="D31" s="46">
        <v>0</v>
      </c>
      <c r="E31" s="47">
        <v>325</v>
      </c>
      <c r="F31" s="46">
        <v>325</v>
      </c>
      <c r="G31" s="43"/>
      <c r="H31" s="46"/>
      <c r="I31" s="43"/>
      <c r="J31" s="46"/>
      <c r="K31" s="43"/>
      <c r="L31" s="46"/>
      <c r="M31" s="43"/>
      <c r="N31" s="46"/>
      <c r="O31" s="43"/>
      <c r="P31" s="46"/>
      <c r="Q31" s="47">
        <v>325</v>
      </c>
      <c r="R31" s="46">
        <v>1.2999999999999999E-2</v>
      </c>
    </row>
    <row r="32" spans="1:18" ht="45" x14ac:dyDescent="0.25">
      <c r="A32" s="43">
        <f>[1]Indicadores_PAI!A32</f>
        <v>31</v>
      </c>
      <c r="B32" s="43" t="str">
        <f>[1]Indicadores_PAI!B32</f>
        <v>Número de metros cuadrados adecuados para adaptar la infraestructura universitaria a nuevas dinámicas institucionales</v>
      </c>
      <c r="C32" s="47">
        <v>5365</v>
      </c>
      <c r="D32" s="46">
        <v>0.82538461538461538</v>
      </c>
      <c r="E32" s="47">
        <v>3468</v>
      </c>
      <c r="F32" s="46">
        <v>1.3589230769230769</v>
      </c>
      <c r="G32" s="43"/>
      <c r="H32" s="46"/>
      <c r="I32" s="43"/>
      <c r="J32" s="46"/>
      <c r="K32" s="43"/>
      <c r="L32" s="46"/>
      <c r="M32" s="43"/>
      <c r="N32" s="46"/>
      <c r="O32" s="43"/>
      <c r="P32" s="46"/>
      <c r="Q32" s="47">
        <v>8833</v>
      </c>
      <c r="R32" s="46">
        <v>0.29443333333333332</v>
      </c>
    </row>
    <row r="33" spans="1:18" ht="60" x14ac:dyDescent="0.25">
      <c r="A33" s="43">
        <f>[1]Indicadores_PAI!A33</f>
        <v>32</v>
      </c>
      <c r="B33" s="43" t="str">
        <f>[1]Indicadores_PAI!B33</f>
        <v>Número de estudiantes con capacidades diversas partícipes o beneficiarios de las actividades, programas y servicios de la Dirección de Bienestar Universitario</v>
      </c>
      <c r="C33" s="47">
        <v>306</v>
      </c>
      <c r="D33" s="46">
        <v>0.91616766467065869</v>
      </c>
      <c r="E33" s="47">
        <v>466</v>
      </c>
      <c r="F33" s="46">
        <v>1.170854271356784</v>
      </c>
      <c r="G33" s="43"/>
      <c r="H33" s="46"/>
      <c r="I33" s="43"/>
      <c r="J33" s="46"/>
      <c r="K33" s="43"/>
      <c r="L33" s="46"/>
      <c r="M33" s="43"/>
      <c r="N33" s="46"/>
      <c r="O33" s="43"/>
      <c r="P33" s="46"/>
      <c r="Q33" s="47">
        <v>466</v>
      </c>
      <c r="R33" s="46">
        <v>0.9031007751937985</v>
      </c>
    </row>
    <row r="34" spans="1:18" ht="60" x14ac:dyDescent="0.25">
      <c r="A34" s="43">
        <f>[1]Indicadores_PAI!A34</f>
        <v>33</v>
      </c>
      <c r="B34" s="43" t="str">
        <f>[1]Indicadores_PAI!B34</f>
        <v>Nivel de implementación de adecuaciones en la Ciudad Universitaria que faciliten procesos de inclusión de personas con capacidades diversas (fase: circulación y espacio público)</v>
      </c>
      <c r="C34" s="48">
        <v>0</v>
      </c>
      <c r="D34" s="46">
        <v>0</v>
      </c>
      <c r="E34" s="48">
        <v>0.1</v>
      </c>
      <c r="F34" s="46">
        <v>0.83333333333333337</v>
      </c>
      <c r="G34" s="43"/>
      <c r="H34" s="46"/>
      <c r="I34" s="43"/>
      <c r="J34" s="46"/>
      <c r="K34" s="43"/>
      <c r="L34" s="46"/>
      <c r="M34" s="43"/>
      <c r="N34" s="46"/>
      <c r="O34" s="43"/>
      <c r="P34" s="46"/>
      <c r="Q34" s="48">
        <v>0.1</v>
      </c>
      <c r="R34" s="46">
        <v>0.30303030303030304</v>
      </c>
    </row>
    <row r="35" spans="1:18" ht="45" x14ac:dyDescent="0.25">
      <c r="A35" s="43">
        <f>[1]Indicadores_PAI!A35</f>
        <v>34</v>
      </c>
      <c r="B35" s="43" t="str">
        <f>[1]Indicadores_PAI!B35</f>
        <v>Número de programas académicos de pregrado y posgrado interdisciplinarios ofertados con enfoque en paz</v>
      </c>
      <c r="C35" s="45">
        <v>0</v>
      </c>
      <c r="D35" s="46">
        <v>0</v>
      </c>
      <c r="E35" s="45">
        <v>2</v>
      </c>
      <c r="F35" s="46">
        <v>1</v>
      </c>
      <c r="G35" s="43"/>
      <c r="H35" s="46"/>
      <c r="I35" s="43"/>
      <c r="J35" s="46"/>
      <c r="K35" s="43"/>
      <c r="L35" s="46"/>
      <c r="M35" s="43"/>
      <c r="N35" s="46"/>
      <c r="O35" s="43"/>
      <c r="P35" s="46"/>
      <c r="Q35" s="45">
        <v>2</v>
      </c>
      <c r="R35" s="46">
        <v>0.2857142857142857</v>
      </c>
    </row>
    <row r="36" spans="1:18" ht="45" x14ac:dyDescent="0.25">
      <c r="A36" s="43">
        <f>[1]Indicadores_PAI!A36</f>
        <v>35</v>
      </c>
      <c r="B36" s="43" t="str">
        <f>[1]Indicadores_PAI!B36</f>
        <v>Número de proyectos de investigación y extensión con comunidades, que fortalezcan los procesos de construcción de paz con enfoque territorial</v>
      </c>
      <c r="C36" s="47">
        <v>1</v>
      </c>
      <c r="D36" s="46">
        <v>1</v>
      </c>
      <c r="E36" s="47">
        <v>2</v>
      </c>
      <c r="F36" s="46">
        <v>1</v>
      </c>
      <c r="G36" s="43"/>
      <c r="H36" s="46"/>
      <c r="I36" s="43"/>
      <c r="J36" s="46"/>
      <c r="K36" s="43"/>
      <c r="L36" s="46"/>
      <c r="M36" s="43"/>
      <c r="N36" s="46"/>
      <c r="O36" s="43"/>
      <c r="P36" s="46"/>
      <c r="Q36" s="43">
        <v>3</v>
      </c>
      <c r="R36" s="46">
        <v>0.5</v>
      </c>
    </row>
    <row r="37" spans="1:18" ht="45" x14ac:dyDescent="0.25">
      <c r="A37" s="43">
        <f>[1]Indicadores_PAI!A37</f>
        <v>36</v>
      </c>
      <c r="B37" s="43" t="str">
        <f>[1]Indicadores_PAI!B37</f>
        <v>Número de participantes en espacios educativos, políticos y culturales implementados para la construcción de paz</v>
      </c>
      <c r="C37" s="47">
        <v>207</v>
      </c>
      <c r="D37" s="46">
        <v>1.0349999999999999</v>
      </c>
      <c r="E37" s="47">
        <v>810</v>
      </c>
      <c r="F37" s="46">
        <v>1.1299999999999999</v>
      </c>
      <c r="G37" s="43"/>
      <c r="H37" s="46"/>
      <c r="I37" s="43"/>
      <c r="J37" s="46"/>
      <c r="K37" s="43"/>
      <c r="L37" s="46"/>
      <c r="M37" s="43"/>
      <c r="N37" s="46"/>
      <c r="O37" s="43"/>
      <c r="P37" s="46"/>
      <c r="Q37" s="43">
        <v>1017</v>
      </c>
      <c r="R37" s="46">
        <v>0.50849999999999995</v>
      </c>
    </row>
    <row r="38" spans="1:18" ht="30" x14ac:dyDescent="0.25">
      <c r="A38" s="43">
        <f>[1]Indicadores_PAI!A38</f>
        <v>37</v>
      </c>
      <c r="B38" s="43" t="str">
        <f>[1]Indicadores_PAI!B38</f>
        <v>Porcentaje de avance en la implementación de la política de gestión ambiental</v>
      </c>
      <c r="C38" s="48">
        <v>0.55000000000000004</v>
      </c>
      <c r="D38" s="46">
        <v>1</v>
      </c>
      <c r="E38" s="48">
        <v>0.59</v>
      </c>
      <c r="F38" s="46">
        <v>0.90769230769230758</v>
      </c>
      <c r="G38" s="43"/>
      <c r="H38" s="46"/>
      <c r="I38" s="43"/>
      <c r="J38" s="46"/>
      <c r="K38" s="43"/>
      <c r="L38" s="46"/>
      <c r="M38" s="43"/>
      <c r="N38" s="46"/>
      <c r="O38" s="43"/>
      <c r="P38" s="46"/>
      <c r="Q38" s="48">
        <v>0.59</v>
      </c>
      <c r="R38" s="46">
        <v>0.78666666666666663</v>
      </c>
    </row>
    <row r="39" spans="1:18" ht="30" x14ac:dyDescent="0.25">
      <c r="A39" s="43">
        <f>[1]Indicadores_PAI!A39</f>
        <v>38</v>
      </c>
      <c r="B39" s="43" t="str">
        <f>[1]Indicadores_PAI!B39</f>
        <v>Número de iniciativas ambientales en los campus y sedes universitarios</v>
      </c>
      <c r="C39" s="45">
        <v>2</v>
      </c>
      <c r="D39" s="46">
        <v>1</v>
      </c>
      <c r="E39" s="45">
        <v>3</v>
      </c>
      <c r="F39" s="46">
        <v>0.83333333333333337</v>
      </c>
      <c r="G39" s="43"/>
      <c r="H39" s="46"/>
      <c r="I39" s="43"/>
      <c r="J39" s="46"/>
      <c r="K39" s="43"/>
      <c r="L39" s="46"/>
      <c r="M39" s="43"/>
      <c r="N39" s="46"/>
      <c r="O39" s="43"/>
      <c r="P39" s="46"/>
      <c r="Q39" s="45">
        <v>5</v>
      </c>
      <c r="R39" s="46">
        <v>0.41666666666666669</v>
      </c>
    </row>
    <row r="40" spans="1:18" ht="30" x14ac:dyDescent="0.25">
      <c r="A40" s="43">
        <f>[1]Indicadores_PAI!A40</f>
        <v>39</v>
      </c>
      <c r="B40" s="43" t="str">
        <f>[1]Indicadores_PAI!B40</f>
        <v>Número de eventos culturales y de patrimonio realizados en la Universidad</v>
      </c>
      <c r="C40" s="47">
        <v>1208</v>
      </c>
      <c r="D40" s="46">
        <v>1.3422222222222222</v>
      </c>
      <c r="E40" s="47">
        <v>975</v>
      </c>
      <c r="F40" s="46">
        <v>0.9095833333333333</v>
      </c>
      <c r="G40" s="43"/>
      <c r="H40" s="46"/>
      <c r="I40" s="43"/>
      <c r="J40" s="46"/>
      <c r="K40" s="43"/>
      <c r="L40" s="46"/>
      <c r="M40" s="43"/>
      <c r="N40" s="46"/>
      <c r="O40" s="43"/>
      <c r="P40" s="46"/>
      <c r="Q40" s="47">
        <v>975</v>
      </c>
      <c r="R40" s="46">
        <v>0.20967741935483872</v>
      </c>
    </row>
    <row r="41" spans="1:18" ht="30" x14ac:dyDescent="0.25">
      <c r="A41" s="43">
        <f>[1]Indicadores_PAI!A41</f>
        <v>40</v>
      </c>
      <c r="B41" s="43" t="str">
        <f>[1]Indicadores_PAI!B41</f>
        <v>Beneficiarios de la actividad cultural y de patrimonio universitaria</v>
      </c>
      <c r="C41" s="47">
        <v>130196</v>
      </c>
      <c r="D41" s="46">
        <v>0.26950560141753538</v>
      </c>
      <c r="E41" s="47">
        <v>36314</v>
      </c>
      <c r="F41" s="46">
        <v>0.16413124585384029</v>
      </c>
      <c r="G41" s="43"/>
      <c r="H41" s="46"/>
      <c r="I41" s="43"/>
      <c r="J41" s="46"/>
      <c r="K41" s="43"/>
      <c r="L41" s="46"/>
      <c r="M41" s="43"/>
      <c r="N41" s="46"/>
      <c r="O41" s="43"/>
      <c r="P41" s="46"/>
      <c r="Q41" s="47">
        <v>36314</v>
      </c>
      <c r="R41" s="46">
        <v>2.0880543213823457E-2</v>
      </c>
    </row>
    <row r="42" spans="1:18" x14ac:dyDescent="0.25"/>
  </sheetData>
  <autoFilter ref="A1:R41" xr:uid="{00000000-0009-0000-0000-000006000000}"/>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5A10DE-E0D4-497F-A3CF-575794A96839}">
  <sheetPr codeName="Hoja9">
    <tabColor theme="1" tint="0.499984740745262"/>
  </sheetPr>
  <dimension ref="A1:P42"/>
  <sheetViews>
    <sheetView showGridLines="0" workbookViewId="0">
      <pane xSplit="1" ySplit="1" topLeftCell="B2" activePane="bottomRight" state="frozen"/>
      <selection pane="topRight" activeCell="B1" sqref="B1"/>
      <selection pane="bottomLeft" activeCell="A2" sqref="A2"/>
      <selection pane="bottomRight" activeCell="A2" sqref="A2"/>
    </sheetView>
  </sheetViews>
  <sheetFormatPr baseColWidth="10" defaultColWidth="0" defaultRowHeight="15" zeroHeight="1" x14ac:dyDescent="0.25"/>
  <cols>
    <col min="1" max="1" width="11.42578125" customWidth="1"/>
    <col min="2" max="2" width="49.7109375" style="52" customWidth="1"/>
    <col min="3" max="3" width="63.140625" customWidth="1"/>
    <col min="4" max="4" width="26.5703125" customWidth="1"/>
    <col min="5" max="5" width="24.140625" customWidth="1"/>
    <col min="6" max="7" width="17.28515625" hidden="1" customWidth="1"/>
    <col min="8" max="9" width="18.140625" hidden="1" customWidth="1"/>
    <col min="10" max="11" width="18.7109375" hidden="1" customWidth="1"/>
    <col min="12" max="14" width="18.28515625" hidden="1" customWidth="1"/>
    <col min="15" max="15" width="22.5703125" hidden="1" customWidth="1"/>
    <col min="16" max="16" width="8.28515625" customWidth="1"/>
    <col min="17" max="16384" width="11.42578125" hidden="1"/>
  </cols>
  <sheetData>
    <row r="1" spans="1:15" ht="60" x14ac:dyDescent="0.25">
      <c r="A1" s="50" t="s">
        <v>7</v>
      </c>
      <c r="B1" s="42" t="s">
        <v>306</v>
      </c>
      <c r="C1" s="42" t="s">
        <v>307</v>
      </c>
      <c r="D1" s="42" t="s">
        <v>308</v>
      </c>
      <c r="E1" s="42" t="s">
        <v>309</v>
      </c>
      <c r="F1" s="42" t="s">
        <v>310</v>
      </c>
      <c r="G1" s="42" t="s">
        <v>311</v>
      </c>
      <c r="H1" s="42" t="s">
        <v>312</v>
      </c>
      <c r="I1" s="42" t="s">
        <v>313</v>
      </c>
      <c r="J1" s="42" t="s">
        <v>314</v>
      </c>
      <c r="K1" s="42" t="s">
        <v>315</v>
      </c>
      <c r="L1" s="42" t="s">
        <v>316</v>
      </c>
      <c r="M1" s="42" t="s">
        <v>317</v>
      </c>
      <c r="N1" s="42" t="s">
        <v>318</v>
      </c>
      <c r="O1" s="42" t="s">
        <v>319</v>
      </c>
    </row>
    <row r="2" spans="1:15" ht="24.95" customHeight="1" x14ac:dyDescent="0.25">
      <c r="A2" s="51">
        <v>1</v>
      </c>
      <c r="B2" s="52" t="s">
        <v>320</v>
      </c>
      <c r="C2" s="52" t="s">
        <v>321</v>
      </c>
      <c r="D2" s="52" t="s">
        <v>322</v>
      </c>
      <c r="E2" s="52" t="s">
        <v>323</v>
      </c>
      <c r="F2" s="53"/>
      <c r="G2" s="53"/>
      <c r="H2" s="53"/>
      <c r="I2" s="53"/>
      <c r="J2" s="53"/>
      <c r="K2" s="53"/>
      <c r="L2" s="53"/>
      <c r="M2" s="53"/>
      <c r="N2" s="53"/>
      <c r="O2" s="53"/>
    </row>
    <row r="3" spans="1:15" ht="24.95" customHeight="1" x14ac:dyDescent="0.25">
      <c r="A3" s="51">
        <v>2</v>
      </c>
      <c r="B3" s="52" t="s">
        <v>324</v>
      </c>
      <c r="C3" s="52" t="s">
        <v>325</v>
      </c>
      <c r="D3" s="52" t="s">
        <v>326</v>
      </c>
      <c r="E3" s="52" t="s">
        <v>327</v>
      </c>
      <c r="F3" s="53"/>
      <c r="G3" s="53"/>
      <c r="H3" s="53"/>
      <c r="I3" s="53"/>
      <c r="J3" s="53"/>
      <c r="K3" s="53"/>
      <c r="L3" s="53"/>
      <c r="M3" s="53"/>
      <c r="N3" s="53"/>
      <c r="O3" s="53"/>
    </row>
    <row r="4" spans="1:15" ht="24.95" customHeight="1" x14ac:dyDescent="0.25">
      <c r="A4" s="51">
        <v>3</v>
      </c>
      <c r="B4" s="52" t="s">
        <v>328</v>
      </c>
      <c r="C4" s="52" t="s">
        <v>329</v>
      </c>
      <c r="D4" s="52" t="s">
        <v>330</v>
      </c>
      <c r="E4" s="52" t="s">
        <v>331</v>
      </c>
      <c r="F4" s="53"/>
      <c r="G4" s="53"/>
      <c r="H4" s="53"/>
      <c r="I4" s="53"/>
      <c r="J4" s="53"/>
      <c r="K4" s="53"/>
      <c r="L4" s="53"/>
      <c r="M4" s="53"/>
      <c r="N4" s="53"/>
      <c r="O4" s="53"/>
    </row>
    <row r="5" spans="1:15" ht="24.95" customHeight="1" x14ac:dyDescent="0.25">
      <c r="A5" s="51">
        <v>4</v>
      </c>
      <c r="B5" s="52" t="s">
        <v>332</v>
      </c>
      <c r="C5" s="52" t="s">
        <v>333</v>
      </c>
      <c r="D5" s="52" t="s">
        <v>70</v>
      </c>
      <c r="E5" s="52" t="s">
        <v>71</v>
      </c>
      <c r="F5" s="53"/>
      <c r="G5" s="53"/>
      <c r="H5" s="53"/>
      <c r="I5" s="53"/>
      <c r="J5" s="53"/>
      <c r="K5" s="53"/>
      <c r="L5" s="53"/>
      <c r="M5" s="53"/>
      <c r="N5" s="53"/>
      <c r="O5" s="53"/>
    </row>
    <row r="6" spans="1:15" ht="24.95" customHeight="1" x14ac:dyDescent="0.25">
      <c r="A6" s="51">
        <v>5</v>
      </c>
      <c r="B6" s="52" t="s">
        <v>334</v>
      </c>
      <c r="C6" s="54" t="s">
        <v>335</v>
      </c>
      <c r="D6" s="54" t="s">
        <v>336</v>
      </c>
      <c r="E6" s="54" t="s">
        <v>69</v>
      </c>
      <c r="F6" s="55"/>
      <c r="G6" s="55"/>
      <c r="H6" s="55"/>
      <c r="I6" s="55"/>
      <c r="J6" s="55"/>
      <c r="K6" s="55"/>
      <c r="L6" s="55"/>
      <c r="M6" s="55"/>
      <c r="N6" s="55"/>
      <c r="O6" s="55"/>
    </row>
    <row r="7" spans="1:15" ht="24.95" customHeight="1" x14ac:dyDescent="0.25">
      <c r="A7" s="51">
        <v>6</v>
      </c>
      <c r="B7" s="52" t="s">
        <v>337</v>
      </c>
      <c r="C7" s="56" t="s">
        <v>338</v>
      </c>
      <c r="D7" s="57" t="s">
        <v>339</v>
      </c>
      <c r="E7" s="54" t="s">
        <v>340</v>
      </c>
      <c r="F7" s="55"/>
      <c r="G7" s="55"/>
      <c r="H7" s="55"/>
      <c r="I7" s="55"/>
      <c r="J7" s="55"/>
      <c r="K7" s="55"/>
      <c r="L7" s="55"/>
      <c r="M7" s="55"/>
      <c r="N7" s="55"/>
      <c r="O7" s="55"/>
    </row>
    <row r="8" spans="1:15" ht="24.95" customHeight="1" x14ac:dyDescent="0.25">
      <c r="A8" s="51">
        <v>7</v>
      </c>
      <c r="B8" s="52" t="s">
        <v>341</v>
      </c>
      <c r="C8" s="54" t="s">
        <v>342</v>
      </c>
      <c r="D8" s="54" t="s">
        <v>343</v>
      </c>
      <c r="E8" s="54" t="s">
        <v>344</v>
      </c>
      <c r="F8" s="55"/>
      <c r="G8" s="55"/>
      <c r="H8" s="55"/>
      <c r="I8" s="55"/>
      <c r="J8" s="55"/>
      <c r="K8" s="55"/>
      <c r="L8" s="55"/>
      <c r="M8" s="55"/>
      <c r="N8" s="55"/>
      <c r="O8" s="55"/>
    </row>
    <row r="9" spans="1:15" ht="24.95" customHeight="1" x14ac:dyDescent="0.25">
      <c r="A9" s="51">
        <v>8</v>
      </c>
      <c r="B9" s="52" t="s">
        <v>345</v>
      </c>
      <c r="C9" s="54" t="s">
        <v>346</v>
      </c>
      <c r="D9" s="54" t="s">
        <v>347</v>
      </c>
      <c r="E9" s="54" t="s">
        <v>348</v>
      </c>
      <c r="F9" s="55"/>
      <c r="G9" s="55"/>
      <c r="H9" s="55"/>
      <c r="I9" s="55"/>
      <c r="J9" s="55"/>
      <c r="K9" s="55"/>
      <c r="L9" s="55"/>
      <c r="M9" s="55"/>
      <c r="N9" s="55"/>
      <c r="O9" s="55"/>
    </row>
    <row r="10" spans="1:15" ht="24.95" customHeight="1" x14ac:dyDescent="0.25">
      <c r="A10" s="51">
        <v>9</v>
      </c>
      <c r="B10" s="52" t="s">
        <v>349</v>
      </c>
      <c r="C10" s="54" t="s">
        <v>350</v>
      </c>
      <c r="D10" s="54" t="s">
        <v>351</v>
      </c>
      <c r="E10" s="54" t="s">
        <v>352</v>
      </c>
      <c r="F10" s="55"/>
      <c r="G10" s="55"/>
      <c r="H10" s="55"/>
      <c r="I10" s="55"/>
      <c r="J10" s="55"/>
      <c r="K10" s="55"/>
      <c r="L10" s="55"/>
      <c r="M10" s="55"/>
      <c r="N10" s="55"/>
      <c r="O10" s="55"/>
    </row>
    <row r="11" spans="1:15" ht="24.95" customHeight="1" x14ac:dyDescent="0.25">
      <c r="A11" s="51">
        <v>10</v>
      </c>
      <c r="B11" s="52" t="s">
        <v>353</v>
      </c>
      <c r="C11" s="54" t="s">
        <v>354</v>
      </c>
      <c r="D11" s="54" t="s">
        <v>355</v>
      </c>
      <c r="E11" s="54" t="s">
        <v>356</v>
      </c>
      <c r="F11" s="55"/>
      <c r="G11" s="55"/>
      <c r="H11" s="55"/>
      <c r="I11" s="55"/>
      <c r="J11" s="55"/>
      <c r="K11" s="55"/>
      <c r="L11" s="55"/>
      <c r="M11" s="55"/>
      <c r="N11" s="55"/>
      <c r="O11" s="55"/>
    </row>
    <row r="12" spans="1:15" ht="24.95" customHeight="1" x14ac:dyDescent="0.25">
      <c r="A12" s="51">
        <v>11</v>
      </c>
      <c r="B12" s="52" t="s">
        <v>357</v>
      </c>
      <c r="C12" s="54" t="s">
        <v>358</v>
      </c>
      <c r="D12" s="54" t="s">
        <v>359</v>
      </c>
      <c r="E12" s="54" t="s">
        <v>360</v>
      </c>
      <c r="F12" s="55"/>
      <c r="G12" s="55"/>
      <c r="H12" s="55"/>
      <c r="I12" s="55"/>
      <c r="J12" s="55"/>
      <c r="K12" s="55"/>
      <c r="L12" s="55"/>
      <c r="M12" s="55"/>
      <c r="N12" s="55"/>
      <c r="O12" s="55"/>
    </row>
    <row r="13" spans="1:15" ht="24.95" customHeight="1" x14ac:dyDescent="0.25">
      <c r="A13" s="51">
        <v>12</v>
      </c>
      <c r="B13" s="52" t="s">
        <v>361</v>
      </c>
      <c r="C13" s="54" t="s">
        <v>362</v>
      </c>
      <c r="D13" s="54" t="s">
        <v>363</v>
      </c>
      <c r="E13" s="54" t="s">
        <v>364</v>
      </c>
      <c r="F13" s="55"/>
      <c r="G13" s="55"/>
      <c r="H13" s="55"/>
      <c r="I13" s="55"/>
      <c r="J13" s="55"/>
      <c r="K13" s="55"/>
      <c r="L13" s="55"/>
      <c r="M13" s="55"/>
      <c r="N13" s="55"/>
      <c r="O13" s="55"/>
    </row>
    <row r="14" spans="1:15" ht="24.95" customHeight="1" x14ac:dyDescent="0.25">
      <c r="A14" s="51">
        <v>13</v>
      </c>
      <c r="B14" s="52" t="s">
        <v>365</v>
      </c>
      <c r="C14" s="54" t="s">
        <v>366</v>
      </c>
      <c r="D14" s="54" t="s">
        <v>367</v>
      </c>
      <c r="E14" s="54" t="s">
        <v>368</v>
      </c>
      <c r="F14" s="55"/>
      <c r="G14" s="55"/>
      <c r="H14" s="55"/>
      <c r="I14" s="55"/>
      <c r="J14" s="55"/>
      <c r="K14" s="55"/>
      <c r="L14" s="55"/>
      <c r="M14" s="55"/>
      <c r="N14" s="55"/>
      <c r="O14" s="55"/>
    </row>
    <row r="15" spans="1:15" ht="24.95" customHeight="1" x14ac:dyDescent="0.25">
      <c r="A15" s="51">
        <v>14</v>
      </c>
      <c r="B15" s="52" t="s">
        <v>369</v>
      </c>
      <c r="C15" s="54" t="s">
        <v>370</v>
      </c>
      <c r="D15" s="54" t="s">
        <v>371</v>
      </c>
      <c r="E15" s="54" t="s">
        <v>372</v>
      </c>
      <c r="F15" s="55"/>
      <c r="G15" s="55"/>
      <c r="H15" s="55"/>
      <c r="I15" s="55"/>
      <c r="J15" s="55"/>
      <c r="K15" s="55"/>
      <c r="L15" s="55"/>
      <c r="M15" s="55"/>
      <c r="N15" s="55"/>
      <c r="O15" s="55"/>
    </row>
    <row r="16" spans="1:15" ht="24.95" customHeight="1" x14ac:dyDescent="0.25">
      <c r="A16" s="51">
        <v>15</v>
      </c>
      <c r="B16" s="52" t="s">
        <v>373</v>
      </c>
      <c r="C16" s="54" t="s">
        <v>374</v>
      </c>
      <c r="D16" s="54" t="s">
        <v>375</v>
      </c>
      <c r="E16" s="54" t="s">
        <v>376</v>
      </c>
      <c r="F16" s="55"/>
      <c r="G16" s="55"/>
      <c r="H16" s="55"/>
      <c r="I16" s="55"/>
      <c r="J16" s="55"/>
      <c r="K16" s="55"/>
      <c r="L16" s="55"/>
      <c r="M16" s="55"/>
      <c r="N16" s="55"/>
      <c r="O16" s="55"/>
    </row>
    <row r="17" spans="1:15" ht="24.95" customHeight="1" x14ac:dyDescent="0.25">
      <c r="A17" s="51">
        <v>16</v>
      </c>
      <c r="B17" s="52" t="s">
        <v>377</v>
      </c>
      <c r="C17" s="54" t="s">
        <v>329</v>
      </c>
      <c r="D17" s="54" t="s">
        <v>378</v>
      </c>
      <c r="E17" s="54" t="s">
        <v>379</v>
      </c>
      <c r="F17" s="55"/>
      <c r="G17" s="55"/>
      <c r="H17" s="55"/>
      <c r="I17" s="55"/>
      <c r="J17" s="55"/>
      <c r="K17" s="55"/>
      <c r="L17" s="55"/>
      <c r="M17" s="55"/>
      <c r="N17" s="55"/>
      <c r="O17" s="55"/>
    </row>
    <row r="18" spans="1:15" ht="24.95" customHeight="1" x14ac:dyDescent="0.25">
      <c r="A18" s="51">
        <v>17</v>
      </c>
      <c r="B18" s="52" t="s">
        <v>81</v>
      </c>
      <c r="C18" s="54" t="s">
        <v>82</v>
      </c>
      <c r="D18" s="54" t="s">
        <v>380</v>
      </c>
      <c r="E18" s="54" t="s">
        <v>381</v>
      </c>
      <c r="F18" s="55"/>
      <c r="G18" s="55"/>
      <c r="H18" s="55"/>
      <c r="I18" s="55"/>
      <c r="J18" s="55"/>
      <c r="K18" s="55"/>
      <c r="L18" s="55"/>
      <c r="M18" s="55"/>
      <c r="N18" s="55"/>
      <c r="O18" s="55"/>
    </row>
    <row r="19" spans="1:15" ht="24.95" customHeight="1" x14ac:dyDescent="0.25">
      <c r="A19" s="51">
        <v>18</v>
      </c>
      <c r="B19" s="52" t="s">
        <v>382</v>
      </c>
      <c r="C19" s="54" t="s">
        <v>383</v>
      </c>
      <c r="D19" s="54" t="s">
        <v>384</v>
      </c>
      <c r="E19" s="54" t="s">
        <v>385</v>
      </c>
      <c r="F19" s="55"/>
      <c r="G19" s="55"/>
      <c r="H19" s="55"/>
      <c r="I19" s="55"/>
      <c r="J19" s="55"/>
      <c r="K19" s="55"/>
      <c r="L19" s="55"/>
      <c r="M19" s="55"/>
      <c r="N19" s="55"/>
      <c r="O19" s="55"/>
    </row>
    <row r="20" spans="1:15" ht="24.95" customHeight="1" x14ac:dyDescent="0.25">
      <c r="A20" s="51">
        <v>19</v>
      </c>
      <c r="B20" s="52" t="s">
        <v>386</v>
      </c>
      <c r="C20" s="54" t="s">
        <v>73</v>
      </c>
      <c r="D20" s="54" t="s">
        <v>387</v>
      </c>
      <c r="E20" s="54" t="s">
        <v>388</v>
      </c>
      <c r="F20" s="55"/>
      <c r="G20" s="55"/>
      <c r="H20" s="55"/>
      <c r="I20" s="55"/>
      <c r="J20" s="55"/>
      <c r="K20" s="55"/>
      <c r="L20" s="55"/>
      <c r="M20" s="55"/>
      <c r="N20" s="55"/>
      <c r="O20" s="55"/>
    </row>
    <row r="21" spans="1:15" ht="24.95" customHeight="1" x14ac:dyDescent="0.25">
      <c r="A21" s="51">
        <v>20</v>
      </c>
      <c r="B21" s="52" t="s">
        <v>389</v>
      </c>
      <c r="C21" s="54" t="s">
        <v>390</v>
      </c>
      <c r="D21" s="54" t="s">
        <v>391</v>
      </c>
      <c r="E21" s="54" t="s">
        <v>72</v>
      </c>
      <c r="F21" s="55"/>
      <c r="G21" s="55"/>
      <c r="H21" s="55"/>
      <c r="I21" s="55"/>
      <c r="J21" s="55"/>
      <c r="K21" s="55"/>
      <c r="L21" s="55"/>
      <c r="M21" s="55"/>
      <c r="N21" s="55"/>
      <c r="O21" s="55"/>
    </row>
    <row r="22" spans="1:15" ht="24.95" customHeight="1" x14ac:dyDescent="0.25">
      <c r="A22" s="51">
        <v>21</v>
      </c>
      <c r="B22" s="52" t="s">
        <v>392</v>
      </c>
      <c r="C22" s="54" t="s">
        <v>72</v>
      </c>
      <c r="D22" s="54" t="s">
        <v>393</v>
      </c>
      <c r="E22" s="54" t="s">
        <v>394</v>
      </c>
      <c r="F22" s="55"/>
      <c r="G22" s="55"/>
      <c r="H22" s="55"/>
      <c r="I22" s="55"/>
      <c r="J22" s="55"/>
      <c r="K22" s="55"/>
      <c r="L22" s="55"/>
      <c r="M22" s="55"/>
      <c r="N22" s="55"/>
      <c r="O22" s="55"/>
    </row>
    <row r="23" spans="1:15" ht="24.95" customHeight="1" x14ac:dyDescent="0.25">
      <c r="A23" s="51">
        <v>22</v>
      </c>
      <c r="B23" s="52" t="s">
        <v>395</v>
      </c>
      <c r="C23" s="54" t="s">
        <v>72</v>
      </c>
      <c r="D23" s="54" t="s">
        <v>396</v>
      </c>
      <c r="E23" s="54" t="s">
        <v>72</v>
      </c>
      <c r="F23" s="55"/>
      <c r="G23" s="55"/>
      <c r="H23" s="55"/>
      <c r="I23" s="55"/>
      <c r="J23" s="55"/>
      <c r="K23" s="55"/>
      <c r="L23" s="55"/>
      <c r="M23" s="55"/>
      <c r="N23" s="55"/>
      <c r="O23" s="55"/>
    </row>
    <row r="24" spans="1:15" ht="24.95" customHeight="1" x14ac:dyDescent="0.25">
      <c r="A24" s="51">
        <v>23</v>
      </c>
      <c r="B24" s="52" t="s">
        <v>397</v>
      </c>
      <c r="C24" s="54"/>
      <c r="D24" s="54" t="s">
        <v>398</v>
      </c>
      <c r="E24" s="54" t="s">
        <v>399</v>
      </c>
      <c r="F24" s="55"/>
      <c r="G24" s="55"/>
      <c r="H24" s="55"/>
      <c r="I24" s="55"/>
      <c r="J24" s="55"/>
      <c r="K24" s="55"/>
      <c r="L24" s="55"/>
      <c r="M24" s="55"/>
      <c r="N24" s="55"/>
      <c r="O24" s="55"/>
    </row>
    <row r="25" spans="1:15" ht="24.95" customHeight="1" x14ac:dyDescent="0.25">
      <c r="A25" s="51">
        <v>24</v>
      </c>
      <c r="B25" s="52" t="s">
        <v>400</v>
      </c>
      <c r="C25" s="54"/>
      <c r="D25" s="54" t="s">
        <v>401</v>
      </c>
      <c r="E25" s="54" t="s">
        <v>402</v>
      </c>
      <c r="F25" s="55"/>
      <c r="G25" s="55"/>
      <c r="H25" s="55"/>
      <c r="I25" s="55"/>
      <c r="J25" s="55"/>
      <c r="K25" s="55"/>
      <c r="L25" s="55"/>
      <c r="M25" s="55"/>
      <c r="N25" s="55"/>
      <c r="O25" s="55"/>
    </row>
    <row r="26" spans="1:15" ht="24.95" customHeight="1" x14ac:dyDescent="0.25">
      <c r="A26" s="51">
        <v>25</v>
      </c>
      <c r="B26" s="52" t="s">
        <v>403</v>
      </c>
      <c r="C26" s="55" t="s">
        <v>404</v>
      </c>
      <c r="D26" s="54" t="s">
        <v>405</v>
      </c>
      <c r="E26" s="54" t="s">
        <v>406</v>
      </c>
      <c r="F26" s="55"/>
      <c r="G26" s="55"/>
      <c r="H26" s="55"/>
      <c r="I26" s="55"/>
      <c r="J26" s="55"/>
      <c r="K26" s="55"/>
      <c r="L26" s="55"/>
      <c r="M26" s="55"/>
      <c r="N26" s="55"/>
      <c r="O26" s="55"/>
    </row>
    <row r="27" spans="1:15" ht="24.95" customHeight="1" x14ac:dyDescent="0.25">
      <c r="A27" s="51">
        <v>26</v>
      </c>
      <c r="B27" s="52" t="s">
        <v>407</v>
      </c>
      <c r="C27" s="54" t="s">
        <v>74</v>
      </c>
      <c r="D27" s="54" t="s">
        <v>408</v>
      </c>
      <c r="E27" s="54" t="s">
        <v>76</v>
      </c>
      <c r="F27" s="55"/>
      <c r="G27" s="55"/>
      <c r="H27" s="55"/>
      <c r="I27" s="55"/>
      <c r="J27" s="55"/>
      <c r="K27" s="55"/>
      <c r="L27" s="55"/>
      <c r="M27" s="55"/>
      <c r="N27" s="55"/>
      <c r="O27" s="55"/>
    </row>
    <row r="28" spans="1:15" ht="24.95" customHeight="1" x14ac:dyDescent="0.25">
      <c r="A28" s="51">
        <v>27</v>
      </c>
      <c r="B28" s="52" t="s">
        <v>409</v>
      </c>
      <c r="C28" s="54" t="s">
        <v>410</v>
      </c>
      <c r="D28" s="54" t="s">
        <v>75</v>
      </c>
      <c r="E28" s="54" t="s">
        <v>76</v>
      </c>
      <c r="F28" s="55"/>
      <c r="G28" s="55"/>
      <c r="H28" s="55"/>
      <c r="I28" s="55"/>
      <c r="J28" s="55"/>
      <c r="K28" s="55"/>
      <c r="L28" s="55"/>
      <c r="M28" s="55"/>
      <c r="N28" s="55"/>
      <c r="O28" s="55"/>
    </row>
    <row r="29" spans="1:15" ht="24.95" customHeight="1" x14ac:dyDescent="0.25">
      <c r="A29" s="51">
        <v>28</v>
      </c>
      <c r="B29" s="52" t="s">
        <v>411</v>
      </c>
      <c r="C29" s="54" t="s">
        <v>412</v>
      </c>
      <c r="D29" s="54" t="s">
        <v>413</v>
      </c>
      <c r="E29" s="54" t="s">
        <v>414</v>
      </c>
      <c r="F29" s="55"/>
      <c r="G29" s="55"/>
      <c r="H29" s="55"/>
      <c r="I29" s="55"/>
      <c r="J29" s="55"/>
      <c r="K29" s="55"/>
      <c r="L29" s="55"/>
      <c r="M29" s="55"/>
      <c r="N29" s="55"/>
      <c r="O29" s="55"/>
    </row>
    <row r="30" spans="1:15" ht="24.95" customHeight="1" x14ac:dyDescent="0.25">
      <c r="A30" s="51">
        <v>29</v>
      </c>
      <c r="B30" s="52" t="s">
        <v>415</v>
      </c>
      <c r="C30" s="54" t="s">
        <v>412</v>
      </c>
      <c r="D30" s="54" t="s">
        <v>413</v>
      </c>
      <c r="E30" s="54" t="s">
        <v>414</v>
      </c>
      <c r="F30" s="55"/>
      <c r="G30" s="55"/>
      <c r="H30" s="55"/>
      <c r="I30" s="55"/>
      <c r="J30" s="55"/>
      <c r="K30" s="55"/>
      <c r="L30" s="55"/>
      <c r="M30" s="55"/>
      <c r="N30" s="55"/>
      <c r="O30" s="55"/>
    </row>
    <row r="31" spans="1:15" ht="24.95" customHeight="1" x14ac:dyDescent="0.25">
      <c r="A31" s="51">
        <v>30</v>
      </c>
      <c r="B31" s="52" t="s">
        <v>416</v>
      </c>
      <c r="C31" s="54" t="s">
        <v>417</v>
      </c>
      <c r="D31" s="54" t="s">
        <v>418</v>
      </c>
      <c r="E31" s="54" t="s">
        <v>419</v>
      </c>
      <c r="F31" s="55"/>
      <c r="G31" s="55"/>
      <c r="H31" s="55"/>
      <c r="I31" s="55"/>
      <c r="J31" s="55"/>
      <c r="K31" s="55"/>
      <c r="L31" s="55"/>
      <c r="M31" s="55"/>
      <c r="N31" s="55"/>
      <c r="O31" s="55"/>
    </row>
    <row r="32" spans="1:15" ht="24.95" customHeight="1" x14ac:dyDescent="0.25">
      <c r="A32" s="51">
        <v>31</v>
      </c>
      <c r="B32" s="52" t="s">
        <v>420</v>
      </c>
      <c r="C32" s="54" t="s">
        <v>421</v>
      </c>
      <c r="D32" s="54" t="s">
        <v>422</v>
      </c>
      <c r="E32" s="54" t="s">
        <v>419</v>
      </c>
      <c r="F32" s="55"/>
      <c r="G32" s="55"/>
      <c r="H32" s="55"/>
      <c r="I32" s="55"/>
      <c r="J32" s="55"/>
      <c r="K32" s="55"/>
      <c r="L32" s="55"/>
      <c r="M32" s="55"/>
      <c r="N32" s="55"/>
      <c r="O32" s="55"/>
    </row>
    <row r="33" spans="1:15" ht="24.95" customHeight="1" x14ac:dyDescent="0.25">
      <c r="A33" s="51">
        <v>32</v>
      </c>
      <c r="B33" s="52" t="s">
        <v>423</v>
      </c>
      <c r="C33" s="54" t="s">
        <v>424</v>
      </c>
      <c r="D33" s="54" t="s">
        <v>425</v>
      </c>
      <c r="E33" s="54" t="s">
        <v>426</v>
      </c>
      <c r="F33" s="55"/>
      <c r="G33" s="55"/>
      <c r="H33" s="55"/>
      <c r="I33" s="55"/>
      <c r="J33" s="55"/>
      <c r="K33" s="55"/>
      <c r="L33" s="55"/>
      <c r="M33" s="55"/>
      <c r="N33" s="55"/>
      <c r="O33" s="55"/>
    </row>
    <row r="34" spans="1:15" ht="24.95" customHeight="1" x14ac:dyDescent="0.25">
      <c r="A34" s="51">
        <v>33</v>
      </c>
      <c r="B34" s="52" t="s">
        <v>427</v>
      </c>
      <c r="C34" s="54" t="s">
        <v>428</v>
      </c>
      <c r="D34" s="54" t="s">
        <v>429</v>
      </c>
      <c r="E34" s="54" t="s">
        <v>430</v>
      </c>
      <c r="F34" s="55"/>
      <c r="G34" s="55"/>
      <c r="H34" s="55"/>
      <c r="I34" s="55"/>
      <c r="J34" s="55"/>
      <c r="K34" s="55"/>
      <c r="L34" s="55"/>
      <c r="M34" s="55"/>
      <c r="N34" s="55"/>
      <c r="O34" s="55"/>
    </row>
    <row r="35" spans="1:15" ht="24.95" customHeight="1" x14ac:dyDescent="0.25">
      <c r="A35" s="51">
        <v>34</v>
      </c>
      <c r="B35" s="52" t="s">
        <v>431</v>
      </c>
      <c r="C35" s="54" t="s">
        <v>432</v>
      </c>
      <c r="D35" s="54" t="s">
        <v>433</v>
      </c>
      <c r="E35" s="54" t="s">
        <v>434</v>
      </c>
      <c r="F35" s="55"/>
      <c r="G35" s="55"/>
      <c r="H35" s="55"/>
      <c r="I35" s="55"/>
      <c r="J35" s="55"/>
      <c r="K35" s="55"/>
      <c r="L35" s="55"/>
      <c r="M35" s="55"/>
      <c r="N35" s="55"/>
      <c r="O35" s="55"/>
    </row>
    <row r="36" spans="1:15" ht="24.95" customHeight="1" x14ac:dyDescent="0.25">
      <c r="A36" s="51">
        <v>35</v>
      </c>
      <c r="B36" s="52" t="s">
        <v>77</v>
      </c>
      <c r="C36" s="54" t="s">
        <v>78</v>
      </c>
      <c r="D36" s="54" t="s">
        <v>435</v>
      </c>
      <c r="E36" s="54" t="s">
        <v>436</v>
      </c>
      <c r="F36" s="55"/>
      <c r="G36" s="55"/>
      <c r="H36" s="55"/>
      <c r="I36" s="55"/>
      <c r="J36" s="55"/>
      <c r="K36" s="55"/>
      <c r="L36" s="55"/>
      <c r="M36" s="55"/>
      <c r="N36" s="55"/>
      <c r="O36" s="55"/>
    </row>
    <row r="37" spans="1:15" ht="24.95" customHeight="1" x14ac:dyDescent="0.25">
      <c r="A37" s="51">
        <v>36</v>
      </c>
      <c r="B37" s="52" t="s">
        <v>79</v>
      </c>
      <c r="C37" s="54" t="s">
        <v>80</v>
      </c>
      <c r="D37" s="54" t="s">
        <v>437</v>
      </c>
      <c r="E37" s="54" t="s">
        <v>438</v>
      </c>
      <c r="F37" s="55"/>
      <c r="G37" s="55"/>
      <c r="H37" s="55"/>
      <c r="I37" s="55"/>
      <c r="J37" s="55"/>
      <c r="K37" s="55"/>
      <c r="L37" s="55"/>
      <c r="M37" s="55"/>
      <c r="N37" s="55"/>
      <c r="O37" s="55"/>
    </row>
    <row r="38" spans="1:15" ht="24.95" customHeight="1" x14ac:dyDescent="0.25">
      <c r="A38" s="51">
        <v>37</v>
      </c>
      <c r="B38" s="52" t="s">
        <v>439</v>
      </c>
      <c r="C38" s="54" t="s">
        <v>440</v>
      </c>
      <c r="D38" s="54" t="s">
        <v>441</v>
      </c>
      <c r="E38" s="54" t="s">
        <v>442</v>
      </c>
      <c r="F38" s="55"/>
      <c r="G38" s="55"/>
      <c r="H38" s="55"/>
      <c r="I38" s="55"/>
      <c r="J38" s="55"/>
      <c r="K38" s="55"/>
      <c r="L38" s="55"/>
      <c r="M38" s="55"/>
      <c r="N38" s="55"/>
      <c r="O38" s="55"/>
    </row>
    <row r="39" spans="1:15" ht="24.95" customHeight="1" x14ac:dyDescent="0.25">
      <c r="A39" s="51">
        <v>38</v>
      </c>
      <c r="B39" s="52" t="s">
        <v>443</v>
      </c>
      <c r="C39" s="54" t="s">
        <v>444</v>
      </c>
      <c r="D39" s="54" t="s">
        <v>445</v>
      </c>
      <c r="E39" s="54" t="s">
        <v>446</v>
      </c>
      <c r="F39" s="55"/>
      <c r="G39" s="55"/>
      <c r="H39" s="55"/>
      <c r="I39" s="55"/>
      <c r="J39" s="55"/>
      <c r="K39" s="55"/>
      <c r="L39" s="55"/>
      <c r="M39" s="55"/>
      <c r="N39" s="55"/>
      <c r="O39" s="55"/>
    </row>
    <row r="40" spans="1:15" ht="24.95" customHeight="1" x14ac:dyDescent="0.25">
      <c r="A40" s="51">
        <v>39</v>
      </c>
      <c r="B40" s="52" t="s">
        <v>447</v>
      </c>
      <c r="C40" s="54" t="s">
        <v>448</v>
      </c>
      <c r="D40" s="54" t="s">
        <v>449</v>
      </c>
      <c r="E40" s="54" t="s">
        <v>450</v>
      </c>
      <c r="F40" s="55"/>
      <c r="G40" s="55"/>
      <c r="H40" s="55"/>
      <c r="I40" s="55"/>
      <c r="J40" s="55"/>
      <c r="K40" s="55"/>
      <c r="L40" s="55"/>
      <c r="M40" s="55"/>
      <c r="N40" s="55"/>
      <c r="O40" s="55"/>
    </row>
    <row r="41" spans="1:15" ht="24.95" customHeight="1" x14ac:dyDescent="0.25">
      <c r="A41" s="51">
        <v>40</v>
      </c>
      <c r="B41" s="52" t="s">
        <v>451</v>
      </c>
      <c r="C41" s="54" t="s">
        <v>452</v>
      </c>
      <c r="D41" s="54" t="s">
        <v>453</v>
      </c>
      <c r="E41" s="54" t="s">
        <v>454</v>
      </c>
      <c r="F41" s="55"/>
      <c r="G41" s="55"/>
      <c r="H41" s="55"/>
      <c r="I41" s="55"/>
      <c r="J41" s="55"/>
      <c r="K41" s="55"/>
      <c r="L41" s="55"/>
      <c r="M41" s="55"/>
      <c r="N41" s="55"/>
      <c r="O41" s="55"/>
    </row>
    <row r="42" spans="1:15" x14ac:dyDescent="0.25"/>
  </sheetData>
  <autoFilter ref="A1:E41" xr:uid="{00000000-0009-0000-0000-000007000000}"/>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5</vt:i4>
      </vt:variant>
    </vt:vector>
  </HeadingPairs>
  <TitlesOfParts>
    <vt:vector size="5" baseType="lpstr">
      <vt:lpstr>BD_Traductor</vt:lpstr>
      <vt:lpstr>Indicadores</vt:lpstr>
      <vt:lpstr>BD_Indicadores</vt:lpstr>
      <vt:lpstr>BD_Reporte_Ind</vt:lpstr>
      <vt:lpstr>BD_Reporte_Cualitativo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2022-12-01T20:53:17Z</dcterms:modified>
</cp:coreProperties>
</file>