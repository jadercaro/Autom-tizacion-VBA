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filterPrivacy="1" codeName="ThisWorkbook"/>
  <xr:revisionPtr revIDLastSave="0" documentId="13_ncr:1_{D2723F1C-FCA9-4C1C-9DC1-686C0735FC32}" xr6:coauthVersionLast="47" xr6:coauthVersionMax="47" xr10:uidLastSave="{00000000-0000-0000-0000-000000000000}"/>
  <bookViews>
    <workbookView xWindow="-120" yWindow="-120" windowWidth="20730" windowHeight="11160" activeTab="2" xr2:uid="{00000000-000D-0000-FFFF-FFFF00000000}"/>
  </bookViews>
  <sheets>
    <sheet name="BD_Traductor" sheetId="7" r:id="rId1"/>
    <sheet name="BD_Calendario" sheetId="12" r:id="rId2"/>
    <sheet name="Indicadores" sheetId="2" r:id="rId3"/>
    <sheet name="BD_Proyectos" sheetId="4" r:id="rId4"/>
    <sheet name="BD_Indicadores" sheetId="6" r:id="rId5"/>
    <sheet name="BD_Reporte_Ind" sheetId="3" r:id="rId6"/>
    <sheet name="BD_Entregables" sheetId="13" r:id="rId7"/>
    <sheet name="BD_Reporte_Entregables" sheetId="9" r:id="rId8"/>
    <sheet name="BD_Reporte_Cualitativo" sheetId="10" r:id="rId9"/>
    <sheet name="Reporte_Presupuesto" sheetId="11" r:id="rId10"/>
  </sheets>
  <externalReferences>
    <externalReference r:id="rId11"/>
  </externalReferences>
  <definedNames>
    <definedName name="_xlnm._FilterDatabase" localSheetId="1" hidden="1">BD_Calendario!$A$1:$E$524</definedName>
    <definedName name="_xlnm._FilterDatabase" localSheetId="6" hidden="1">BD_Entregables!$A$1:$N$466</definedName>
    <definedName name="_xlnm._FilterDatabase" localSheetId="4" hidden="1">BD_Indicadores!$A$1:$N$170</definedName>
    <definedName name="_xlnm._FilterDatabase" localSheetId="3" hidden="1">BD_Proyectos!$A$1:$R$66</definedName>
    <definedName name="_xlnm._FilterDatabase" localSheetId="8" hidden="1">BD_Reporte_Cualitativo!$A$1:$Z$70</definedName>
    <definedName name="_xlnm._FilterDatabase" localSheetId="7" hidden="1">BD_Reporte_Entregables!$A$1:$O$480</definedName>
    <definedName name="_xlnm._FilterDatabase" localSheetId="5" hidden="1">BD_Reporte_Ind!$A$1:$AL$180</definedName>
    <definedName name="_xlnm._FilterDatabase" localSheetId="2" hidden="1">Indicadores!$A$3:$AW$172</definedName>
    <definedName name="_xlnm._FilterDatabase" localSheetId="9" hidden="1">Reporte_Presupuesto!$A$1:$AL$70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74" i="2" l="1"/>
  <c r="O174" i="2"/>
  <c r="Q174" i="2"/>
  <c r="R174" i="2"/>
  <c r="S174" i="2"/>
  <c r="T174" i="2"/>
  <c r="U174" i="2"/>
  <c r="V174" i="2"/>
  <c r="W174" i="2"/>
  <c r="P174" i="2"/>
  <c r="A431" i="12" l="1"/>
  <c r="A430" i="12"/>
  <c r="A404" i="12"/>
  <c r="A403" i="12"/>
  <c r="A406" i="12" l="1"/>
  <c r="A433" i="12"/>
  <c r="A405" i="12"/>
  <c r="A432" i="12"/>
  <c r="A253" i="12"/>
  <c r="A254" i="12"/>
  <c r="A255" i="12"/>
  <c r="A256" i="12"/>
  <c r="A257" i="12"/>
  <c r="A434" i="12" l="1"/>
  <c r="A263" i="12"/>
  <c r="A262" i="12"/>
  <c r="A261" i="12"/>
  <c r="A435" i="12"/>
  <c r="A407" i="12"/>
  <c r="A260" i="12"/>
  <c r="A264" i="12"/>
  <c r="A408" i="12"/>
  <c r="A164" i="12"/>
  <c r="A163" i="12"/>
  <c r="A6" i="12"/>
  <c r="A5" i="12"/>
  <c r="A8" i="12" s="1"/>
  <c r="A437" i="12" l="1"/>
  <c r="A10" i="12"/>
  <c r="A410" i="12"/>
  <c r="A9" i="12"/>
  <c r="A436" i="12"/>
  <c r="A165" i="12"/>
  <c r="A409" i="12"/>
  <c r="A166" i="12"/>
  <c r="C2" i="7"/>
  <c r="A440" i="12" l="1"/>
  <c r="A411" i="12"/>
  <c r="A11" i="12"/>
  <c r="A167" i="12"/>
  <c r="A412" i="12"/>
  <c r="A168" i="12"/>
  <c r="A439" i="12"/>
  <c r="A12" i="12"/>
  <c r="C1" i="7"/>
  <c r="A170" i="12" l="1"/>
  <c r="A441" i="12"/>
  <c r="A13" i="12"/>
  <c r="A414" i="12"/>
  <c r="A413" i="12"/>
  <c r="A169" i="12"/>
  <c r="A14" i="12"/>
  <c r="A442" i="12"/>
  <c r="Q181" i="6"/>
  <c r="A171" i="12" l="1"/>
  <c r="A416" i="12"/>
  <c r="A444" i="12"/>
  <c r="A16" i="12"/>
  <c r="A15" i="12"/>
  <c r="A415" i="12"/>
  <c r="A445" i="12"/>
  <c r="A172" i="12"/>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3" i="10"/>
  <c r="A2" i="10"/>
  <c r="B480" i="9"/>
  <c r="A480" i="9"/>
  <c r="B479" i="9"/>
  <c r="A479" i="9"/>
  <c r="B478" i="9"/>
  <c r="A478" i="9"/>
  <c r="B477" i="9"/>
  <c r="A477" i="9"/>
  <c r="B476" i="9"/>
  <c r="A476" i="9"/>
  <c r="B475" i="9"/>
  <c r="A475" i="9"/>
  <c r="B474" i="9"/>
  <c r="A474" i="9"/>
  <c r="B473" i="9"/>
  <c r="A473" i="9"/>
  <c r="B472" i="9"/>
  <c r="A472" i="9"/>
  <c r="B471" i="9"/>
  <c r="A471" i="9"/>
  <c r="B470" i="9"/>
  <c r="A470" i="9"/>
  <c r="B469" i="9"/>
  <c r="A469" i="9"/>
  <c r="B468" i="9"/>
  <c r="A468" i="9"/>
  <c r="B467" i="9"/>
  <c r="A467" i="9"/>
  <c r="B466" i="9"/>
  <c r="A466" i="9"/>
  <c r="B465" i="9"/>
  <c r="A465" i="9"/>
  <c r="B464" i="9"/>
  <c r="A464" i="9"/>
  <c r="B463" i="9"/>
  <c r="A463" i="9"/>
  <c r="B462" i="9"/>
  <c r="A462" i="9"/>
  <c r="B461" i="9"/>
  <c r="A461" i="9"/>
  <c r="B460" i="9"/>
  <c r="A460" i="9"/>
  <c r="B459" i="9"/>
  <c r="A459" i="9"/>
  <c r="B458" i="9"/>
  <c r="A458" i="9"/>
  <c r="B457" i="9"/>
  <c r="A457" i="9"/>
  <c r="B456" i="9"/>
  <c r="A456" i="9"/>
  <c r="B455" i="9"/>
  <c r="A455" i="9"/>
  <c r="B454" i="9"/>
  <c r="A454" i="9"/>
  <c r="B453" i="9"/>
  <c r="A453" i="9"/>
  <c r="B452" i="9"/>
  <c r="A452" i="9"/>
  <c r="B451" i="9"/>
  <c r="A451" i="9"/>
  <c r="B450" i="9"/>
  <c r="A450" i="9"/>
  <c r="B449" i="9"/>
  <c r="A449" i="9"/>
  <c r="B448" i="9"/>
  <c r="A448" i="9"/>
  <c r="B447" i="9"/>
  <c r="A447" i="9"/>
  <c r="B446" i="9"/>
  <c r="A446" i="9"/>
  <c r="B445" i="9"/>
  <c r="A445" i="9"/>
  <c r="B444" i="9"/>
  <c r="A444" i="9"/>
  <c r="B443" i="9"/>
  <c r="A443" i="9"/>
  <c r="B442" i="9"/>
  <c r="A442" i="9"/>
  <c r="B441" i="9"/>
  <c r="A441" i="9"/>
  <c r="B440" i="9"/>
  <c r="A440" i="9"/>
  <c r="B439" i="9"/>
  <c r="A439" i="9"/>
  <c r="B438" i="9"/>
  <c r="A438" i="9"/>
  <c r="B437" i="9"/>
  <c r="A437" i="9"/>
  <c r="B436" i="9"/>
  <c r="A436" i="9"/>
  <c r="B435" i="9"/>
  <c r="A435" i="9"/>
  <c r="B434" i="9"/>
  <c r="A434" i="9"/>
  <c r="B433" i="9"/>
  <c r="A433" i="9"/>
  <c r="B432" i="9"/>
  <c r="A432" i="9"/>
  <c r="B431" i="9"/>
  <c r="A431" i="9"/>
  <c r="B430" i="9"/>
  <c r="A430" i="9"/>
  <c r="B429" i="9"/>
  <c r="A429" i="9"/>
  <c r="B428" i="9"/>
  <c r="A428" i="9"/>
  <c r="B427" i="9"/>
  <c r="A427" i="9"/>
  <c r="B426" i="9"/>
  <c r="A426" i="9"/>
  <c r="B425" i="9"/>
  <c r="A425" i="9"/>
  <c r="B424" i="9"/>
  <c r="A424" i="9"/>
  <c r="B423" i="9"/>
  <c r="A423" i="9"/>
  <c r="B422" i="9"/>
  <c r="A422" i="9"/>
  <c r="B421" i="9"/>
  <c r="A421" i="9"/>
  <c r="B420" i="9"/>
  <c r="A420" i="9"/>
  <c r="B419" i="9"/>
  <c r="A419" i="9"/>
  <c r="B418" i="9"/>
  <c r="A418" i="9"/>
  <c r="B417" i="9"/>
  <c r="A417" i="9"/>
  <c r="B416" i="9"/>
  <c r="A416" i="9"/>
  <c r="B415" i="9"/>
  <c r="A415" i="9"/>
  <c r="B414" i="9"/>
  <c r="A414" i="9"/>
  <c r="B413" i="9"/>
  <c r="A413" i="9"/>
  <c r="B412" i="9"/>
  <c r="A412" i="9"/>
  <c r="B411" i="9"/>
  <c r="A411" i="9"/>
  <c r="B410" i="9"/>
  <c r="A410" i="9"/>
  <c r="B409" i="9"/>
  <c r="A409" i="9"/>
  <c r="B408" i="9"/>
  <c r="A408" i="9"/>
  <c r="B407" i="9"/>
  <c r="A407" i="9"/>
  <c r="B406" i="9"/>
  <c r="A406" i="9"/>
  <c r="B405" i="9"/>
  <c r="A405" i="9"/>
  <c r="B404" i="9"/>
  <c r="A404" i="9"/>
  <c r="B403" i="9"/>
  <c r="A403" i="9"/>
  <c r="B402" i="9"/>
  <c r="A402" i="9"/>
  <c r="B401" i="9"/>
  <c r="A401" i="9"/>
  <c r="B400" i="9"/>
  <c r="A400" i="9"/>
  <c r="B399" i="9"/>
  <c r="A399" i="9"/>
  <c r="B398" i="9"/>
  <c r="A398" i="9"/>
  <c r="B397" i="9"/>
  <c r="A397" i="9"/>
  <c r="B396" i="9"/>
  <c r="A396" i="9"/>
  <c r="B395" i="9"/>
  <c r="A395" i="9"/>
  <c r="B394" i="9"/>
  <c r="A394" i="9"/>
  <c r="B393" i="9"/>
  <c r="A393" i="9"/>
  <c r="B392" i="9"/>
  <c r="A392" i="9"/>
  <c r="B391" i="9"/>
  <c r="A391" i="9"/>
  <c r="B390" i="9"/>
  <c r="A390" i="9"/>
  <c r="B389" i="9"/>
  <c r="A389" i="9"/>
  <c r="B388" i="9"/>
  <c r="A388" i="9"/>
  <c r="B387" i="9"/>
  <c r="A387" i="9"/>
  <c r="B386" i="9"/>
  <c r="A386" i="9"/>
  <c r="B385" i="9"/>
  <c r="A385" i="9"/>
  <c r="B384" i="9"/>
  <c r="A384" i="9"/>
  <c r="B383" i="9"/>
  <c r="A383" i="9"/>
  <c r="B382" i="9"/>
  <c r="A382" i="9"/>
  <c r="B381" i="9"/>
  <c r="A381" i="9"/>
  <c r="B380" i="9"/>
  <c r="A380" i="9"/>
  <c r="B379" i="9"/>
  <c r="A379" i="9"/>
  <c r="B378" i="9"/>
  <c r="A378" i="9"/>
  <c r="B377" i="9"/>
  <c r="A377" i="9"/>
  <c r="B376" i="9"/>
  <c r="A376" i="9"/>
  <c r="B375" i="9"/>
  <c r="A375" i="9"/>
  <c r="B374" i="9"/>
  <c r="A374" i="9"/>
  <c r="B373" i="9"/>
  <c r="A373" i="9"/>
  <c r="B372" i="9"/>
  <c r="A372" i="9"/>
  <c r="B371" i="9"/>
  <c r="A371" i="9"/>
  <c r="B370" i="9"/>
  <c r="A370" i="9"/>
  <c r="B369" i="9"/>
  <c r="A369" i="9"/>
  <c r="B368" i="9"/>
  <c r="A368" i="9"/>
  <c r="B367" i="9"/>
  <c r="A367" i="9"/>
  <c r="B366" i="9"/>
  <c r="A366" i="9"/>
  <c r="B365" i="9"/>
  <c r="A365" i="9"/>
  <c r="B364" i="9"/>
  <c r="A364" i="9"/>
  <c r="B363" i="9"/>
  <c r="A363" i="9"/>
  <c r="B362" i="9"/>
  <c r="A362" i="9"/>
  <c r="B361" i="9"/>
  <c r="A361" i="9"/>
  <c r="B360" i="9"/>
  <c r="A360" i="9"/>
  <c r="B359" i="9"/>
  <c r="A359" i="9"/>
  <c r="B358" i="9"/>
  <c r="A358" i="9"/>
  <c r="B357" i="9"/>
  <c r="A357" i="9"/>
  <c r="B356" i="9"/>
  <c r="A356" i="9"/>
  <c r="B355" i="9"/>
  <c r="A355" i="9"/>
  <c r="B354" i="9"/>
  <c r="A354" i="9"/>
  <c r="B353" i="9"/>
  <c r="A353" i="9"/>
  <c r="B352" i="9"/>
  <c r="A352" i="9"/>
  <c r="B351" i="9"/>
  <c r="A351" i="9"/>
  <c r="B350" i="9"/>
  <c r="A350" i="9"/>
  <c r="B349" i="9"/>
  <c r="A349" i="9"/>
  <c r="B348" i="9"/>
  <c r="A348" i="9"/>
  <c r="B347" i="9"/>
  <c r="A347" i="9"/>
  <c r="B346" i="9"/>
  <c r="A346" i="9"/>
  <c r="B345" i="9"/>
  <c r="A345" i="9"/>
  <c r="B344" i="9"/>
  <c r="A344" i="9"/>
  <c r="B343" i="9"/>
  <c r="A343" i="9"/>
  <c r="B342" i="9"/>
  <c r="A342" i="9"/>
  <c r="B341" i="9"/>
  <c r="A341" i="9"/>
  <c r="B340" i="9"/>
  <c r="A340" i="9"/>
  <c r="B339" i="9"/>
  <c r="A339" i="9"/>
  <c r="B338" i="9"/>
  <c r="A338" i="9"/>
  <c r="B337" i="9"/>
  <c r="A337" i="9"/>
  <c r="B336" i="9"/>
  <c r="A336" i="9"/>
  <c r="B335" i="9"/>
  <c r="A335" i="9"/>
  <c r="B334" i="9"/>
  <c r="A334" i="9"/>
  <c r="B333" i="9"/>
  <c r="A333" i="9"/>
  <c r="B332" i="9"/>
  <c r="A332" i="9"/>
  <c r="B331" i="9"/>
  <c r="A331" i="9"/>
  <c r="B330" i="9"/>
  <c r="A330" i="9"/>
  <c r="B329" i="9"/>
  <c r="A329" i="9"/>
  <c r="B328" i="9"/>
  <c r="A328" i="9"/>
  <c r="B327" i="9"/>
  <c r="A327" i="9"/>
  <c r="B326" i="9"/>
  <c r="A326" i="9"/>
  <c r="B325" i="9"/>
  <c r="A325" i="9"/>
  <c r="B324" i="9"/>
  <c r="A324" i="9"/>
  <c r="B323" i="9"/>
  <c r="A323" i="9"/>
  <c r="B322" i="9"/>
  <c r="A322" i="9"/>
  <c r="B321" i="9"/>
  <c r="A321" i="9"/>
  <c r="B320" i="9"/>
  <c r="A320" i="9"/>
  <c r="B319" i="9"/>
  <c r="A319" i="9"/>
  <c r="B318" i="9"/>
  <c r="A318" i="9"/>
  <c r="B317" i="9"/>
  <c r="A317" i="9"/>
  <c r="B316" i="9"/>
  <c r="A316" i="9"/>
  <c r="B315" i="9"/>
  <c r="A315" i="9"/>
  <c r="B314" i="9"/>
  <c r="A314" i="9"/>
  <c r="B313" i="9"/>
  <c r="A313" i="9"/>
  <c r="B312" i="9"/>
  <c r="A312" i="9"/>
  <c r="B311" i="9"/>
  <c r="A311" i="9"/>
  <c r="B310" i="9"/>
  <c r="A310" i="9"/>
  <c r="B309" i="9"/>
  <c r="A309" i="9"/>
  <c r="B308" i="9"/>
  <c r="A308" i="9"/>
  <c r="B307" i="9"/>
  <c r="A307" i="9"/>
  <c r="B306" i="9"/>
  <c r="A306" i="9"/>
  <c r="B305" i="9"/>
  <c r="A305" i="9"/>
  <c r="B304" i="9"/>
  <c r="A304" i="9"/>
  <c r="B303" i="9"/>
  <c r="A303" i="9"/>
  <c r="B302" i="9"/>
  <c r="A302" i="9"/>
  <c r="B301" i="9"/>
  <c r="A301" i="9"/>
  <c r="B300" i="9"/>
  <c r="A300" i="9"/>
  <c r="B299" i="9"/>
  <c r="A299" i="9"/>
  <c r="B298" i="9"/>
  <c r="A298" i="9"/>
  <c r="B297" i="9"/>
  <c r="A297" i="9"/>
  <c r="B296" i="9"/>
  <c r="A296" i="9"/>
  <c r="B295" i="9"/>
  <c r="A295" i="9"/>
  <c r="B294" i="9"/>
  <c r="A294" i="9"/>
  <c r="B293" i="9"/>
  <c r="A293" i="9"/>
  <c r="B292" i="9"/>
  <c r="A292" i="9"/>
  <c r="B291" i="9"/>
  <c r="A291" i="9"/>
  <c r="B290" i="9"/>
  <c r="A290" i="9"/>
  <c r="B289" i="9"/>
  <c r="A289" i="9"/>
  <c r="B288" i="9"/>
  <c r="A288" i="9"/>
  <c r="B287" i="9"/>
  <c r="A287" i="9"/>
  <c r="B286" i="9"/>
  <c r="A286" i="9"/>
  <c r="B285" i="9"/>
  <c r="A285" i="9"/>
  <c r="B284" i="9"/>
  <c r="A284" i="9"/>
  <c r="B283" i="9"/>
  <c r="A283" i="9"/>
  <c r="B282" i="9"/>
  <c r="A282" i="9"/>
  <c r="B281" i="9"/>
  <c r="A281" i="9"/>
  <c r="B280" i="9"/>
  <c r="A280" i="9"/>
  <c r="B279" i="9"/>
  <c r="A279" i="9"/>
  <c r="B278" i="9"/>
  <c r="A278" i="9"/>
  <c r="B277" i="9"/>
  <c r="A277" i="9"/>
  <c r="B276" i="9"/>
  <c r="A276" i="9"/>
  <c r="B275" i="9"/>
  <c r="A275" i="9"/>
  <c r="B274" i="9"/>
  <c r="A274" i="9"/>
  <c r="B273" i="9"/>
  <c r="A273" i="9"/>
  <c r="B272" i="9"/>
  <c r="A272" i="9"/>
  <c r="B271" i="9"/>
  <c r="A271" i="9"/>
  <c r="B270" i="9"/>
  <c r="A270" i="9"/>
  <c r="B269" i="9"/>
  <c r="A269" i="9"/>
  <c r="B268" i="9"/>
  <c r="A268" i="9"/>
  <c r="B267" i="9"/>
  <c r="A267" i="9"/>
  <c r="B266" i="9"/>
  <c r="A266" i="9"/>
  <c r="B265" i="9"/>
  <c r="A265" i="9"/>
  <c r="B264" i="9"/>
  <c r="A264" i="9"/>
  <c r="B263" i="9"/>
  <c r="A263" i="9"/>
  <c r="B262" i="9"/>
  <c r="A262" i="9"/>
  <c r="B261" i="9"/>
  <c r="A261" i="9"/>
  <c r="B260" i="9"/>
  <c r="A260" i="9"/>
  <c r="B259" i="9"/>
  <c r="A259" i="9"/>
  <c r="B258" i="9"/>
  <c r="A258" i="9"/>
  <c r="B257" i="9"/>
  <c r="A257" i="9"/>
  <c r="B256" i="9"/>
  <c r="A256" i="9"/>
  <c r="B255" i="9"/>
  <c r="A255" i="9"/>
  <c r="B254" i="9"/>
  <c r="A254" i="9"/>
  <c r="B253" i="9"/>
  <c r="A253" i="9"/>
  <c r="B252" i="9"/>
  <c r="A252" i="9"/>
  <c r="B251" i="9"/>
  <c r="A251" i="9"/>
  <c r="B250" i="9"/>
  <c r="A250" i="9"/>
  <c r="B249" i="9"/>
  <c r="A249" i="9"/>
  <c r="B248" i="9"/>
  <c r="A248" i="9"/>
  <c r="B247" i="9"/>
  <c r="A247" i="9"/>
  <c r="B246" i="9"/>
  <c r="A246" i="9"/>
  <c r="B245" i="9"/>
  <c r="A245" i="9"/>
  <c r="B244" i="9"/>
  <c r="A244" i="9"/>
  <c r="B243" i="9"/>
  <c r="A243" i="9"/>
  <c r="B242" i="9"/>
  <c r="A242" i="9"/>
  <c r="B241" i="9"/>
  <c r="A241" i="9"/>
  <c r="B240" i="9"/>
  <c r="A240" i="9"/>
  <c r="B239" i="9"/>
  <c r="A239" i="9"/>
  <c r="B238" i="9"/>
  <c r="A238" i="9"/>
  <c r="B237" i="9"/>
  <c r="A237" i="9"/>
  <c r="B236" i="9"/>
  <c r="A236" i="9"/>
  <c r="B235" i="9"/>
  <c r="A235" i="9"/>
  <c r="B234" i="9"/>
  <c r="A234" i="9"/>
  <c r="B233" i="9"/>
  <c r="A233" i="9"/>
  <c r="B232" i="9"/>
  <c r="A232" i="9"/>
  <c r="B231" i="9"/>
  <c r="A231" i="9"/>
  <c r="B230" i="9"/>
  <c r="A230" i="9"/>
  <c r="B229" i="9"/>
  <c r="A229" i="9"/>
  <c r="B228" i="9"/>
  <c r="A228" i="9"/>
  <c r="B227" i="9"/>
  <c r="A227" i="9"/>
  <c r="B226" i="9"/>
  <c r="A226" i="9"/>
  <c r="B225" i="9"/>
  <c r="A225" i="9"/>
  <c r="B224" i="9"/>
  <c r="A224" i="9"/>
  <c r="B223" i="9"/>
  <c r="A223" i="9"/>
  <c r="B222" i="9"/>
  <c r="A222" i="9"/>
  <c r="B221" i="9"/>
  <c r="A221" i="9"/>
  <c r="B220" i="9"/>
  <c r="A220" i="9"/>
  <c r="B219" i="9"/>
  <c r="A219" i="9"/>
  <c r="B218" i="9"/>
  <c r="A218" i="9"/>
  <c r="B217" i="9"/>
  <c r="A217" i="9"/>
  <c r="B216" i="9"/>
  <c r="A216" i="9"/>
  <c r="B215" i="9"/>
  <c r="A215" i="9"/>
  <c r="B214" i="9"/>
  <c r="A214" i="9"/>
  <c r="B213" i="9"/>
  <c r="A213" i="9"/>
  <c r="B212" i="9"/>
  <c r="A212" i="9"/>
  <c r="B211" i="9"/>
  <c r="A211" i="9"/>
  <c r="B210" i="9"/>
  <c r="A210" i="9"/>
  <c r="B209" i="9"/>
  <c r="A209" i="9"/>
  <c r="B208" i="9"/>
  <c r="A208" i="9"/>
  <c r="B207" i="9"/>
  <c r="A207" i="9"/>
  <c r="B206" i="9"/>
  <c r="A206" i="9"/>
  <c r="B205" i="9"/>
  <c r="A205" i="9"/>
  <c r="B204" i="9"/>
  <c r="A204" i="9"/>
  <c r="B203" i="9"/>
  <c r="A203" i="9"/>
  <c r="B202" i="9"/>
  <c r="A202" i="9"/>
  <c r="B201" i="9"/>
  <c r="A201" i="9"/>
  <c r="B200" i="9"/>
  <c r="A200" i="9"/>
  <c r="B199" i="9"/>
  <c r="A199" i="9"/>
  <c r="B198" i="9"/>
  <c r="A198" i="9"/>
  <c r="B197" i="9"/>
  <c r="A197" i="9"/>
  <c r="B196" i="9"/>
  <c r="A196" i="9"/>
  <c r="B195" i="9"/>
  <c r="A195" i="9"/>
  <c r="B194" i="9"/>
  <c r="A194" i="9"/>
  <c r="B193" i="9"/>
  <c r="A193" i="9"/>
  <c r="B192" i="9"/>
  <c r="A192" i="9"/>
  <c r="B191" i="9"/>
  <c r="A191" i="9"/>
  <c r="B190" i="9"/>
  <c r="A190" i="9"/>
  <c r="B189" i="9"/>
  <c r="A189" i="9"/>
  <c r="B188" i="9"/>
  <c r="A188" i="9"/>
  <c r="B187" i="9"/>
  <c r="A187" i="9"/>
  <c r="B186" i="9"/>
  <c r="A186" i="9"/>
  <c r="B185" i="9"/>
  <c r="A185" i="9"/>
  <c r="B184" i="9"/>
  <c r="A184" i="9"/>
  <c r="B183" i="9"/>
  <c r="A183" i="9"/>
  <c r="B182" i="9"/>
  <c r="A182" i="9"/>
  <c r="B181" i="9"/>
  <c r="A181" i="9"/>
  <c r="B180" i="9"/>
  <c r="A180" i="9"/>
  <c r="B179" i="9"/>
  <c r="A179" i="9"/>
  <c r="B178" i="9"/>
  <c r="A178" i="9"/>
  <c r="B177" i="9"/>
  <c r="A177" i="9"/>
  <c r="B176" i="9"/>
  <c r="A176" i="9"/>
  <c r="B175" i="9"/>
  <c r="A175" i="9"/>
  <c r="B174" i="9"/>
  <c r="A174" i="9"/>
  <c r="B173" i="9"/>
  <c r="A173" i="9"/>
  <c r="B172" i="9"/>
  <c r="A172" i="9"/>
  <c r="B171" i="9"/>
  <c r="A171" i="9"/>
  <c r="B170" i="9"/>
  <c r="A170" i="9"/>
  <c r="B169" i="9"/>
  <c r="A169" i="9"/>
  <c r="B168" i="9"/>
  <c r="A168" i="9"/>
  <c r="B167" i="9"/>
  <c r="A167" i="9"/>
  <c r="B166" i="9"/>
  <c r="A166" i="9"/>
  <c r="B165" i="9"/>
  <c r="A165" i="9"/>
  <c r="B164" i="9"/>
  <c r="A164" i="9"/>
  <c r="B163" i="9"/>
  <c r="A163" i="9"/>
  <c r="B162" i="9"/>
  <c r="A162" i="9"/>
  <c r="B161" i="9"/>
  <c r="A161" i="9"/>
  <c r="B160" i="9"/>
  <c r="A160" i="9"/>
  <c r="B159" i="9"/>
  <c r="A159" i="9"/>
  <c r="B158" i="9"/>
  <c r="A158" i="9"/>
  <c r="B157" i="9"/>
  <c r="A157" i="9"/>
  <c r="B156" i="9"/>
  <c r="A156" i="9"/>
  <c r="B155" i="9"/>
  <c r="A155" i="9"/>
  <c r="B154" i="9"/>
  <c r="A154" i="9"/>
  <c r="B153" i="9"/>
  <c r="A153" i="9"/>
  <c r="B152" i="9"/>
  <c r="A152" i="9"/>
  <c r="B151" i="9"/>
  <c r="A151" i="9"/>
  <c r="B150" i="9"/>
  <c r="A150" i="9"/>
  <c r="B149" i="9"/>
  <c r="A149" i="9"/>
  <c r="B148" i="9"/>
  <c r="A148" i="9"/>
  <c r="B147" i="9"/>
  <c r="A147" i="9"/>
  <c r="B146" i="9"/>
  <c r="A146" i="9"/>
  <c r="B145" i="9"/>
  <c r="A145" i="9"/>
  <c r="B144" i="9"/>
  <c r="A144" i="9"/>
  <c r="B143" i="9"/>
  <c r="A143" i="9"/>
  <c r="B142" i="9"/>
  <c r="A142" i="9"/>
  <c r="B141" i="9"/>
  <c r="A141" i="9"/>
  <c r="B140" i="9"/>
  <c r="A140" i="9"/>
  <c r="B139" i="9"/>
  <c r="A139" i="9"/>
  <c r="B138" i="9"/>
  <c r="A138" i="9"/>
  <c r="B137" i="9"/>
  <c r="A137" i="9"/>
  <c r="B136" i="9"/>
  <c r="A136" i="9"/>
  <c r="B135" i="9"/>
  <c r="A135" i="9"/>
  <c r="B134" i="9"/>
  <c r="A134" i="9"/>
  <c r="B133" i="9"/>
  <c r="A133" i="9"/>
  <c r="B132" i="9"/>
  <c r="A132" i="9"/>
  <c r="B131" i="9"/>
  <c r="A131" i="9"/>
  <c r="B130" i="9"/>
  <c r="A130" i="9"/>
  <c r="B129" i="9"/>
  <c r="A129" i="9"/>
  <c r="B128" i="9"/>
  <c r="A128" i="9"/>
  <c r="B127" i="9"/>
  <c r="A127" i="9"/>
  <c r="B126" i="9"/>
  <c r="A126" i="9"/>
  <c r="B125" i="9"/>
  <c r="A125" i="9"/>
  <c r="B124" i="9"/>
  <c r="A124" i="9"/>
  <c r="B123" i="9"/>
  <c r="A123" i="9"/>
  <c r="B122" i="9"/>
  <c r="A122" i="9"/>
  <c r="B121" i="9"/>
  <c r="A121" i="9"/>
  <c r="B120" i="9"/>
  <c r="A120" i="9"/>
  <c r="B119" i="9"/>
  <c r="A119" i="9"/>
  <c r="B118" i="9"/>
  <c r="A118" i="9"/>
  <c r="B117" i="9"/>
  <c r="A117" i="9"/>
  <c r="B116" i="9"/>
  <c r="A116" i="9"/>
  <c r="B115" i="9"/>
  <c r="A115" i="9"/>
  <c r="B114" i="9"/>
  <c r="A114" i="9"/>
  <c r="B113" i="9"/>
  <c r="A113" i="9"/>
  <c r="B112" i="9"/>
  <c r="A112" i="9"/>
  <c r="B111" i="9"/>
  <c r="A111" i="9"/>
  <c r="B110" i="9"/>
  <c r="A110" i="9"/>
  <c r="B109" i="9"/>
  <c r="A109" i="9"/>
  <c r="B108" i="9"/>
  <c r="A108" i="9"/>
  <c r="B107" i="9"/>
  <c r="A107" i="9"/>
  <c r="B106" i="9"/>
  <c r="A106" i="9"/>
  <c r="B105" i="9"/>
  <c r="A105" i="9"/>
  <c r="B104" i="9"/>
  <c r="A104" i="9"/>
  <c r="B103" i="9"/>
  <c r="A103" i="9"/>
  <c r="B102" i="9"/>
  <c r="A102" i="9"/>
  <c r="B101" i="9"/>
  <c r="A101" i="9"/>
  <c r="B100" i="9"/>
  <c r="A100" i="9"/>
  <c r="B99" i="9"/>
  <c r="A99" i="9"/>
  <c r="B98" i="9"/>
  <c r="A98" i="9"/>
  <c r="B97" i="9"/>
  <c r="A97" i="9"/>
  <c r="B96" i="9"/>
  <c r="A96" i="9"/>
  <c r="B95" i="9"/>
  <c r="A95" i="9"/>
  <c r="B94" i="9"/>
  <c r="A94" i="9"/>
  <c r="B93" i="9"/>
  <c r="A93" i="9"/>
  <c r="B92" i="9"/>
  <c r="A92" i="9"/>
  <c r="B91" i="9"/>
  <c r="A91" i="9"/>
  <c r="B90" i="9"/>
  <c r="A90" i="9"/>
  <c r="B89" i="9"/>
  <c r="A89" i="9"/>
  <c r="B88" i="9"/>
  <c r="A88" i="9"/>
  <c r="B87" i="9"/>
  <c r="A87" i="9"/>
  <c r="B86" i="9"/>
  <c r="A86" i="9"/>
  <c r="B85" i="9"/>
  <c r="A85" i="9"/>
  <c r="B84" i="9"/>
  <c r="A84" i="9"/>
  <c r="B83" i="9"/>
  <c r="A83" i="9"/>
  <c r="B82" i="9"/>
  <c r="A82" i="9"/>
  <c r="B81" i="9"/>
  <c r="A81" i="9"/>
  <c r="B80" i="9"/>
  <c r="A80" i="9"/>
  <c r="B79" i="9"/>
  <c r="A79" i="9"/>
  <c r="B78" i="9"/>
  <c r="A78" i="9"/>
  <c r="B77" i="9"/>
  <c r="A77" i="9"/>
  <c r="B76" i="9"/>
  <c r="A76" i="9"/>
  <c r="B75" i="9"/>
  <c r="A75" i="9"/>
  <c r="B74" i="9"/>
  <c r="A74" i="9"/>
  <c r="B73" i="9"/>
  <c r="A73" i="9"/>
  <c r="B72" i="9"/>
  <c r="A72" i="9"/>
  <c r="B71" i="9"/>
  <c r="A71" i="9"/>
  <c r="B70" i="9"/>
  <c r="A70" i="9"/>
  <c r="B69" i="9"/>
  <c r="A69" i="9"/>
  <c r="B68" i="9"/>
  <c r="A68" i="9"/>
  <c r="B67" i="9"/>
  <c r="A67" i="9"/>
  <c r="B66" i="9"/>
  <c r="A66" i="9"/>
  <c r="B65" i="9"/>
  <c r="A65" i="9"/>
  <c r="B64" i="9"/>
  <c r="A64" i="9"/>
  <c r="B63" i="9"/>
  <c r="A63" i="9"/>
  <c r="B62" i="9"/>
  <c r="A62" i="9"/>
  <c r="B61" i="9"/>
  <c r="A61" i="9"/>
  <c r="B60" i="9"/>
  <c r="A60" i="9"/>
  <c r="B59" i="9"/>
  <c r="A59" i="9"/>
  <c r="B58" i="9"/>
  <c r="A58" i="9"/>
  <c r="B57" i="9"/>
  <c r="A57" i="9"/>
  <c r="B56" i="9"/>
  <c r="A56" i="9"/>
  <c r="B55" i="9"/>
  <c r="A55" i="9"/>
  <c r="B54" i="9"/>
  <c r="A54" i="9"/>
  <c r="B53" i="9"/>
  <c r="A53" i="9"/>
  <c r="B52" i="9"/>
  <c r="A52" i="9"/>
  <c r="B51" i="9"/>
  <c r="A51" i="9"/>
  <c r="B50" i="9"/>
  <c r="A50" i="9"/>
  <c r="B49" i="9"/>
  <c r="A49" i="9"/>
  <c r="B48" i="9"/>
  <c r="A48" i="9"/>
  <c r="B47" i="9"/>
  <c r="A47" i="9"/>
  <c r="B46" i="9"/>
  <c r="A46" i="9"/>
  <c r="B45" i="9"/>
  <c r="A45" i="9"/>
  <c r="B44" i="9"/>
  <c r="A44" i="9"/>
  <c r="B43" i="9"/>
  <c r="A43" i="9"/>
  <c r="B42" i="9"/>
  <c r="A42" i="9"/>
  <c r="B41" i="9"/>
  <c r="A41" i="9"/>
  <c r="B40" i="9"/>
  <c r="A40" i="9"/>
  <c r="B39" i="9"/>
  <c r="A39" i="9"/>
  <c r="B38" i="9"/>
  <c r="A38" i="9"/>
  <c r="B37" i="9"/>
  <c r="A37" i="9"/>
  <c r="B36" i="9"/>
  <c r="A36" i="9"/>
  <c r="B35" i="9"/>
  <c r="A35" i="9"/>
  <c r="B34" i="9"/>
  <c r="A34" i="9"/>
  <c r="B33" i="9"/>
  <c r="A33" i="9"/>
  <c r="B32" i="9"/>
  <c r="A32" i="9"/>
  <c r="B31" i="9"/>
  <c r="A31" i="9"/>
  <c r="B30" i="9"/>
  <c r="A30" i="9"/>
  <c r="B29" i="9"/>
  <c r="A29" i="9"/>
  <c r="B28" i="9"/>
  <c r="A28" i="9"/>
  <c r="B27" i="9"/>
  <c r="A27" i="9"/>
  <c r="B26" i="9"/>
  <c r="A26" i="9"/>
  <c r="B25" i="9"/>
  <c r="A25" i="9"/>
  <c r="B24" i="9"/>
  <c r="A24" i="9"/>
  <c r="B23" i="9"/>
  <c r="A23" i="9"/>
  <c r="B22" i="9"/>
  <c r="A22" i="9"/>
  <c r="B21" i="9"/>
  <c r="A21" i="9"/>
  <c r="B20" i="9"/>
  <c r="A20" i="9"/>
  <c r="B19" i="9"/>
  <c r="A19" i="9"/>
  <c r="B18" i="9"/>
  <c r="A18" i="9"/>
  <c r="B17" i="9"/>
  <c r="A17" i="9"/>
  <c r="B16" i="9"/>
  <c r="A16" i="9"/>
  <c r="B15" i="9"/>
  <c r="A15" i="9"/>
  <c r="B14" i="9"/>
  <c r="A14" i="9"/>
  <c r="B13" i="9"/>
  <c r="A13" i="9"/>
  <c r="B12" i="9"/>
  <c r="A12" i="9"/>
  <c r="B11" i="9"/>
  <c r="A11" i="9"/>
  <c r="B10" i="9"/>
  <c r="A10" i="9"/>
  <c r="B9" i="9"/>
  <c r="A9" i="9"/>
  <c r="B8" i="9"/>
  <c r="A8" i="9"/>
  <c r="B7" i="9"/>
  <c r="A7" i="9"/>
  <c r="B6" i="9"/>
  <c r="A6" i="9"/>
  <c r="B5" i="9"/>
  <c r="A5" i="9"/>
  <c r="B4" i="9"/>
  <c r="A4" i="9"/>
  <c r="B3" i="9"/>
  <c r="A3" i="9"/>
  <c r="B2" i="9"/>
  <c r="A2" i="9"/>
  <c r="A446" i="12" l="1"/>
  <c r="A447" i="12"/>
  <c r="A417" i="12"/>
  <c r="A418" i="12"/>
  <c r="A18" i="12"/>
  <c r="A17" i="12"/>
  <c r="A174" i="12"/>
  <c r="A173" i="12"/>
  <c r="A177" i="12" l="1"/>
  <c r="A449" i="12"/>
  <c r="A419" i="12"/>
  <c r="A19" i="12"/>
  <c r="A20" i="12"/>
  <c r="A176" i="12"/>
  <c r="A420" i="12"/>
  <c r="A448" i="12"/>
  <c r="A421" i="12" l="1"/>
  <c r="A452" i="12"/>
  <c r="A422" i="12"/>
  <c r="A451" i="12"/>
  <c r="A21" i="12"/>
  <c r="A178" i="12"/>
  <c r="A22" i="12"/>
  <c r="A179" i="12"/>
  <c r="A455" i="12" l="1"/>
  <c r="A181" i="12"/>
  <c r="A454" i="12"/>
  <c r="A180" i="12"/>
  <c r="A24" i="12"/>
  <c r="A23" i="12"/>
  <c r="A25" i="12" l="1"/>
  <c r="A184" i="12"/>
  <c r="A456" i="12"/>
  <c r="A183" i="12"/>
  <c r="A26" i="12"/>
  <c r="A457" i="12"/>
  <c r="A458" i="12" l="1"/>
  <c r="A29" i="12"/>
  <c r="A187" i="12"/>
  <c r="A186" i="12"/>
  <c r="A459" i="12"/>
  <c r="A27" i="12"/>
  <c r="A461" i="12" l="1"/>
  <c r="A190" i="12"/>
  <c r="A30" i="12"/>
  <c r="A36" i="12"/>
  <c r="A189" i="12"/>
  <c r="A462" i="12"/>
  <c r="A463" i="12" l="1"/>
  <c r="A464" i="12"/>
  <c r="A37" i="12"/>
  <c r="A191" i="12"/>
  <c r="A38" i="12"/>
  <c r="A192" i="12"/>
  <c r="A466" i="12" l="1"/>
  <c r="A194" i="12"/>
  <c r="A195" i="12"/>
  <c r="A39" i="12"/>
  <c r="A40" i="12"/>
  <c r="A465" i="12"/>
  <c r="A41" i="12" l="1"/>
  <c r="A197" i="12"/>
  <c r="A467" i="12"/>
  <c r="A196" i="12"/>
  <c r="A42" i="12"/>
  <c r="A468" i="12"/>
  <c r="A469" i="12" l="1"/>
  <c r="A199" i="12"/>
  <c r="A44" i="12"/>
  <c r="A198" i="12"/>
  <c r="A470" i="12"/>
  <c r="A43" i="12"/>
  <c r="A46" i="12" l="1"/>
  <c r="A201" i="12"/>
  <c r="A200" i="12"/>
  <c r="A45" i="12"/>
  <c r="A473" i="12"/>
  <c r="A472" i="12"/>
  <c r="A203" i="12" l="1"/>
  <c r="A47" i="12"/>
  <c r="A474" i="12"/>
  <c r="A204" i="12"/>
  <c r="A475" i="12"/>
  <c r="A48" i="12"/>
  <c r="A477" i="12" l="1"/>
  <c r="A478" i="12"/>
  <c r="A49" i="12"/>
  <c r="A51" i="12"/>
  <c r="A206" i="12"/>
  <c r="A205" i="12"/>
  <c r="A52" i="12" l="1"/>
  <c r="A207" i="12"/>
  <c r="A480" i="12"/>
  <c r="A53" i="12"/>
  <c r="A208" i="12"/>
  <c r="A479" i="12"/>
  <c r="A482" i="12" l="1"/>
  <c r="A209" i="12"/>
  <c r="A55" i="12"/>
  <c r="A481" i="12"/>
  <c r="A210" i="12"/>
  <c r="A54" i="12"/>
  <c r="A211" i="12" l="1"/>
  <c r="A56" i="12"/>
  <c r="A212" i="12"/>
  <c r="A483" i="12"/>
  <c r="A58" i="12"/>
  <c r="A484" i="12"/>
  <c r="A61" i="12" l="1"/>
  <c r="A214" i="12"/>
  <c r="A59" i="12"/>
  <c r="A485" i="12"/>
  <c r="A486" i="12"/>
  <c r="A213" i="12"/>
  <c r="A487" i="12" l="1"/>
  <c r="A216" i="12"/>
  <c r="A63" i="12"/>
  <c r="A62" i="12"/>
  <c r="A215" i="12"/>
  <c r="A488" i="12"/>
  <c r="A490" i="12" l="1"/>
  <c r="A489" i="12"/>
  <c r="A65" i="12"/>
  <c r="A217" i="12"/>
  <c r="A218" i="12"/>
  <c r="A64" i="12"/>
  <c r="A68" i="12" l="1"/>
  <c r="A66" i="12"/>
  <c r="A219" i="12"/>
  <c r="A491" i="12"/>
  <c r="A220" i="12"/>
  <c r="A492" i="12"/>
  <c r="A222" i="12" l="1"/>
  <c r="A69" i="12"/>
  <c r="A494" i="12"/>
  <c r="A495" i="12"/>
  <c r="A223" i="12"/>
  <c r="A70" i="12"/>
  <c r="A496" i="12" l="1"/>
  <c r="A71" i="12"/>
  <c r="A497" i="12"/>
  <c r="A225" i="12"/>
  <c r="A73" i="12"/>
  <c r="A224" i="12"/>
  <c r="A74" i="12" l="1"/>
  <c r="A499" i="12"/>
  <c r="A226" i="12"/>
  <c r="A227" i="12"/>
  <c r="A75" i="12"/>
  <c r="A498" i="12"/>
  <c r="A229" i="12" l="1"/>
  <c r="A502" i="12"/>
  <c r="A230" i="12"/>
  <c r="A501" i="12"/>
  <c r="A77" i="12"/>
  <c r="A76" i="12"/>
  <c r="A78" i="12" l="1"/>
  <c r="A505" i="12"/>
  <c r="A504" i="12"/>
  <c r="A79" i="12"/>
  <c r="A233" i="12"/>
  <c r="A232" i="12"/>
  <c r="A507" i="12" l="1"/>
  <c r="A234" i="12"/>
  <c r="A506" i="12"/>
  <c r="A235" i="12"/>
  <c r="A82" i="12"/>
  <c r="A80" i="12"/>
  <c r="A83" i="12" l="1"/>
  <c r="A84" i="12"/>
  <c r="A508" i="12"/>
  <c r="A236" i="12"/>
  <c r="A237" i="12"/>
  <c r="A509" i="12"/>
  <c r="A510" i="12" l="1"/>
  <c r="A240" i="12"/>
  <c r="A511" i="12"/>
  <c r="A86" i="12"/>
  <c r="A239" i="12"/>
  <c r="A85" i="12"/>
  <c r="A88" i="12" l="1"/>
  <c r="A513" i="12"/>
  <c r="A87" i="12"/>
  <c r="A242" i="12"/>
  <c r="A241" i="12"/>
  <c r="A512" i="12"/>
  <c r="A89" i="12" l="1"/>
  <c r="A245" i="12"/>
  <c r="A515" i="12"/>
  <c r="A514" i="12"/>
  <c r="A244" i="12"/>
  <c r="A90" i="12"/>
  <c r="A252" i="12" l="1"/>
  <c r="A92" i="12"/>
  <c r="A251" i="12"/>
  <c r="A91" i="12"/>
  <c r="A258" i="12" l="1"/>
  <c r="A259" i="12"/>
  <c r="A94" i="12"/>
  <c r="A93" i="12"/>
  <c r="A265" i="12" l="1"/>
  <c r="A95" i="12"/>
  <c r="A266" i="12"/>
  <c r="A96" i="12"/>
  <c r="A97" i="12" l="1"/>
  <c r="A268" i="12"/>
  <c r="A98" i="12"/>
  <c r="A267" i="12"/>
  <c r="A99" i="12" l="1"/>
  <c r="A101" i="12"/>
  <c r="A269" i="12"/>
  <c r="A270" i="12"/>
  <c r="A272" i="12" l="1"/>
  <c r="A271" i="12"/>
  <c r="A103" i="12"/>
  <c r="A102" i="12"/>
  <c r="A106" i="12" l="1"/>
  <c r="A273" i="12"/>
  <c r="A104" i="12"/>
  <c r="A274" i="12"/>
  <c r="A108" i="12" l="1"/>
  <c r="A276" i="12"/>
  <c r="A107" i="12"/>
  <c r="A275" i="12"/>
  <c r="A277" i="12" l="1"/>
  <c r="A109" i="12"/>
  <c r="A278" i="12"/>
  <c r="A111" i="12"/>
  <c r="A112" i="12" l="1"/>
  <c r="A280" i="12"/>
  <c r="A113" i="12"/>
  <c r="A279" i="12"/>
  <c r="A282" i="12" l="1"/>
  <c r="A281" i="12"/>
  <c r="A115" i="12"/>
  <c r="A114" i="12"/>
  <c r="A116" i="12" l="1"/>
  <c r="A118" i="12"/>
  <c r="A283" i="12"/>
  <c r="A284" i="12"/>
  <c r="A120" i="12" l="1"/>
  <c r="A286" i="12"/>
  <c r="A287" i="12"/>
  <c r="A119" i="12"/>
  <c r="A288" i="12" l="1"/>
  <c r="A289" i="12"/>
  <c r="A121" i="12"/>
  <c r="A122" i="12"/>
  <c r="A124" i="12" l="1"/>
  <c r="A123" i="12"/>
  <c r="A296" i="12"/>
  <c r="A295" i="12"/>
  <c r="A297" i="12" l="1"/>
  <c r="A298" i="12"/>
  <c r="A125" i="12"/>
  <c r="A126" i="12"/>
  <c r="A129" i="12" l="1"/>
  <c r="A127" i="12"/>
  <c r="A300" i="12"/>
  <c r="A299" i="12"/>
  <c r="A302" i="12" l="1"/>
  <c r="A130" i="12"/>
  <c r="A301" i="12"/>
  <c r="A131" i="12"/>
  <c r="A304" i="12" l="1"/>
  <c r="A132" i="12"/>
  <c r="A133" i="12"/>
  <c r="A305" i="12"/>
  <c r="A307" i="12" l="1"/>
  <c r="A135" i="12"/>
  <c r="A134" i="12"/>
  <c r="A306" i="12"/>
  <c r="A308" i="12" l="1"/>
  <c r="A136" i="12"/>
  <c r="A137" i="12"/>
  <c r="A309" i="12"/>
  <c r="A139" i="12" l="1"/>
  <c r="A138" i="12"/>
  <c r="A311" i="12"/>
  <c r="A310" i="12"/>
  <c r="A313" i="12" l="1"/>
  <c r="A312" i="12"/>
  <c r="A140" i="12"/>
  <c r="A141" i="12"/>
  <c r="A142" i="12" l="1"/>
  <c r="A143" i="12"/>
  <c r="A314" i="12"/>
  <c r="A315" i="12"/>
  <c r="A317" i="12" l="1"/>
  <c r="A145" i="12"/>
  <c r="A318" i="12"/>
  <c r="A144" i="12"/>
  <c r="A147" i="12" l="1"/>
  <c r="A146" i="12"/>
  <c r="A321" i="12"/>
  <c r="A320" i="12"/>
  <c r="A148" i="12" l="1"/>
  <c r="A322" i="12"/>
  <c r="A323" i="12"/>
  <c r="A150" i="12"/>
  <c r="A325" i="12" l="1"/>
  <c r="A326" i="12"/>
  <c r="A152" i="12"/>
  <c r="A151" i="12"/>
  <c r="A153" i="12" l="1"/>
  <c r="A328" i="12"/>
  <c r="A154" i="12"/>
  <c r="A327" i="12"/>
  <c r="A330" i="12" l="1"/>
  <c r="A331" i="12"/>
  <c r="A155" i="12"/>
  <c r="A333" i="12" l="1"/>
  <c r="A332" i="12"/>
  <c r="A334" i="12" l="1"/>
  <c r="A335" i="12"/>
  <c r="A338" i="12" l="1"/>
  <c r="A337" i="12"/>
  <c r="A339" i="12" l="1"/>
  <c r="A340" i="12"/>
  <c r="A343" i="12" l="1"/>
  <c r="A342" i="12"/>
  <c r="A344" i="12" l="1"/>
  <c r="A345" i="12"/>
  <c r="A347" i="12" l="1"/>
  <c r="A346" i="12"/>
  <c r="A348" i="12" l="1"/>
  <c r="A349" i="12"/>
  <c r="A351" i="12" l="1"/>
  <c r="A350" i="12"/>
  <c r="A352" i="12" l="1"/>
  <c r="A353" i="12"/>
  <c r="A355" i="12" l="1"/>
  <c r="A354" i="12"/>
  <c r="A356" i="12" l="1"/>
  <c r="A357" i="12"/>
  <c r="A360" i="12" l="1"/>
  <c r="A359" i="12"/>
  <c r="A361" i="12" l="1"/>
  <c r="A362" i="12"/>
  <c r="A364" i="12" l="1"/>
  <c r="A363" i="12"/>
  <c r="A366" i="12" l="1"/>
  <c r="A367" i="12"/>
  <c r="A370" i="12" l="1"/>
  <c r="A369" i="12"/>
  <c r="A371" i="12" l="1"/>
  <c r="A372" i="12"/>
  <c r="A374" i="12" l="1"/>
  <c r="A373" i="12"/>
  <c r="A376" i="12" l="1"/>
  <c r="A377" i="12"/>
  <c r="A379" i="12" l="1"/>
  <c r="A378" i="12"/>
  <c r="A380" i="12" l="1"/>
  <c r="A381" i="12"/>
  <c r="A388" i="12" l="1"/>
  <c r="A387" i="12"/>
</calcChain>
</file>

<file path=xl/sharedStrings.xml><?xml version="1.0" encoding="utf-8"?>
<sst xmlns="http://schemas.openxmlformats.org/spreadsheetml/2006/main" count="5837" uniqueCount="2537">
  <si>
    <t>IDENTIFICACIÓN</t>
  </si>
  <si>
    <t>1. Indicador de proyecto PAI</t>
  </si>
  <si>
    <t>2. Metas indicador de proyecto</t>
  </si>
  <si>
    <t>3. Avances indicador de proyecto</t>
  </si>
  <si>
    <t>Control registro</t>
  </si>
  <si>
    <t>Control revisión</t>
  </si>
  <si>
    <t>Año 1: 2021</t>
  </si>
  <si>
    <t>Año 2: 2022</t>
  </si>
  <si>
    <t>Año 3: 2023</t>
  </si>
  <si>
    <t>Año 4: 2024</t>
  </si>
  <si>
    <t>Código del indicador</t>
  </si>
  <si>
    <t>Tipo de dependencia</t>
  </si>
  <si>
    <t>Código del proyecto</t>
  </si>
  <si>
    <t>Nombre largo del proyecto</t>
  </si>
  <si>
    <t>Nombre corto del proyecto</t>
  </si>
  <si>
    <t>Dependencia</t>
  </si>
  <si>
    <t>Nombre del indicador
(Nombre corto)</t>
  </si>
  <si>
    <t>Descripción</t>
  </si>
  <si>
    <t>Dependencia líder</t>
  </si>
  <si>
    <t>Fecha de registro</t>
  </si>
  <si>
    <t>¿Es acumulativo?</t>
  </si>
  <si>
    <t>Línea base</t>
  </si>
  <si>
    <t>Año de la línea base</t>
  </si>
  <si>
    <t>Meta final del indicador</t>
  </si>
  <si>
    <t>Meta final original</t>
  </si>
  <si>
    <t>Semestre 2 2021</t>
  </si>
  <si>
    <t>Semestre 1 2022</t>
  </si>
  <si>
    <t>Semestre 2 2022</t>
  </si>
  <si>
    <t>Semestre 1 2023</t>
  </si>
  <si>
    <t>Semestre 2 2023</t>
  </si>
  <si>
    <t>Semestre 1 de 2024</t>
  </si>
  <si>
    <t>Semestre 2 de 2024</t>
  </si>
  <si>
    <t>Real Año 1 Semestre 2</t>
  </si>
  <si>
    <t>Real Año 2 Semestre 1</t>
  </si>
  <si>
    <t>¿Registrado en el sistema?</t>
  </si>
  <si>
    <t>Persona que registró</t>
  </si>
  <si>
    <t>Persona que revisó</t>
  </si>
  <si>
    <t>Fecha de revisión</t>
  </si>
  <si>
    <t>Caso de corrección aplicado</t>
  </si>
  <si>
    <t>01I1</t>
  </si>
  <si>
    <t>Dependencia administrativa</t>
  </si>
  <si>
    <t>Documento marco con la ruta metodológica para que los programas académicos implementen la armonización curricular</t>
  </si>
  <si>
    <t>SI</t>
  </si>
  <si>
    <t>No</t>
  </si>
  <si>
    <t>01I2</t>
  </si>
  <si>
    <t>Numero de talleres, convesatorios y asesorias generales sobre armonización curricular</t>
  </si>
  <si>
    <t>01I3</t>
  </si>
  <si>
    <t>Número de programas académicos de pregrado con armonización curricular derivadas  de la convoctoria</t>
  </si>
  <si>
    <t>02I1</t>
  </si>
  <si>
    <t>Número de unidades académicas comprometidas con la articulación de iniciativas de formación docente en educación superior.</t>
  </si>
  <si>
    <t>02I2</t>
  </si>
  <si>
    <t>Número de encuentros de unidades académicas para generar espacios de articulación.</t>
  </si>
  <si>
    <t>02I3</t>
  </si>
  <si>
    <t>Número de inicaitivas de formación derivadas de espacios de articulación entre unidades académicas.</t>
  </si>
  <si>
    <t>3I1</t>
  </si>
  <si>
    <t xml:space="preserve">Estrategias para la flexibilización e internacionalziación de los currículos </t>
  </si>
  <si>
    <t>3I2</t>
  </si>
  <si>
    <t xml:space="preserve"> Programa Académico construido en modalidad dual</t>
  </si>
  <si>
    <t>3I3</t>
  </si>
  <si>
    <t>Cursos de diferentes planes de estudio transformados  en varias modalidades</t>
  </si>
  <si>
    <t>3I4</t>
  </si>
  <si>
    <t xml:space="preserve">Programas de pregrado con estrategias de internacionalización implementadas </t>
  </si>
  <si>
    <t>04I1</t>
  </si>
  <si>
    <t>Talleres y conversatorios realizados con los coordinadores que tienen a cargo los procesos de autoevaluación</t>
  </si>
  <si>
    <t>04I2</t>
  </si>
  <si>
    <t>Recursos digitales en los cuales se presente lo correspondiente a los procesos de registro calificado, gestión del currículo, gestion de la autoevaluación y mejora continua</t>
  </si>
  <si>
    <t>04I3</t>
  </si>
  <si>
    <t>Aplicativo de consulta</t>
  </si>
  <si>
    <t>05I1</t>
  </si>
  <si>
    <t>Cultura Digital</t>
  </si>
  <si>
    <t>05I2</t>
  </si>
  <si>
    <t>Mediaciones didácticas</t>
  </si>
  <si>
    <t>06I1</t>
  </si>
  <si>
    <t>Innovación educativa</t>
  </si>
  <si>
    <t>06I2</t>
  </si>
  <si>
    <t>Colaboratorios y comunidades de aprendizaje</t>
  </si>
  <si>
    <t>06I3</t>
  </si>
  <si>
    <t>Servicios de información activados en operación para la convergencia con las comunidades académicas e investigativas</t>
  </si>
  <si>
    <t>06I4</t>
  </si>
  <si>
    <t>Cursos de formación en cultura informacional realizados en las comunidades académicas</t>
  </si>
  <si>
    <t>07I1</t>
  </si>
  <si>
    <t xml:space="preserve">Documento marco formalizado que explicite el ideario formativo de la Universidad </t>
  </si>
  <si>
    <t>07I2</t>
  </si>
  <si>
    <t xml:space="preserve">Encuentros de socializacion con las Unidades Academicas </t>
  </si>
  <si>
    <t>08I1</t>
  </si>
  <si>
    <t>Porcentaje de avance en la propuesta de fortalecimiento de la estructura financiera</t>
  </si>
  <si>
    <t>08I2</t>
  </si>
  <si>
    <t>Porcentaje de avance en la propuesta capacitación a docentes</t>
  </si>
  <si>
    <t>08I3</t>
  </si>
  <si>
    <t>Cumplimiento del plan de capacitación a docentes  de posgrado</t>
  </si>
  <si>
    <t>9I1</t>
  </si>
  <si>
    <t>Establecimiento de una plataforma para el aprendizaje</t>
  </si>
  <si>
    <t>9I2</t>
  </si>
  <si>
    <t>Creación y adaptación de contenidos educativos</t>
  </si>
  <si>
    <t>9I3</t>
  </si>
  <si>
    <t>Contenidos en operación en la plataforma de aprendizajes</t>
  </si>
  <si>
    <t>10I1</t>
  </si>
  <si>
    <t xml:space="preserve">% de avance del documento que  define la ruta estratégica de comunicación para la promoción y divulgación de la oferta de programas de posgrado y los resultados de formación. </t>
  </si>
  <si>
    <t>11I1</t>
  </si>
  <si>
    <t>Número de estrategias para el fortalecimiento de los relacionamientos estratégicos en investigación.</t>
  </si>
  <si>
    <t>11I2</t>
  </si>
  <si>
    <t>Número de estrategias para el fortalecimiento de los relacionamientos estratégicos en extensión e innovación.</t>
  </si>
  <si>
    <t>11I3</t>
  </si>
  <si>
    <t>Número de Unidades Académicas que implementan estrategias y procesos de relacionamiento estratégico y gestión de la internacionalización generados por la DRI.</t>
  </si>
  <si>
    <t>12I1</t>
  </si>
  <si>
    <t>Número de actividades consolidadas para el desarrollo de competencias internacionales y de ciudadanía intercultural y global durante el trienio.</t>
  </si>
  <si>
    <t>12I2</t>
  </si>
  <si>
    <t>Número de unidades académicas sensibilizadas sobre la internacionalización del currículo durante el trienio.</t>
  </si>
  <si>
    <t>12I3</t>
  </si>
  <si>
    <t xml:space="preserve">Número de coordinadores y gestores de relaciones internacionales y coordinadores de posgrado con participación activa en actividades y proyectos de internacionalización durante el trienio. </t>
  </si>
  <si>
    <t>13I1</t>
  </si>
  <si>
    <t xml:space="preserve">Programas académicos articulados </t>
  </si>
  <si>
    <t>13I2</t>
  </si>
  <si>
    <t>Fortalecimiento de la relación Universidad - Sociedad por medio de las prácticas académicas</t>
  </si>
  <si>
    <t>13I3</t>
  </si>
  <si>
    <t>Proceso de evaluación integral de prácticas académicas</t>
  </si>
  <si>
    <t>13I4</t>
  </si>
  <si>
    <t>Sistema de información de prácticas académicas implementado</t>
  </si>
  <si>
    <t>14I1</t>
  </si>
  <si>
    <t>Vinculación de nuevos docentes de tiempo completo para regiones</t>
  </si>
  <si>
    <t>14I2</t>
  </si>
  <si>
    <t>Proyectos de extensión e investigación con temáticas regionales</t>
  </si>
  <si>
    <t>14I3</t>
  </si>
  <si>
    <t>Alianzas estratégicas con actores territoriales</t>
  </si>
  <si>
    <t>15I1</t>
  </si>
  <si>
    <t>Número de inscritos en actividades de educación no formal</t>
  </si>
  <si>
    <t>15I2</t>
  </si>
  <si>
    <t xml:space="preserve">Ingresos por concepto de educación no formal </t>
  </si>
  <si>
    <t>16I1</t>
  </si>
  <si>
    <t>Nivel de representación de los egresados en los órganos y comités de la Universidad</t>
  </si>
  <si>
    <t>16I2</t>
  </si>
  <si>
    <t>Porcentaje de crecimiento de aportes de recursos de egresados para la Universidad</t>
  </si>
  <si>
    <t>17I1</t>
  </si>
  <si>
    <t>Número de procesos diseñados y socializados para fortalecer la gestión integral de la CPC.</t>
  </si>
  <si>
    <t>17I2</t>
  </si>
  <si>
    <t>Porcentaje de consolidación de un ecosistema articulado para la CPC de la Universidad de Antioquia.</t>
  </si>
  <si>
    <t>18I1</t>
  </si>
  <si>
    <t>Número de participantes en los escenarios de construcción agendas de creación e investigación en la Universidad de Antioquia  que permita consolidar una mirada inter/transdisciplinar y dar respuesta a necesidades de los territorios a diferentes escalas</t>
  </si>
  <si>
    <t>18I2</t>
  </si>
  <si>
    <t>Porcentaje de avance del Documento propuesta de convocatoria para una convocatoria para la presentación de proyectos de creación e investigación en la Universidad de Antioquia en torno a agendas que permitan consolidar una mirada inter/transdisciplinar y dar respuesta a necesidades de los territorios a diferentes escalas</t>
  </si>
  <si>
    <t>19I1</t>
  </si>
  <si>
    <t>Porcentaje de avance de la actualización de las políticas y la estructura orgánica del sistema universitario para la creación y generación de conocimiento.</t>
  </si>
  <si>
    <t>19I2</t>
  </si>
  <si>
    <t>Porcentaje de avance de la propuesta de políticas institucionales en materia de infraestructuras para investigación.</t>
  </si>
  <si>
    <t>19I3</t>
  </si>
  <si>
    <t>Porcentaje de avance del desarrollo de nuevas funcionalidades del sistema de información para investigación, innovación, desarrollo tecnológico y creación</t>
  </si>
  <si>
    <t>20I1</t>
  </si>
  <si>
    <t>Porcentaje de avance de la construcción y socialización del documento con las orientaciones para la creación de lenguajes y métodos para la apropiación social del conocimiento, la ciencia abierta y la comunicación pública de la ciencia a partir de la sistematización de experiencias.</t>
  </si>
  <si>
    <t>20I2</t>
  </si>
  <si>
    <t>Porcentaje de avance del plan de formación para la democratización de la creación, investigación e innovación a través de la comunicación pública de la ciencia, la apropiación social del conocimiento y la Ciencia Abierta en la Universidad de Antioquia</t>
  </si>
  <si>
    <t>20I3</t>
  </si>
  <si>
    <t>Porcentaje de avance en la activación de los DOI históricos de las revistas científicas</t>
  </si>
  <si>
    <t>21I1</t>
  </si>
  <si>
    <t>Número de planes para la Gestión de la Innovación de las Unidades Académicas y/o Administrativas por período</t>
  </si>
  <si>
    <t>21I2</t>
  </si>
  <si>
    <t>Número de Planes CTi+e en subregiones de Antioquia por período</t>
  </si>
  <si>
    <t>21I3</t>
  </si>
  <si>
    <t># Nuevos participantes (internos - externos) en actividades de sensibilización y formación relacionadas con los procesos de emprendimiento e innovación de la Universidad por periodo</t>
  </si>
  <si>
    <t>22I1</t>
  </si>
  <si>
    <t>Documento de política institucional para la  formalización de procesos institucionales de permanencia, inclusión y accesibilidad para la promoción del derecho a la educación de la comunidad universitaria a través de una</t>
  </si>
  <si>
    <t>22I2</t>
  </si>
  <si>
    <t>Estrategias diseñadas e implementadas para fortalecer la permanencia, la inclusión y la accesibilidad de estudiantes y profesores de los grupos priorizados en los Linemientos de Política de Educación Superior Inclusiva (discapacidad, afro, indígenas, disidentes sexuales...)</t>
  </si>
  <si>
    <t>22I3</t>
  </si>
  <si>
    <t>Acciones de fortalecimiento académico y trabajo en red diseñadas e implementadas para la permanencia de estudiantes y profesores</t>
  </si>
  <si>
    <t>23I1</t>
  </si>
  <si>
    <t>% de avance del estudio de analisis de factores de permanencia</t>
  </si>
  <si>
    <t>23I2</t>
  </si>
  <si>
    <t>% de avance sobre las estrategias para la permanencia estudiantil</t>
  </si>
  <si>
    <t>23I3</t>
  </si>
  <si>
    <t>% de avance de identificación de fuentes de financiación externa</t>
  </si>
  <si>
    <t>24I1</t>
  </si>
  <si>
    <t>% de estudiantes, profesores y empleados beneficiarios de programas y servicios de BU por sede o seccional.</t>
  </si>
  <si>
    <t>24I2</t>
  </si>
  <si>
    <t>% de estudiantes de pregrado y posgrado beneficiarios de los programas y servicios de bienestar que permanecen o se graduan.</t>
  </si>
  <si>
    <t>24I3</t>
  </si>
  <si>
    <t># de sedes vinculadas al proceso de planeación, implementación y evaluación de servicios adaptados para sus nichos académicos</t>
  </si>
  <si>
    <t>25I1</t>
  </si>
  <si>
    <t xml:space="preserve">Porcentaje de empleados vinculados por concurso en carrera administrativa </t>
  </si>
  <si>
    <t>26I1</t>
  </si>
  <si>
    <t>Porcentaje de implementación de teletrabajo</t>
  </si>
  <si>
    <t>26I2</t>
  </si>
  <si>
    <t>Porcentaje planificación y retroalimentación de la labor</t>
  </si>
  <si>
    <t>27I1</t>
  </si>
  <si>
    <t>Porcentaje de temas priorizados que se actualizan</t>
  </si>
  <si>
    <t>28I1</t>
  </si>
  <si>
    <t>29I1</t>
  </si>
  <si>
    <t>Ciclos de debates públicos</t>
  </si>
  <si>
    <t>29I2</t>
  </si>
  <si>
    <t xml:space="preserve">Talleres  intensivos  (cada uno con 3 encuentros)  </t>
  </si>
  <si>
    <t>29I3</t>
  </si>
  <si>
    <t xml:space="preserve">Votaciones en consultas y elecciones </t>
  </si>
  <si>
    <t>30I1</t>
  </si>
  <si>
    <t>Libros de colección publicados</t>
  </si>
  <si>
    <t>30I2</t>
  </si>
  <si>
    <t xml:space="preserve">Eventos de divulgación sobre resolución de conflictos </t>
  </si>
  <si>
    <t>30I3</t>
  </si>
  <si>
    <t xml:space="preserve">Material didáctico publicado sobre resolución de conflictos </t>
  </si>
  <si>
    <t>31I1</t>
  </si>
  <si>
    <t>Número de procesos académicos administrativos nuevos o actualizados prioritarios</t>
  </si>
  <si>
    <t>31I2</t>
  </si>
  <si>
    <t>Grado de satisfacción de los usuarios</t>
  </si>
  <si>
    <t>31I3</t>
  </si>
  <si>
    <t>Nivel de optimización de recursos en los procesos académicos o administrativos intervenidos</t>
  </si>
  <si>
    <t>32I1</t>
  </si>
  <si>
    <t xml:space="preserve">Porcentaje de avance de la descentralización administrativa en las Seccionales de Oriente y Bajo Cauca  </t>
  </si>
  <si>
    <t>33I1</t>
  </si>
  <si>
    <t xml:space="preserve">Nivel de madurez de la implementación del sistema de evaluación de la comunicación en la UdeA </t>
  </si>
  <si>
    <t>34I1</t>
  </si>
  <si>
    <t>Indicador de Conocimiento (% de retención del mensaje)</t>
  </si>
  <si>
    <t>34I2</t>
  </si>
  <si>
    <t>% de aplicación de Autocontrol</t>
  </si>
  <si>
    <t>35I1</t>
  </si>
  <si>
    <t>Número de métricas identificadas e implementadas para el sistema por período</t>
  </si>
  <si>
    <t>36I1</t>
  </si>
  <si>
    <t>Número de nuevas actividades virtuales implementadas</t>
  </si>
  <si>
    <t>36I2</t>
  </si>
  <si>
    <t>Número de sistemas/plataformas tecnológicas actualizados o mejorados</t>
  </si>
  <si>
    <t>37I1</t>
  </si>
  <si>
    <t>Porcentaje de Necesidades cubiertas en el sistema de gestión académico</t>
  </si>
  <si>
    <t>37I2</t>
  </si>
  <si>
    <t>Porcentaje de Necesidades cubiertas en el sistema de gestión de talento humano</t>
  </si>
  <si>
    <t>37I3</t>
  </si>
  <si>
    <t>Sistema de información para la planificación universitaria implementado</t>
  </si>
  <si>
    <t>37I4</t>
  </si>
  <si>
    <t>Modulos web modernizados y ejecutandose en plataforma WAS por período</t>
  </si>
  <si>
    <t>37I5</t>
  </si>
  <si>
    <t>Número de capacitaciones realizadas en las tecnologias actuales requeridas para dar continuidad al mantenimiento y soporte del software que lo requiera, por periodo.</t>
  </si>
  <si>
    <t>37I6</t>
  </si>
  <si>
    <t>Número de políticas avaladas</t>
  </si>
  <si>
    <t>38I1</t>
  </si>
  <si>
    <t>Cantidad de documentos procesados</t>
  </si>
  <si>
    <t>39I1</t>
  </si>
  <si>
    <t>Capacidad de almacenamiento actualizada para virtualización y bases de datos</t>
  </si>
  <si>
    <t>39I2</t>
  </si>
  <si>
    <t>Capacidad de procesamiento actualizada para virtualización y bases de datos</t>
  </si>
  <si>
    <t>39I3</t>
  </si>
  <si>
    <t>Capacidad de memoria actualizada  para virtualización  y bases de datos</t>
  </si>
  <si>
    <t>39I4</t>
  </si>
  <si>
    <t>Funcionarios capacitados en tecnologías de virtualización</t>
  </si>
  <si>
    <t>39I5</t>
  </si>
  <si>
    <t>Funcionarios capacitados en nuevas funcionalidades de bases de datos</t>
  </si>
  <si>
    <t>39I6</t>
  </si>
  <si>
    <t xml:space="preserve">Centros de datos con condiciones óptimas </t>
  </si>
  <si>
    <t>40I1</t>
  </si>
  <si>
    <t>Equipos Activos LAN en operación</t>
  </si>
  <si>
    <t>40I2</t>
  </si>
  <si>
    <t>Equipos Activos WLAN en operación</t>
  </si>
  <si>
    <t>40I3</t>
  </si>
  <si>
    <t>Piloto de producción implementado</t>
  </si>
  <si>
    <t>40I4</t>
  </si>
  <si>
    <t>Gabinetes de telecomunicaciones acondicionados</t>
  </si>
  <si>
    <t>40I5</t>
  </si>
  <si>
    <t>Centros de cableado acondicionados</t>
  </si>
  <si>
    <t>40I6</t>
  </si>
  <si>
    <t>Infraestructura de TI monitoreada de forma automatizada</t>
  </si>
  <si>
    <t>40I7</t>
  </si>
  <si>
    <t>Aplicaciones y servicios de TI monitoreadas de forma automatizada</t>
  </si>
  <si>
    <t>40I8</t>
  </si>
  <si>
    <t>Funcionarios capacitados en herramientas de monitoreo</t>
  </si>
  <si>
    <t>40I9</t>
  </si>
  <si>
    <t>Amenezas de seguridad gestionadas</t>
  </si>
  <si>
    <t>40I10</t>
  </si>
  <si>
    <t>Servidores y equipos de usario final gestionados en seguridad</t>
  </si>
  <si>
    <t>40I11</t>
  </si>
  <si>
    <t>Vulnerabilidades de seguridad gestionadas</t>
  </si>
  <si>
    <t>40I12</t>
  </si>
  <si>
    <t>Control de fuga de información</t>
  </si>
  <si>
    <t>40I13</t>
  </si>
  <si>
    <t>Eventos de seguridad gestionados</t>
  </si>
  <si>
    <t>41I1</t>
  </si>
  <si>
    <t>Número de documentos y planes diseñados y socializados para mejorar la accesibilidad web</t>
  </si>
  <si>
    <t>41I2</t>
  </si>
  <si>
    <t>Porcentaje de acciones implementadas en el portal desde lo técnico y desde la gestión de contenidos para mejorar la accesibilidad web</t>
  </si>
  <si>
    <t>41I3</t>
  </si>
  <si>
    <t>Porcentaje de contenidos y aplicaciones que cumplen la normativa de accesibilidad web y responden a una adecuada experiencia de usuario</t>
  </si>
  <si>
    <t>42I1</t>
  </si>
  <si>
    <t>Número de dashboard publicados en el portal universitario, micrositio de Data UdeA</t>
  </si>
  <si>
    <t>42I2</t>
  </si>
  <si>
    <t>Número de dashboard publicados en tableau server para uso interno</t>
  </si>
  <si>
    <t>42I3</t>
  </si>
  <si>
    <t>Número de informes, estudios sobre la gestión institucional o de entorno realizados</t>
  </si>
  <si>
    <t>43I1</t>
  </si>
  <si>
    <t>Porcentaje de ejecución del proyecto</t>
  </si>
  <si>
    <t>44I1</t>
  </si>
  <si>
    <t xml:space="preserve">Espacios intervenidos.
</t>
  </si>
  <si>
    <t>44I2</t>
  </si>
  <si>
    <t xml:space="preserve">Cantidad de instrumentos instalados </t>
  </si>
  <si>
    <t>44I3</t>
  </si>
  <si>
    <t xml:space="preserve">Capacitación sobre conservación 
</t>
  </si>
  <si>
    <t>45I1</t>
  </si>
  <si>
    <t>Fases ejecutadas de diseño y puesta en funcionamiento de la plataforma</t>
  </si>
  <si>
    <t>45I2</t>
  </si>
  <si>
    <t>Número de títulos ofertados según la cantidad existente en el catalogo digital e impreso</t>
  </si>
  <si>
    <t>46I1</t>
  </si>
  <si>
    <t>número de documentos digitalizados e indexados</t>
  </si>
  <si>
    <t>47I1</t>
  </si>
  <si>
    <t>M2 construídos para el bloque 49 de la Ciudadela Robledo</t>
  </si>
  <si>
    <t>48I1</t>
  </si>
  <si>
    <t>M2 construídos para la nueva sede de la FNSP</t>
  </si>
  <si>
    <t>49I1</t>
  </si>
  <si>
    <t>M2 construídos y adecuados en la infraestructura universitaria</t>
  </si>
  <si>
    <t>50I1</t>
  </si>
  <si>
    <t>Apropiación del modelo al interior de la Universidad  (conocimiento, reconocimiento y aplicación de las dependencias)</t>
  </si>
  <si>
    <t>50I2</t>
  </si>
  <si>
    <t xml:space="preserve">Actores territoriales informados sobre el modelo de interacción y relacionamiento universitario para la actuación glocal </t>
  </si>
  <si>
    <t>50I3</t>
  </si>
  <si>
    <t xml:space="preserve">Ejecución de las acciones proyectadas en el Plan (participación de actores territoriales y dependencias universitarias) </t>
  </si>
  <si>
    <t>51I1</t>
  </si>
  <si>
    <t>Número de participantes en el plan de capacitación y formación en
diversidad</t>
  </si>
  <si>
    <t>51I2</t>
  </si>
  <si>
    <t>Participación de comunidad universitaria  en oferta inclusiva</t>
  </si>
  <si>
    <t>51I3</t>
  </si>
  <si>
    <t>Número de acciones de la estrategia de comunicación para la diversidad</t>
  </si>
  <si>
    <t>52I1</t>
  </si>
  <si>
    <t>Investigación</t>
  </si>
  <si>
    <t>52I2</t>
  </si>
  <si>
    <t>Prevención y promoción</t>
  </si>
  <si>
    <t>52I3</t>
  </si>
  <si>
    <t xml:space="preserve">Sistema de vigilancia </t>
  </si>
  <si>
    <t>53I1</t>
  </si>
  <si>
    <t xml:space="preserve">Número de acciones por período para la conformación de un campus intergeneracional. </t>
  </si>
  <si>
    <t>53I2</t>
  </si>
  <si>
    <t>Alcance número de benficiarios del campus intergeneracional</t>
  </si>
  <si>
    <t>54I1</t>
  </si>
  <si>
    <t>Porcentaje de participación de la comunidad universitaria en los espacios de formación, reflexión y cocreación para la construcción de una cultura de paz y convivencia sana en la Universidad de Antioquia</t>
  </si>
  <si>
    <t>54I2</t>
  </si>
  <si>
    <t>Número de estrategias para la construcción de una cultura de paz y convivencia sana en la Universidad de Antioquia implementadas.</t>
  </si>
  <si>
    <t>54I3</t>
  </si>
  <si>
    <t>Número de documentos/acuerdos generados como producto de la puesta en común frente a situaciones que afectan la covivencia pacífica en la UdeA.</t>
  </si>
  <si>
    <t>55I1</t>
  </si>
  <si>
    <t>Comunidades acompañadas en procesos de construcción de paz con enfoque territorial.</t>
  </si>
  <si>
    <t>55I2</t>
  </si>
  <si>
    <t>Espacios educativos, políticos y culturales implementados para la construcción de la paz interna en la Universidad</t>
  </si>
  <si>
    <t>56I1</t>
  </si>
  <si>
    <t>programas académicos  interdisciplinarios de formación ofertados , en la perspectiva de reflexión y construcción de paz (educación formal y continua)</t>
  </si>
  <si>
    <t>56I2</t>
  </si>
  <si>
    <t>libro publicado sobre los impactos del conflcto armado en la UdeA, como aporte a la construcción de memoria, esclarecimiento y la paz.</t>
  </si>
  <si>
    <t>56I3</t>
  </si>
  <si>
    <t>proyecto de investigación sobre la política pública de paz en Colombia, en asocio con otra IES</t>
  </si>
  <si>
    <t>57I1</t>
  </si>
  <si>
    <t xml:space="preserve">1 documento de lineamientos de política pública de construcción de paz de orden nacional </t>
  </si>
  <si>
    <t>58I1</t>
  </si>
  <si>
    <t>Número de rutas creadas y/o fortalecidas para la formación y el acompañamiento virtual, dirigidos a los productores, emprendedores del agro y la comunidad en general del departamento de Antioquia</t>
  </si>
  <si>
    <t>58I2</t>
  </si>
  <si>
    <t>Número de plataformas tecnológicas desarrolladas, para la gestión de la información y la comunicaciones del sector agropecuario en Antioquia.</t>
  </si>
  <si>
    <t>59I1</t>
  </si>
  <si>
    <t xml:space="preserve">
Espacios de formación desde y para el buen vivir</t>
  </si>
  <si>
    <t>59I2</t>
  </si>
  <si>
    <t xml:space="preserve">Encuesta de Valores UdeA para lel buen vivir
</t>
  </si>
  <si>
    <t>59I3</t>
  </si>
  <si>
    <t>Acciones educomunicativas que promocionen y formen en Buen Vivir</t>
  </si>
  <si>
    <t>60I1</t>
  </si>
  <si>
    <t xml:space="preserve">Campañas internas y externas para fortalecer los saberes sobre sostenibilidad en la institución y en los territorios </t>
  </si>
  <si>
    <t>60I2</t>
  </si>
  <si>
    <t xml:space="preserve">Capacitación teórico - práctica a la comunidad universitaria y/o actores regionales sobre sostenibilidad, agroecológica y seguridad alimentaria. </t>
  </si>
  <si>
    <t>60I3</t>
  </si>
  <si>
    <t>Encuentros de investigación y extensión por cada región enfocadas en la sostenibilidad territorial</t>
  </si>
  <si>
    <t>61I1</t>
  </si>
  <si>
    <t xml:space="preserve">Número de actividades de formación y capacitación en promoción de la salud física y mental </t>
  </si>
  <si>
    <t>61I2</t>
  </si>
  <si>
    <t xml:space="preserve">Número de alertas sobre el estado de salud fisica y mental de los estudiantes de pregrado identificadas y gestionadas.    </t>
  </si>
  <si>
    <t>61I3</t>
  </si>
  <si>
    <t>Número de beneficiarios de la oferta de Bienestar Saludable.</t>
  </si>
  <si>
    <t>61I4</t>
  </si>
  <si>
    <t>Nuevos puntos de venta saludables implementados</t>
  </si>
  <si>
    <t>62I1</t>
  </si>
  <si>
    <t>Formulación y proposición de la política de Sostenibilidad y del Sistema de Gestión Ambiental ante las autoridades universitarias para su adopción.</t>
  </si>
  <si>
    <t>62I2</t>
  </si>
  <si>
    <t>Definición de la estrategia de  Sostenibilidad, del Sistema de Gestión Ambiental ante las autoridades universitarias para su adopción.</t>
  </si>
  <si>
    <t>62I3</t>
  </si>
  <si>
    <t>Formulación del Plan de Manejo Integral de Residuos Institucional para su adopción.</t>
  </si>
  <si>
    <t>65I1</t>
  </si>
  <si>
    <t>Porcentaje de avance en los estudios de prefactibilidad del Centro de Pensamiento y Creación Contemporánea MUUA</t>
  </si>
  <si>
    <t>65I2</t>
  </si>
  <si>
    <t>Porcentaje de avance sobre el reconocimientos como Centro de Ciencia para el Museo Universitario</t>
  </si>
  <si>
    <t>66I1</t>
  </si>
  <si>
    <t>Porcentaje en el avance del montaje del laboratorio de conservación y restauración Fase 1</t>
  </si>
  <si>
    <t>66I2</t>
  </si>
  <si>
    <t xml:space="preserve">Número de acciones para la protección de los patrimonios de los Museos UdeA		</t>
  </si>
  <si>
    <t>Reporte 2021 
Semestre 2</t>
  </si>
  <si>
    <t>Porcentaje avance 2021 
Semestre 2</t>
  </si>
  <si>
    <t>Reporte 2022
Semestre 1</t>
  </si>
  <si>
    <t>Porcentaje de cumplimiento de la meta anual al semestre 1 de 2022
Semestre 1</t>
  </si>
  <si>
    <t>Reporte 2022
Semestre 2</t>
  </si>
  <si>
    <t xml:space="preserve">Porcentaje avance 2022
Semestre 2 </t>
  </si>
  <si>
    <t>Reporte 2023
Semestre 1</t>
  </si>
  <si>
    <t xml:space="preserve">Porcentaje avance 2023
Semestre 1 </t>
  </si>
  <si>
    <t>Reporte 2023
Semestre 2</t>
  </si>
  <si>
    <t>Porcentaje avance 2023
Semestre 2</t>
  </si>
  <si>
    <t>Reporte 2024
Semestre 1</t>
  </si>
  <si>
    <t>Porcentaje avance 2024
Semestre 1</t>
  </si>
  <si>
    <t>Reporte 2024
Semestre 2</t>
  </si>
  <si>
    <t>Porcentaje avance 2024
Semestre 2</t>
  </si>
  <si>
    <t>Reporte
Trienio</t>
  </si>
  <si>
    <t>Porcentaje avance Trienio</t>
  </si>
  <si>
    <t>Nombre del proyecto</t>
  </si>
  <si>
    <t>Objetivo general del proyecto</t>
  </si>
  <si>
    <t>Versión del proyecto</t>
  </si>
  <si>
    <t>Nombre del líder del proyecto</t>
  </si>
  <si>
    <t>Empleo del líder del proyecto</t>
  </si>
  <si>
    <t>Correo del líder del proyecto</t>
  </si>
  <si>
    <t>Fecha de inicio</t>
  </si>
  <si>
    <t>Fecha de finalización</t>
  </si>
  <si>
    <t>Costo total</t>
  </si>
  <si>
    <t>¿Requiere recursos de inversión?</t>
  </si>
  <si>
    <t>Código IVA</t>
  </si>
  <si>
    <t>Código Estampilla</t>
  </si>
  <si>
    <t>Código PFC 2021</t>
  </si>
  <si>
    <t>Código PFC 2022</t>
  </si>
  <si>
    <t>Armonización de currículos con adaptabilidad a las nuevas condiciones internacionales en lo educativo</t>
  </si>
  <si>
    <t>Diseñar la ruta metodológica para que los programas académicos de pregrado implementen la armonización curricular acorde a las nuevas condiciones del contexto global</t>
  </si>
  <si>
    <t>Vicerrectoría de Docencia</t>
  </si>
  <si>
    <t>Mauricio Múnera Gómez</t>
  </si>
  <si>
    <t>Coordinador Unidad de Asuntos Curriculares</t>
  </si>
  <si>
    <t>coordinacionasuntoscurriculares@udea.edu.co</t>
  </si>
  <si>
    <t>Consolidación de la Unidad de Estudios Pedagógicos en Educación Superior</t>
  </si>
  <si>
    <t xml:space="preserve">Consolidar la Unidad de Estudios Pedagógicos en Educación Superior de la Universidad de Antioquia mediante estrategias de formación docente, investigación y articulación entre las distintas Unidades Académicas </t>
  </si>
  <si>
    <t>Diego Leandro Garzón Agudelo</t>
  </si>
  <si>
    <t>Coordinador de Programa de Desarrollo Docente</t>
  </si>
  <si>
    <t>leandro.garzon@udea.edu.co</t>
  </si>
  <si>
    <t>Apropiación de la cultura de la autoevaluación y autorregulación para la Universidad de Antioquia</t>
  </si>
  <si>
    <t>Apropiar la cultura de la autoevaluación y autorregulación por parte de la comunidad académica y universitaria de la Universidad de Antioquia</t>
  </si>
  <si>
    <t>Luz Elena Romero Rodríguez</t>
  </si>
  <si>
    <t>Libre nombramiento y remocion</t>
  </si>
  <si>
    <t>acreditacionpregrados@udea.edu.co</t>
  </si>
  <si>
    <t>Fortalecimiento de una cultura digital humanizada en los ejes misionales de docencia, investigación y extensión en la UdeA</t>
  </si>
  <si>
    <t>Fortalecer una cultura digital con perspectiva humanística en los estamentos universitarios, que contribuya a la formulación, creación y el desarrollo de nuevas ofertas en el ámbito de la educación virtual y apoyo a la presencialidad, a nivel de pregrado, posgrado, y educación continua y rescate el sentido humano de las mediaciones e interacciones entre los integrantes de la comunidad universitaria y las comunidades locales y regionales.</t>
  </si>
  <si>
    <t>Doris Adriana Ramírez Salazar</t>
  </si>
  <si>
    <t>Coordinadora Ude@ Educación Virtual</t>
  </si>
  <si>
    <t>coordinacionude@udea.edu.co</t>
  </si>
  <si>
    <t xml:space="preserve">Colaboratorios y Comunidades de aprendizaje en torno a la innovación educativa en la Universidad de Antioquia </t>
  </si>
  <si>
    <t>Consolidar comunidades de aprendizaje y colaboratorios alrededor de la innovación educativa y la apropiación de los medios y las tecnologías digitales en los procesos de formación de la educación superior, a partir de la actualización de la enseñanza, el aprendizaje y la investigación, desde perspectivas críticas y humanistas, que reconozcan a la comunidad universitaria en su diversidad cognitiva, social y cultural.</t>
  </si>
  <si>
    <t>coordinacionude@udea.edu.co, hernando.lopera@udea.edu.co</t>
  </si>
  <si>
    <t>Sí</t>
  </si>
  <si>
    <t xml:space="preserve">Formalización e Implementación del Proyecto Educativo Institucional </t>
  </si>
  <si>
    <t>Formalizar el documento con las instancias académicas - administrativas y socializarlo con toda la comunidad universitaria e iniciar su implementación a nivel central y en las Unidades Académicas.</t>
  </si>
  <si>
    <t>María Isabel Duque Roldan</t>
  </si>
  <si>
    <t>Asistente Vicerrectoría de Docencia</t>
  </si>
  <si>
    <t>asisdocencia@udea.edu.co</t>
  </si>
  <si>
    <t>Fortalecimiento de la virtualidad en el desarrollo de los programas de  posgrado a nivel de especialización y maestría</t>
  </si>
  <si>
    <t>Fortalecer la virtualidad en el desarrollo de los programas de  posgrado a nivel de especialización y maestría</t>
  </si>
  <si>
    <t>Dirección de Posgrado</t>
  </si>
  <si>
    <t>Carlos Mario Pérez Rengifo</t>
  </si>
  <si>
    <t>Asistente de Dirección</t>
  </si>
  <si>
    <t>carlos.perez@udea.edu.co</t>
  </si>
  <si>
    <t>Implementación de un sistema de gestión integral para los archivos especiales de los medios de comunicación de la Universidad de Antioquia. Fase I</t>
  </si>
  <si>
    <t>Fortalecer la gestión documental de los archivos especiales generados por los medios intitucionales para garantizar su organización, acceso y preservación</t>
  </si>
  <si>
    <t>Dirección de Comunicaciones</t>
  </si>
  <si>
    <t>Beatriz Elena Mejía Mejía</t>
  </si>
  <si>
    <t>Jefa División Sistema de Radio Universitaria</t>
  </si>
  <si>
    <t>beatriz.mejia@udea.edu.co</t>
  </si>
  <si>
    <t>Defición de una ruta estratégica de comunicaciones para  la promoción de los programas de posgrado y la divulgación de los resultados de formación</t>
  </si>
  <si>
    <t xml:space="preserve">Definir la ruta estrategica  de comunicación para la promocion de los programas de posgrado y la divulgación de los resultados de formación.  </t>
  </si>
  <si>
    <t>Eliana Milena Valencia Cuervo</t>
  </si>
  <si>
    <t>Profesional 2</t>
  </si>
  <si>
    <t>acreditacionposgrados@udea.edu.co</t>
  </si>
  <si>
    <t>Relacionamiento estrategico regional, nacional e internacional de la Universidad de Antioquia</t>
  </si>
  <si>
    <t>Articular relacionamientos estratégicos en diferentes ámbitos y contextos, para el reconocimiento de la institución como un actor protagónico en la gestión de la internacionalización en investigación, extensión, e innovación universitarias.</t>
  </si>
  <si>
    <t>Dirección de Relaciones Internacionales</t>
  </si>
  <si>
    <t>Juan Camilo Gaviria García</t>
  </si>
  <si>
    <t>Asesor en Cooperación Científica</t>
  </si>
  <si>
    <t>investigacioninter@udea.edu.co</t>
  </si>
  <si>
    <t>Fortalecimiento y fomento de capacidades en internacionalización, interculturalidad y ciudadanía global en la Universidad de Antioquia</t>
  </si>
  <si>
    <t>Integrar iniciativas institucionales de desarrollo de competencias internacionales y de ciudadanía intercultural y global de todos los actores de la comunidad universitaria.</t>
  </si>
  <si>
    <t>Laura García Restrepo</t>
  </si>
  <si>
    <t>Coordinadora de Cooperación Académica</t>
  </si>
  <si>
    <t>academicointer@udea.edu.co</t>
  </si>
  <si>
    <t>La articulación de las prácticas académicas: una interacción con el mundo.</t>
  </si>
  <si>
    <t>Articular las prácticas académicas de diferentes disciplinas y profesiones con actores institucionales y comunitarios, posibilitando el desarrollo de los ejes misionales de la Universidad en respuesta a las realidades sociales de los territorios.</t>
  </si>
  <si>
    <t>Amador Herney Rúa Arias</t>
  </si>
  <si>
    <t>Temporal</t>
  </si>
  <si>
    <t>practicasacademicas@udea.edu.co</t>
  </si>
  <si>
    <t>Consolidación de Nichos Académicos en Regiones</t>
  </si>
  <si>
    <t>Fortalecer la articulación entre los ejes misionales, los actores universitarios y los territorios que favorezcan la consolidación de nichos académicos en las regiones donde la Universidad tiene presencia</t>
  </si>
  <si>
    <t>Dirección de Regionalización</t>
  </si>
  <si>
    <t>Gloria Maria Ceballos Maya</t>
  </si>
  <si>
    <t>Coordinadora Administrativa de Regionalización</t>
  </si>
  <si>
    <t>gloria.ceballos@udea.edu.co</t>
  </si>
  <si>
    <t>Proyección institucional de la oferta de educación no formal de la Universidad de Antioquia</t>
  </si>
  <si>
    <t>Implementar una estrategia de comunicación integrada de marketing para el posicionamiento de la oferta de educación no formal de la Universidad de Antioquia</t>
  </si>
  <si>
    <t>Vicerrectoría de Extensión</t>
  </si>
  <si>
    <t>Eduan Giovany Moreno Oliveros</t>
  </si>
  <si>
    <t>Coordinador Administrativo</t>
  </si>
  <si>
    <t>educacion.continua@udea.edu.co</t>
  </si>
  <si>
    <t>Implementación de un sistema de relacionamiento en doble vía con los egresados</t>
  </si>
  <si>
    <t>Mejorar vínculos de cogobierno, realimentación y filantropía de los egresados con la Universidad</t>
  </si>
  <si>
    <t>Fredy Mauricio Gutierrez Alvarez</t>
  </si>
  <si>
    <t>Jefe División de Egresados</t>
  </si>
  <si>
    <t>jegresados@udea.edu.co</t>
  </si>
  <si>
    <t>Consolidación de un ecosistema para la comunicación pública de la ciencia que promueva y divulgue el conocimiento y el impacto social generado por la Universidad</t>
  </si>
  <si>
    <t>Fortalecer la gestión integral de la comunicación pública de la ciencia mediante un ecosistema que integre los actores, recursos y capacidades institucionales.</t>
  </si>
  <si>
    <t xml:space="preserve"> Luz Adriana Ruiz</t>
  </si>
  <si>
    <t>Jefe de la División de contenidos, medios y eventos</t>
  </si>
  <si>
    <t>ladriana.ruiz@udea.edu.co</t>
  </si>
  <si>
    <t xml:space="preserve">Formulación de una convocatoria basada en una agenda de creación e investigación </t>
  </si>
  <si>
    <t>Generar una propuesta de convocatoria para la presentación de proyectos de creación e investigación en la Universidad de Antioquia en torno a una agenda que permita consolidar una mirada inter/transdisciplinar y dar respuesta a necesidades de los territorios a diferentes escalas</t>
  </si>
  <si>
    <t>Vicerrectoría de Investigación</t>
  </si>
  <si>
    <t>Mónica Lorena Vargas B.</t>
  </si>
  <si>
    <t>Profesional de apoyo en procesos de formación</t>
  </si>
  <si>
    <t>lorena.vargas@udea.edu.co</t>
  </si>
  <si>
    <t>Renovación del sistema universitario para la creación y generación de conocimiento</t>
  </si>
  <si>
    <t>Actualizar las políticas,  la estructura  organica y  las  estrategías existentes  para  el mejoramiento de capacidades e infraestructura  del Sistema Universitario de Creación, Investigación e Innovación.</t>
  </si>
  <si>
    <t>Gloria Valencia Bustamante</t>
  </si>
  <si>
    <t>Asistente</t>
  </si>
  <si>
    <t>asisinvestigacion@udea.edu.co</t>
  </si>
  <si>
    <t>Democratización de la creación, investigación e innovación a través de la comunicación pública de la ciencia, la apropiación social del conocimiento,  y la Ciencia Abierta en la Universidad de Antioquia</t>
  </si>
  <si>
    <t>Proponer una estructura asociada para la democratización y la comunicación pública de la ciencia, la apropiación social del conocimiento,  y la Ciencia Abierta con procesos claramente identificados en el sistema de investigación actual</t>
  </si>
  <si>
    <t>Andrea Giraldo Gómez</t>
  </si>
  <si>
    <t>Profesional de Apropiación Social del Conocimiento</t>
  </si>
  <si>
    <t>andrea.giraldo8@udea.edu.co</t>
  </si>
  <si>
    <t>Definición de estrategias para la permanencia de estudiantes en programas de posgrado</t>
  </si>
  <si>
    <t>Definir e implementar estrategias que permitan la permanencia estudiantil de los estudiantes de posgrados a partir del análisis de los factores asociados a ella y al rastreo de posibles fuentes de financiación externa</t>
  </si>
  <si>
    <t>Maria Eugenia Arcila</t>
  </si>
  <si>
    <t>eugenia.arcila@udea.edu.co</t>
  </si>
  <si>
    <t>Consolidación del Modelo de Bienestar Universitario en Regiones</t>
  </si>
  <si>
    <t>Fortalecer las capacidades y recursos (humanos y fisicos-infraestructura y dotación) para la implementación de los programas, proyectos y servicios que plantea el modelo de bienestar universitario de la Universidad de Antioquia, según las características, necesidades, deseos e idiosincrasia de cada región.</t>
  </si>
  <si>
    <t>Dirección de Bienestar Universitario</t>
  </si>
  <si>
    <t>Eliana María Ocampo Lopera</t>
  </si>
  <si>
    <t>Asistente Dirección Bienestar Universitario</t>
  </si>
  <si>
    <t>asisbienestar@udea.edu.co</t>
  </si>
  <si>
    <t>Realización de concursos públicos de méritos para empleos administrativos de la Universidad de Antioquia</t>
  </si>
  <si>
    <t>Fortalecer el régimen de carrera  administrativa  de la Universidad de Antioquia</t>
  </si>
  <si>
    <t>Vicerrectoría Administrativa</t>
  </si>
  <si>
    <t>Fred Danilo Palacio Villa</t>
  </si>
  <si>
    <t>Jefe División de Talento Humano</t>
  </si>
  <si>
    <t>jtalentohumano@udea.edu.co</t>
  </si>
  <si>
    <t>Depuración y compilación normativa</t>
  </si>
  <si>
    <t>Depuración y compilación de las normas que regulan el funcionamiento académico y administrativo de la Institución</t>
  </si>
  <si>
    <t>Dirección Jurídica</t>
  </si>
  <si>
    <t>Adriana Lucía Valderrama Patiño</t>
  </si>
  <si>
    <t>COORDINADOR 3 PROCESO ADMINISTRATIVO (Coordinador Jurídico)</t>
  </si>
  <si>
    <t>adriana.valderrama@udea.edu.co</t>
  </si>
  <si>
    <t>Actualización normativa de temas priorizados de interés universitario</t>
  </si>
  <si>
    <t>Actualizar la normativa universitaria en los temas priorizados, para sincronizarlos con las necesidades de la Institución y las condiciones del entorno</t>
  </si>
  <si>
    <t>Coordinadora 3 Proceso Administrativo (Coordinador Jurídico)</t>
  </si>
  <si>
    <t>Democracia y gobierno universitario: deliberación, debate y coconstrucción</t>
  </si>
  <si>
    <t>Ampliar los espacios para el conocimiento y reconocimiento de las formas y procesos de participación y representación universitarias</t>
  </si>
  <si>
    <t>Secretaría General</t>
  </si>
  <si>
    <t>Esteban Giraldo Moy</t>
  </si>
  <si>
    <t>Profesional de apoyo</t>
  </si>
  <si>
    <t>esteban.giraldom@udea.co</t>
  </si>
  <si>
    <t>Lo público, la ciudadanía y la convivencia en la Universidad: conocimiento
divulgación</t>
  </si>
  <si>
    <t>Difundir conocimieto, experiencias y prácticas  que resalten los valores de lo público, la ciudadanía y la convivencia</t>
  </si>
  <si>
    <t>Juan Camilo Mejía Walker</t>
  </si>
  <si>
    <t xml:space="preserve">Coordinador Unidad para la Resolución de Conflictos </t>
  </si>
  <si>
    <t>resolvamos.conflictos@udea.edu.co</t>
  </si>
  <si>
    <t>Innovación de procesos académicos y administrativos priorizados como acción para enfrentar los retos de la postpandemía.</t>
  </si>
  <si>
    <t>Incrementar la competitividad de los procesos académicos y administrativos de la Universidad que inciden en el desarrollo laboral del personal, la adopción de tecnologías que requieran y la incorporación de mejoras, transformaciones e innovaciones en los procesos.</t>
  </si>
  <si>
    <t>Dirección de Planeación y Desarrollo Institucional</t>
  </si>
  <si>
    <t>Hugo Andrés Mera Garzón</t>
  </si>
  <si>
    <t>Analista de procesos</t>
  </si>
  <si>
    <t>hugo.mera@udea.edu.co</t>
  </si>
  <si>
    <t>Descentralización y autonomía administrativa de algunas sedes regionales</t>
  </si>
  <si>
    <t xml:space="preserve">Lograr un nivel de autonomia administrativa en las seccionales y sedes que permita ser mas eficientes y eficaces en el proceso de descentralización de la educación superior. </t>
  </si>
  <si>
    <t>Gladis Adriana Aristizabal Montoya</t>
  </si>
  <si>
    <t xml:space="preserve">Asistente de la Dirección de Regionalización </t>
  </si>
  <si>
    <t>asisregionalzación@udea.edu.co</t>
  </si>
  <si>
    <t>Fortalecer el Sistema de Control Interno enfocados en la estrategía, riesgos y control, que corresponden a sus tres lineas de defensa.</t>
  </si>
  <si>
    <t>Oficina de Auditoría Institucional</t>
  </si>
  <si>
    <t>Juan Esteban Arias Jiménez</t>
  </si>
  <si>
    <t>Analista Auditor</t>
  </si>
  <si>
    <t>juan.ariasj@udea.edu.co</t>
  </si>
  <si>
    <t>Implementación de un sistema de evaluación y seguimiento de la política y los programas de la RSU de la universidad de Antioquia</t>
  </si>
  <si>
    <t xml:space="preserve">Diseñar e implementar un sistema de evaluación y seguimiento del impacto de RSU </t>
  </si>
  <si>
    <t>Mónica Isabel Palacio Salazar</t>
  </si>
  <si>
    <t>Coordinadora de Responsabilidad Social y Extensión Solidaria</t>
  </si>
  <si>
    <t>monica.palacio@udea.edu.co</t>
  </si>
  <si>
    <t>Bienestar en Línea</t>
  </si>
  <si>
    <t>Fortalecer la oferta virtual de Bienestar Universitario a través de las TIC para profesores, empleados, jubilados y estudiantes según sus condiciones de tiempo y ubicación particulares.</t>
  </si>
  <si>
    <t>Santiago Salazar Salazar</t>
  </si>
  <si>
    <t>Coordinador</t>
  </si>
  <si>
    <t>santiago.salazars@udea.edu.co</t>
  </si>
  <si>
    <t>Fortalecimiento de las capacidades físicas y de Tecnologías de Información y Comunicaciones</t>
  </si>
  <si>
    <t>Fortalecer las capacidades físicas y de Tecnologías de Información y Comunicaciones para garantizar la oportunidad,  continuidad y desarrollo de los servicios telemáticos en la Universidad de Antioquia</t>
  </si>
  <si>
    <t>Diego Armando Londoño Tobón</t>
  </si>
  <si>
    <t>Ingeniero de Telecomunicaciones</t>
  </si>
  <si>
    <t>diego.londono@udea.edu.co</t>
  </si>
  <si>
    <t>Actualización de la plataforma de Telecomunicaciones de la Universidad de Antioquia - Fase 1</t>
  </si>
  <si>
    <t>Fortalecer las capacidades en infraestructura de red de telecomunicaciones, seguridad y monitoreo, para garantizar la oportunidad,  continuidad y desarrollo de los servicios telemáticos en la Universidad de Antioquia</t>
  </si>
  <si>
    <t>Margarita María Londoño Ruiz</t>
  </si>
  <si>
    <t>Ingeniera de Comunicaciones</t>
  </si>
  <si>
    <t>margarita.londonor@udea.edu.co</t>
  </si>
  <si>
    <t>Fortalecimiento de las capacidades de analítica de datos para la gestión universitaria</t>
  </si>
  <si>
    <t>Fortalecer el uso de información para darle el suficiente valor a fin de poder describir y predecir permanentemente el comportamiento de la gestión institucional y del contexto universitario.</t>
  </si>
  <si>
    <t>Sol Mery Álvarez Argaez</t>
  </si>
  <si>
    <t>Analista</t>
  </si>
  <si>
    <t>sol.alvarez@udea.edu.co</t>
  </si>
  <si>
    <t>Modernización de Tecnologías Informáticas del Sistema de Bibliotecas (2a Fase)</t>
  </si>
  <si>
    <t>Mejorar la infraestructura tecnológica para la prestación de los servicios bibliográficos a los usuarios del Sistema de Bibliotecas</t>
  </si>
  <si>
    <t>Luis Hernando Lopera Lopera</t>
  </si>
  <si>
    <t>Director departamento de Bibliotecas</t>
  </si>
  <si>
    <t>hernando.lopera@udea.edu.co</t>
  </si>
  <si>
    <t>Implementación de un Sistema integrado de conservación de archivos para la Universidad de Antioquia</t>
  </si>
  <si>
    <t xml:space="preserve">  Lograr en la Universidad garantias para la conservación y preservación a largo plazo de los documentos físicos y electrónicos en los archivos de gestión, central e histórico y en el Datacenter acorde con la normaividad vigente sobre la materia. </t>
  </si>
  <si>
    <t>Olga Inés Gómez Zuluaga</t>
  </si>
  <si>
    <t>Jefe División Gestión Documental</t>
  </si>
  <si>
    <t>ines.gomez@udea.edu.co</t>
  </si>
  <si>
    <t>Canal de distribución y venta de libros digitales e impresos</t>
  </si>
  <si>
    <t>Fortalecer la distribución y venta de libros digitales e impresos</t>
  </si>
  <si>
    <t>Gloria Patricia Nieto Nieto</t>
  </si>
  <si>
    <t>Jefe Departamento de Publicaciones</t>
  </si>
  <si>
    <t>jpublicaciones@udea.edu.co</t>
  </si>
  <si>
    <t>Salvaguarda de historias academicas y documentos que reposan en el archivo historico de la Universidad</t>
  </si>
  <si>
    <t xml:space="preserve">Consolidar la salvaguarda de las historias academicas y de la documentación historica que se encuentran en el archivo historico de la universidad  </t>
  </si>
  <si>
    <t>John Fernando Mesa Arias</t>
  </si>
  <si>
    <t>Coordinador Archivo Histórico</t>
  </si>
  <si>
    <t>jfernando.mesa@udea.edu.co</t>
  </si>
  <si>
    <t>“Ampliación de la infraestructura física de la Ciudadela Robledo con la contrucción del nuevo Bloque 49. ”</t>
  </si>
  <si>
    <t>Construir la ampliación de la infraestructura física educativa en la Ciudadela Robledo de la Universidad de Antioquia</t>
  </si>
  <si>
    <t>Maria Isabel Restrepo Restrepo</t>
  </si>
  <si>
    <t>Líder proceso de Diseño</t>
  </si>
  <si>
    <t>maria.restrepo30@udea.edu.co</t>
  </si>
  <si>
    <t>“Construcción de la Nueva Sede para la FacultadNacional de Salud Pública”</t>
  </si>
  <si>
    <t>Construir una nueva Sede para la Facultad Nacional de Salud Pública de la Universidad de Antioquia</t>
  </si>
  <si>
    <t>“Adaptabilidad de la infraestructura física a las dinámicas institucionales actuales, orientada a la versatilidad, la bioseguiridad y sostenibilidad de los ambientes de aprendizaje”</t>
  </si>
  <si>
    <t>Adaptar la infraestructura física a las dinámicas institucionales actuales, orientata a la versatilidad, la bioseguridad y sostenibilidad de los ambientes de aprendizaje</t>
  </si>
  <si>
    <t xml:space="preserve">Inserción territorial articulada para una universidad pluridiversa e incluyente, con presencia y participación glocal. </t>
  </si>
  <si>
    <t>Integrar las acciones que aporten a la inserción de las potencialidades de los territorios a las dinámicas universitarias, para promover relaciones positivas como una institución pluridiversa, con proyección glocal y comprensiva de las realidades actuales causadas por el Covid 19 en las regiones.</t>
  </si>
  <si>
    <t xml:space="preserve">Sandra Milena Restrepo </t>
  </si>
  <si>
    <t xml:space="preserve">Coordinadora de extensión regiones </t>
  </si>
  <si>
    <t xml:space="preserve">extensión regionalización@udea.edu.co </t>
  </si>
  <si>
    <t>Potenciando la diversidad</t>
  </si>
  <si>
    <t>Promover en la estructura de los programas estrategias y servicios de los departamentos de BU la incorporación de enfoques, perspectivas y metodologías inclusivas de diversidad, interculturales e interseccionales</t>
  </si>
  <si>
    <t xml:space="preserve">Sara Tobón Grajales </t>
  </si>
  <si>
    <t xml:space="preserve">Psicoorientadora </t>
  </si>
  <si>
    <t>sara.tobon@udea.edu.co</t>
  </si>
  <si>
    <t>Ejercicio praxiológico para la erradicación y la prevención de la discriminación y las violencias basadas en género, mediante la transformación colectiva del entorno universitario.</t>
  </si>
  <si>
    <t>Implimentar un instrumento de caracterización de la discriminación con énfasis en las VBG, que eventualmente permita hacer evaluación, seguimiento y los correctivos necesarios a la acción institucional que se aplica para su logro.</t>
  </si>
  <si>
    <t>Sara Yaneth Fernández Moreno</t>
  </si>
  <si>
    <t>Profesora Titular vinculada de Tiempo Completo a la FCSH</t>
  </si>
  <si>
    <t>sara.fernandez@udea.edu.co</t>
  </si>
  <si>
    <t>Campus de aprendizaje intergeneracional: consolidación de espacios de convivencia y experiencias - Versión 1
intergeneracionales universitarias.</t>
  </si>
  <si>
    <t>Generar un entorno de inclusión de los diferentes grupos poblacionales en el campus de la Universidad de Antioquia</t>
  </si>
  <si>
    <t>Hacia la construcción de una cultura de paz y convivencia sana en la Universidad de Antioquia que contribuya al bienestar institucional, a la vida en comunidad y a la formación integral.</t>
  </si>
  <si>
    <t>Generar estrategias integrales para la contrucción de paz en los campus universitarios, la autogestión del bienestar y el sentido de comunidad a través de las redes de apoyo familiar, social y académico, la cultura del cuidado y la adaptación de estudiantes, profesores(as) y empleados(as) durante su ciclo de vida.</t>
  </si>
  <si>
    <t>Liliana Marcela Ochoa Galeano</t>
  </si>
  <si>
    <t>Directora de Bienestar Universitario</t>
  </si>
  <si>
    <t>Paz al territorio: construcción social de la paz</t>
  </si>
  <si>
    <t xml:space="preserve">Profundizar y consoilidar el papel de la UdeA   en la promoción de la paz a través de la propuesta creativa y participativa de acciones, estrategias y espacios dirigidos a la posibilidad de ejercer de forma plena y segura los derechos humanos de todos los ciudadanos, con especial atención en las comunidades más vulnerables y vulneradas al igual que en la propia unuversidad.    </t>
  </si>
  <si>
    <t>Vicerrectoría General</t>
  </si>
  <si>
    <t>Hugo Alberto Buitrago Montoya</t>
  </si>
  <si>
    <t>Director de la Unidad Especial de Paz</t>
  </si>
  <si>
    <t>hugo.buitrago@udea.edu.co</t>
  </si>
  <si>
    <t>La paz como objeto de estudio</t>
  </si>
  <si>
    <t>Impulsar el diseño, actualización y oferta de programas académicos, de formación e investigación,  que problematicen la paz como objeto de conocimiento para la construcción de esta en escenarios académicos y sociales concretos</t>
  </si>
  <si>
    <t xml:space="preserve">Política pública y negociaciones de paz </t>
  </si>
  <si>
    <t xml:space="preserve">Promover la consolidación de condiciones sociales, económicas y políticas favorables para la construcción de la paz,  por medio de la solución política al conflicto armado interno y la resignificación de la gestión pública de las necesidades de los contextos de construcción de paz </t>
  </si>
  <si>
    <t>Semillas de conocimiento: aportes a la seguridad alimentaria, la sostenibilidad de iniciativas agropecuarias y los procesos de reconciliación y construcción de paz.</t>
  </si>
  <si>
    <t>Generar capacidades en CTeI que fortalezcan la seguridad alimentaria; la nutrición saludable; la generación de ingresos y el cuidado del medio ambiente como aporte a la construcción de paz en el departamento de Antioquia</t>
  </si>
  <si>
    <t>Claudia Patricia Nohavá Bravo</t>
  </si>
  <si>
    <t>Supernumerario Directivo 8</t>
  </si>
  <si>
    <t>directorcedait@udea.edu.co</t>
  </si>
  <si>
    <t>acecilia.sanchez@udea.edu.co</t>
  </si>
  <si>
    <t>Fortalecer el tejido relacional entre los miembros, estamentos y organizaciones de la comunidad universitaria y su entorno desde/para los el buen vivir-Universitario</t>
  </si>
  <si>
    <t>Ana Cecilia Sánchez Atehortúa</t>
  </si>
  <si>
    <t xml:space="preserve">Coordinadora Programa de Educación Flexible </t>
  </si>
  <si>
    <t>Consolidación de una Cultura Universitaria de la Sostenibilidad</t>
  </si>
  <si>
    <t xml:space="preserve">Fortalecer la cultura para el manejo sostenible de los recursos que impactamos con el quehacer académico y administrativo en las sedes y seccionales, y en los territorios, incluyendo la realidad actual por el Covid 19. </t>
  </si>
  <si>
    <t xml:space="preserve">Sara Maria Marquez </t>
  </si>
  <si>
    <t xml:space="preserve">Directora de la seccional Suroeste </t>
  </si>
  <si>
    <t>dirseccionalsuroeste@udea.edu.co sara.marquez@udea.edu.co</t>
  </si>
  <si>
    <t>Universidad Saludable</t>
  </si>
  <si>
    <t>Fortalecer las estrategias para la promoción de la  salud y la conservación del medio ambiente como condicionantes del bienestar de los integrantes de la comunidad Universitaria</t>
  </si>
  <si>
    <t>Erika Alejandra Cortes Tobar</t>
  </si>
  <si>
    <t>Jefe Departamento</t>
  </si>
  <si>
    <t>erika.cortes@udea.edu.co</t>
  </si>
  <si>
    <t xml:space="preserve">Formulación del proyecto de Sostenibilidad y Plan de Gestión Ambiental Institucional </t>
  </si>
  <si>
    <t>Formular la estrategia institucional de sostenibilidad unificada que integre los ejes misionales en el marco del desarrollo sostenible y los ODS.</t>
  </si>
  <si>
    <t>Ana Mercedes Montoya Restrepo</t>
  </si>
  <si>
    <t>Líder de Gestión Ambiental</t>
  </si>
  <si>
    <t>mercedes.montoya@udea.edu.co</t>
  </si>
  <si>
    <t>Prefactibilidad del Centro de Pensamiento y Creación Contemporánea MUUA,</t>
  </si>
  <si>
    <t>Fortalecer espacios físicos MUUA para los procesos encaminados a la apropiación social del conocimiento en los campos del patrimonio y la cultura</t>
  </si>
  <si>
    <t>Oscar Darío Roldán Alzate</t>
  </si>
  <si>
    <t>Jefe División de Cultura y Patrimonio</t>
  </si>
  <si>
    <t>jculturapatrimonio@udea.edu.co</t>
  </si>
  <si>
    <t>Patrimonios UdeA: Laboratorio de Restauración</t>
  </si>
  <si>
    <t>Impulsar la articulación en la planeación y acción institucional relacionada con la preservación, recuperación, divulgación y sostenimiento de los bienes, prácticas y paisajes patrimoniales universitarios</t>
  </si>
  <si>
    <t>Oscar Roldán-Alzate</t>
  </si>
  <si>
    <t>Jefe división cultura y patrimonio</t>
  </si>
  <si>
    <t>Modalidades educativas y sus integraciones curriculares</t>
  </si>
  <si>
    <t>Proponer estrategias para la generación de escenarios que permitan la flexibilizacion de los currículos y sus modalidades en el ámbito Nacional e Internacional</t>
  </si>
  <si>
    <t xml:space="preserve">Elvia María González Agudelo </t>
  </si>
  <si>
    <t xml:space="preserve">Vicerrectora de Docencia </t>
  </si>
  <si>
    <t>elvia.agudelo@udea.edu.co</t>
  </si>
  <si>
    <t>Diseño de un modelo de Gestión del Emprendimiento e innovación en la comunidad universitaria de la UdeA.</t>
  </si>
  <si>
    <t>Generar los mecanismos para el  fortalecimiento de las capacidades, estrategias y herramientas para  la apropiación de la gestión del emprendimiento y la innovación por parte de los actores de la comunidad universitaria.</t>
  </si>
  <si>
    <t>Robisson Cardona cano</t>
  </si>
  <si>
    <t>Jefe division de innovación</t>
  </si>
  <si>
    <t xml:space="preserve"> jinnovacion@udea.edu.co</t>
  </si>
  <si>
    <t>UJAMAA: Formalización de la permanencia, la inclusión y la accesibilidad universitaria con criterios de equidad y corresponsabilidad</t>
  </si>
  <si>
    <t>Contribuir a la formalización de procesos institucionales de permanencia, inclusión y accesibilidad para la promoción del derecho a la educación de la comunidad universitaria con criterios de equidad y corresponsabilidad en todas las sedes y seccionales.</t>
  </si>
  <si>
    <t>Elizabeth Ortega Roldán</t>
  </si>
  <si>
    <t>coordinadora permanencia universitaria</t>
  </si>
  <si>
    <t>permanencia@udea.edu.co</t>
  </si>
  <si>
    <t>Fortalecimiento de una nueva cultura de la labor universitaria</t>
  </si>
  <si>
    <t>Ejecutar estrategias educomunicativas, de flexibilidad, y de planificación de la labor tendientes a la consolidación de nuevos referentes de cultura de la labor universitaria</t>
  </si>
  <si>
    <t>Implementación de un sistema de evaluación y medición de la comunicación institucional para la Universidad de Antioquia (Fase 1)</t>
  </si>
  <si>
    <t>Implementar un sistema de evaluación de la comunicación en la UdeA de acuerdo con los objetivos y marco programático establecidos en la política y el Plan de Comunicación Institucional</t>
  </si>
  <si>
    <t>Mónica Andrea Álvarez Marín</t>
  </si>
  <si>
    <t>Profesional Temporal 1 (Profesional Contenidos Digitales)</t>
  </si>
  <si>
    <t>mandrea.alvarez@udea.edu.co</t>
  </si>
  <si>
    <t>Implementación y modernización de sistemas de informacion institucionales</t>
  </si>
  <si>
    <t>Fortalecer las capacidades humanas y tecnológicas del área que soporta los sistemas de información de apoyo a los procesos académico-administrativos de la Universidad de Antioquia</t>
  </si>
  <si>
    <t>Dennis Alexandra Marín</t>
  </si>
  <si>
    <t>Arquitecto de Software</t>
  </si>
  <si>
    <t>dennis.marin@udea.edu.co</t>
  </si>
  <si>
    <t>Consolidación del portal de la Universidad como el punto de acceso a la información, a los servicios y a los trámites institucionales</t>
  </si>
  <si>
    <t xml:space="preserve">Fortalecer el proceso de  interacción y acceso a la información en el portal web de la Universidad de Antioquia </t>
  </si>
  <si>
    <t>Andrés Felipe López Gómez</t>
  </si>
  <si>
    <t>Diseñador de software</t>
  </si>
  <si>
    <t>andres.lopez@udea.edu.co</t>
  </si>
  <si>
    <t>Aprende en línea (Fase I): Ambiente para la formación continua</t>
  </si>
  <si>
    <t>Implementar una plataforma para el aprendizaje en donde la comunidad pueda adquirir conocimiento y desarrollar habilidades en los temas de su interés, promoviendo de esta manera el aprendizaje a lo largo de la vida</t>
  </si>
  <si>
    <t>David Hernández García - Giovany Moreno</t>
  </si>
  <si>
    <t>Vicerrector Extensión</t>
  </si>
  <si>
    <t>viceextension@udea.edu.co, educacion.cotinua@udea.edu.co</t>
  </si>
  <si>
    <t>Nombre del indicador</t>
  </si>
  <si>
    <t>Peso</t>
  </si>
  <si>
    <t>Responsable seguimiento</t>
  </si>
  <si>
    <t>Contacto</t>
  </si>
  <si>
    <t>Año línea base</t>
  </si>
  <si>
    <t>Valor línea base</t>
  </si>
  <si>
    <t>Meta 2021</t>
  </si>
  <si>
    <t>Meta 2021 
Semestre 2</t>
  </si>
  <si>
    <t>Meta 2022
Semestre 1</t>
  </si>
  <si>
    <t>Meta 2022
Semestre 2</t>
  </si>
  <si>
    <t>Meta 2023
Semestre 1</t>
  </si>
  <si>
    <t>Meta 2023
Semestre 2</t>
  </si>
  <si>
    <t>Meta 2024
Semestre 1</t>
  </si>
  <si>
    <t>Meta 2024
Semestre 2</t>
  </si>
  <si>
    <t>Meta
Trienio</t>
  </si>
  <si>
    <t>Luz Elena Romero Rodriguez</t>
  </si>
  <si>
    <t>Diego Leandro Garzon</t>
  </si>
  <si>
    <t>Hernando Lopera</t>
  </si>
  <si>
    <t>isabel.duque@udea.edu.co</t>
  </si>
  <si>
    <t>Edilia Morales</t>
  </si>
  <si>
    <t>edilia.morales@udea.edu.co</t>
  </si>
  <si>
    <t>Angela María Quiroz M.</t>
  </si>
  <si>
    <t>angela.quiros@udea.edu.co</t>
  </si>
  <si>
    <t>Juan Camilo Gaviria</t>
  </si>
  <si>
    <t xml:space="preserve">Juan Fernando Rivera </t>
  </si>
  <si>
    <t>cooperacioninter@udea.edu.co</t>
  </si>
  <si>
    <t>Gloria Ceballos</t>
  </si>
  <si>
    <t>Mauricio Gutiérrez / Camilo Serrano / Maria Eugenia Ramirez</t>
  </si>
  <si>
    <t xml:space="preserve">Mauricio Gutiérrez </t>
  </si>
  <si>
    <t>Luz Adriana Ruiz Marín</t>
  </si>
  <si>
    <t>Mónica Vargas</t>
  </si>
  <si>
    <t xml:space="preserve">lorena.vargas@udea.edu.co </t>
  </si>
  <si>
    <t>Gloria Valencia</t>
  </si>
  <si>
    <t xml:space="preserve">Mauricio Toro </t>
  </si>
  <si>
    <t>tramitesinvestigacion@udea.edu.co,</t>
  </si>
  <si>
    <t>Andrea Giraldo</t>
  </si>
  <si>
    <t xml:space="preserve">andrea.giraldo8@udea.edu.co </t>
  </si>
  <si>
    <t>Andres Guzman</t>
  </si>
  <si>
    <t xml:space="preserve">gestionrevistasvi@udea.edu.co </t>
  </si>
  <si>
    <t>Santiago Salazar</t>
  </si>
  <si>
    <t>gestion.sibu@udea.edu.co</t>
  </si>
  <si>
    <t>Yileam Zuluaga</t>
  </si>
  <si>
    <t>yileam.zuluaga@udea.edu.co</t>
  </si>
  <si>
    <t>Viviana Higutia Ortega</t>
  </si>
  <si>
    <t>viviana.higuita@udea.edu.co 7 3016909723</t>
  </si>
  <si>
    <t>José Ignacio Calderón Díaz</t>
  </si>
  <si>
    <t>ignacio.calderon@udea.edu.co</t>
  </si>
  <si>
    <t xml:space="preserve">José Ignacio Calderón Díaz </t>
  </si>
  <si>
    <t>Jhon Jairo Tirado Quintero</t>
  </si>
  <si>
    <t>Jprocesos@udea.edu.co</t>
  </si>
  <si>
    <t>Gladis A. Aristizábal</t>
  </si>
  <si>
    <t>asisregionalizacion@udea.edu.co</t>
  </si>
  <si>
    <t>juan.ariasj@udea.edu.co
Tel: 2195087</t>
  </si>
  <si>
    <t>Cesar Alberto Cardona Galeano
Gladis Elena Álvarez Arenas</t>
  </si>
  <si>
    <t xml:space="preserve">cesar.cardona@udea.edu.co 
gladis.alvarez@udea.edu.co </t>
  </si>
  <si>
    <t>Diego Armando Londoño Tobón
Margarita María Londoño Ruiz</t>
  </si>
  <si>
    <t>diego.londono@udea.edu.co
margarita.londonor@udea.edu.co</t>
  </si>
  <si>
    <t>José Alveiro Betancur Diossa
Margarita María Londoño Ruiz
Diego Armando Londoño Tobón</t>
  </si>
  <si>
    <t>alveiro.betancur@udea.edu.co
margarita.londonor@udea.edu.co
diego.londono@udea.edu.co</t>
  </si>
  <si>
    <t xml:space="preserve"> Angélica Bonilla</t>
  </si>
  <si>
    <t xml:space="preserve">angelicam.bonilla@udea.edu.co </t>
  </si>
  <si>
    <t>0,65</t>
  </si>
  <si>
    <t>Jeis Hincapié Romero
Paulo César Delgado Narváez</t>
  </si>
  <si>
    <t xml:space="preserve">seguridad.informatica@udea.edu.co 
apoyo.seguridadti@udea.edu.co </t>
  </si>
  <si>
    <t>0,5</t>
  </si>
  <si>
    <t>Sara Tobón</t>
  </si>
  <si>
    <t>Maria Fernanda Barreto</t>
  </si>
  <si>
    <t>maria.barreto@udea.edu.co</t>
  </si>
  <si>
    <t>Elba Marcela Londoño</t>
  </si>
  <si>
    <t>elba.londono@udea.edu.co</t>
  </si>
  <si>
    <t>dirbienestar@udea.edu.co</t>
  </si>
  <si>
    <t>Hugo Buitrago</t>
  </si>
  <si>
    <t>Robinsson Cardona Cano</t>
  </si>
  <si>
    <t>robinsson.cardona@ude.edu.co</t>
  </si>
  <si>
    <t>acecilia.sanchez@udea.edu.co
2195099</t>
  </si>
  <si>
    <t>Sara María Marquez</t>
  </si>
  <si>
    <t>sara.marquez@udea.edu.co</t>
  </si>
  <si>
    <t>James Morales</t>
  </si>
  <si>
    <t>james.morales@udea.edu.co</t>
  </si>
  <si>
    <t xml:space="preserve">Elizabeth Ortega Roldán </t>
  </si>
  <si>
    <t>elizabeth.ortega@udea.edu.co
3117127904</t>
  </si>
  <si>
    <t>Daniel Ernesto Gómez Giraldo</t>
  </si>
  <si>
    <t>dernesto.gomez@udea.edu.co</t>
  </si>
  <si>
    <t>Daniela Margarita Ramírez Ozuna</t>
  </si>
  <si>
    <t>dmargarita.ramirez@udea.edu.co</t>
  </si>
  <si>
    <t>Angela Guerra</t>
  </si>
  <si>
    <t>angela.guerra@udea.edu.co</t>
  </si>
  <si>
    <t>Mauricio Berruecos Sierrra</t>
  </si>
  <si>
    <t>mauricio.berruecos@udea.edu.co</t>
  </si>
  <si>
    <t>Natalia Galezo</t>
  </si>
  <si>
    <t>analisis1.gi@udea.edu.co</t>
  </si>
  <si>
    <t>Juan David Muñoz</t>
  </si>
  <si>
    <t>juan.munoz11@udea.edu.co</t>
  </si>
  <si>
    <t>Luz Adriana Gutierrez</t>
  </si>
  <si>
    <t>luza.gutierrez@udea.edu.co</t>
  </si>
  <si>
    <t>Giovany Moreno</t>
  </si>
  <si>
    <t>Número de indicadores</t>
  </si>
  <si>
    <t>Archivo traductor</t>
  </si>
  <si>
    <t>Generar traductor</t>
  </si>
  <si>
    <t>Proyecto01_PLAN+_Armonización_Vicedoc.xlsx</t>
  </si>
  <si>
    <t>Proyecto02_PLAN+_UEP_vicedoc.xlsx</t>
  </si>
  <si>
    <t>Proyecto03_PLAN+_Modalidades_Vicedoc.xlsx</t>
  </si>
  <si>
    <t>Proyecto04_PLAN+_autoevaluación_vicedoc.xlsx</t>
  </si>
  <si>
    <t>Proyecto05_PLAN+_ude@_Vicedoc.xlsx</t>
  </si>
  <si>
    <t>Proyecto06_PLAN+_colaboratorios_Vicedoc.xlsx</t>
  </si>
  <si>
    <t>Proyecto07_PLAN+_PEI_Vicedoc.xlsx</t>
  </si>
  <si>
    <t>Proyecto08_PLAN+_Dirección Posgrado_Fortalecimiento_Virtualidad.xlsx</t>
  </si>
  <si>
    <t>Proyecto09_PLAN+_AprendeLínea_ViceExtensión.xlsx</t>
  </si>
  <si>
    <t>Proyecto10_PLAN+_Dirección Posgrado_Ruta_Comunicaciones.xlsx</t>
  </si>
  <si>
    <t>Proyecto11_PLAN+_Relacionamiento_estrategico_DRI.xlsx</t>
  </si>
  <si>
    <t>Proyecto12_PLAN+_Fortalecimiento_y_fomento_DRI.xlsx</t>
  </si>
  <si>
    <t>Proyecto13_PLAN+_Prep_Prácticas_Vicedoc.xlsx</t>
  </si>
  <si>
    <t>Proyecto14_PLAN+_Nichos_DirRegionalizacion.xlsx</t>
  </si>
  <si>
    <t>Proyecto15_PLAN+_EducacionNoFormal_ViceExtensión.xlsx</t>
  </si>
  <si>
    <t>Proyecto16_PLAN+_Egresados_ViceExtensión.xlsx</t>
  </si>
  <si>
    <t>Proyecto17_PLAN+_EcosistemaCPC_DirComunicaciones.xlsx</t>
  </si>
  <si>
    <t>Proyecto18_PLAN+_Agenda_Viceinvestiga.xlsx</t>
  </si>
  <si>
    <t>Proyecto19_PLAN+_Renovacion_Viceinvestiga.xlsx</t>
  </si>
  <si>
    <t>Proyecto20_PLAN+_Democratizacion_Viceinvestiga.xlsx</t>
  </si>
  <si>
    <t>Proyecto21_PLAN+_Modelo_Innova_ViceExtensión.xlsx</t>
  </si>
  <si>
    <t>Proyecto22_PLAN+_UJAMAA_Vicedoc.xlsx</t>
  </si>
  <si>
    <t>Proyecto23_PLAN+_Dirección Posgrado_Estrategias_Permanencia.xlsx</t>
  </si>
  <si>
    <t>Proyecto24_PLAN+_Dirección Bienestar_VF-Consolidación Modelo BU.xlsx</t>
  </si>
  <si>
    <t>Proyecto25_PLAN+_Concursos_ViceAdmin.xlsx</t>
  </si>
  <si>
    <t>Proyecto26_PLAN+_CulturaLabor_ViceAdmin.xlsx</t>
  </si>
  <si>
    <t>Proyecto27_PLAN+_Compilacion_DirJur.xlsx</t>
  </si>
  <si>
    <t>Proyecto28_PLAN+_Actualizacion_DirJur.xlsx</t>
  </si>
  <si>
    <t>Proyecto29_PLAN+_Prep_Democracia_SecGral.xlsx</t>
  </si>
  <si>
    <t>Proyecto30_PLAN+_Prep_Ciudadania_SecGral.xlsx</t>
  </si>
  <si>
    <t>Proyecto31_PLAN+_InnovacionProcesos_DirPlaneacion.xlsx</t>
  </si>
  <si>
    <t>Proyecto32_PLAN+_Descentralizacion_DirRegionalizacion</t>
  </si>
  <si>
    <t>Proyecto33_PLAN+_Evaluacion_DirComunicaciones.xlsx</t>
  </si>
  <si>
    <t>Proyecto34_PLAN+_Control_Interno_OAI.xlsx</t>
  </si>
  <si>
    <t>Proyecto35_PLAN+_RSU_ViceExtensión.xlsx</t>
  </si>
  <si>
    <t>Proyecto36_PLAN+_Dirección Bienestar_VF-Bienestar en línea.xlsx</t>
  </si>
  <si>
    <t>Proyecto37_PLAN+_SistemasInformacion_DirPlaneacion.xlsx</t>
  </si>
  <si>
    <t>Proyecto38_PLAN+_GestionArchivos_DirComunicaciones.xlsx</t>
  </si>
  <si>
    <t>Proyecto39_PLAN+_Capacidadesfisicas_DirPlaneacion.xlsx</t>
  </si>
  <si>
    <t>Proyecto40_PLAN+_Telecomunicaciones_V2_DirPlaneacion.xlsx</t>
  </si>
  <si>
    <t>Proyecto41_PLAN+_Portal_DirPlaneacion.xlsx</t>
  </si>
  <si>
    <t>Proyecto42_PLAN+_DataUdeA_DirPlaneacion.xlsx</t>
  </si>
  <si>
    <t>Proyecto43_PLAN+_Biblioteca_Vicedoc.xlsx</t>
  </si>
  <si>
    <t>Proyecto44_PLAN+_Prep_SIC_Sec_Gral.xlsx</t>
  </si>
  <si>
    <t>Proyecto45_PLAN+_librosdigitales_SecGral_diligenciado.xlsx</t>
  </si>
  <si>
    <t>Proyecto46_PLAN+_Prep_Salvaguarda_SecGral.xlsx</t>
  </si>
  <si>
    <t>Proyecto47_PLAN+_BLQ49_ViceAdmin.xlsx</t>
  </si>
  <si>
    <t>Proyecto48_PLAN+_FNSP_ViceAdmin.xlsx</t>
  </si>
  <si>
    <t>Proyecto49_PLAN+_AdaptabilidadFisica_ViceAdmin.xlsx</t>
  </si>
  <si>
    <t>Proyecto50_PLAN+_Pluridiversidad_DirRegionalizacion.xlsx</t>
  </si>
  <si>
    <t>Proyecto51_PLAN+_Dirección Bienestar_VF-Potenciando la diversidad.xlsx</t>
  </si>
  <si>
    <t>Proyecto52_PLAN+_Dirección Bienestar_VF-Ejercicio Praxiológico.xlsx</t>
  </si>
  <si>
    <t>Proyecto53_PLAN+_CampusIntergeneracional_ViceExtensión.xlsx</t>
  </si>
  <si>
    <t>Proyecto54_PLAN+_Dirección Bienestar_VF-Hacia la Constr.Cultura Paz.xlsx</t>
  </si>
  <si>
    <t>Proyecto55_PLAN+_PazTerritorio_ViceGral.xlsx</t>
  </si>
  <si>
    <t>Proyecto56_PLAN+_PazEstudio_ViceGral.xlsx</t>
  </si>
  <si>
    <t>Proyecto57_PLAN+_Prep_PazPolitica_ViceGral.xlsx</t>
  </si>
  <si>
    <t>Proyecto58_PLAN+_Semillas_ViceExtensión.xlsx</t>
  </si>
  <si>
    <t>Proyecto59_PLAN+_Prep_Buenvivir_Vicedoc.xlsx</t>
  </si>
  <si>
    <t>Proyecto61_PLAN+_Dirección Bienestar_VF-UdeA Saludable.xlsx</t>
  </si>
  <si>
    <t>Proyecto62_PLAN+_Sostenibilidad_GA_ViceAdmin.xlsx</t>
  </si>
  <si>
    <t>Proyecto65_PLAN+_CasaUniverso_ViceExtensión.xlsx</t>
  </si>
  <si>
    <t>Proyecto66_PLAN+_Patrimonios_ViceExtensión.xlsx</t>
  </si>
  <si>
    <t>Proyecto60_PLAN+_Sostenibilidad_DirRegionalizacion</t>
  </si>
  <si>
    <t>Código del objetivo específico</t>
  </si>
  <si>
    <t>Código del entregable</t>
  </si>
  <si>
    <t>Nombre del entregable</t>
  </si>
  <si>
    <t>Porcentaje de importancia del entregable</t>
  </si>
  <si>
    <t>Fecha final</t>
  </si>
  <si>
    <t>Programado 2021 
Semestre 2</t>
  </si>
  <si>
    <t>Programado 2022
Semestre 1</t>
  </si>
  <si>
    <t>Programado  2022
Semestre 2</t>
  </si>
  <si>
    <t>Programado 2023
Semestre 1</t>
  </si>
  <si>
    <t>Programado2023
Semestre 2</t>
  </si>
  <si>
    <t>Programado 2024
Semestre 1</t>
  </si>
  <si>
    <t>Programado 2024
Semestre 2</t>
  </si>
  <si>
    <t>01O1</t>
  </si>
  <si>
    <t>01O1E1</t>
  </si>
  <si>
    <t>Informe general de la propuesta de articulación entre los niveles macro, meso y microcurricular de los currículos de los programas académicos de pregrado</t>
  </si>
  <si>
    <t>01O1E2</t>
  </si>
  <si>
    <t>Informe de los resultados de las convocatorias ejecutadas en la vigencia del proyeto</t>
  </si>
  <si>
    <t>01O2</t>
  </si>
  <si>
    <t>01O2E1</t>
  </si>
  <si>
    <t>Informe general de las evidencias de los talleres, encuentros, conversatorios y asesorias generales a los equipos curriculares acerca  de la integración de los currículos de las nuevas políticas académico administrativas institucionales y ministeriales.</t>
  </si>
  <si>
    <t>02O1</t>
  </si>
  <si>
    <t>02O1E1</t>
  </si>
  <si>
    <t>Resolución Rectoral "Por la cual se constituye la Unidad de Estudios Pedagógicos en Educación
Superior adscrita a la Vicerrectoría de Docencia de la Universidad de Antioquia" emitida y firmada por la rectoría.</t>
  </si>
  <si>
    <t>02O2</t>
  </si>
  <si>
    <t>02O2E1</t>
  </si>
  <si>
    <t>Documento de sistematización de iniciativas de formación docente vigentes en la Universidad de Antioquia</t>
  </si>
  <si>
    <t>02O2E2</t>
  </si>
  <si>
    <t>Recurso interactivo con síntesis de sistematización</t>
  </si>
  <si>
    <t>02O2E3</t>
  </si>
  <si>
    <t>Estrategia de educomunicación para la difusión de las iniciativas de formación docente y para posicionamiento de la UEPES.</t>
  </si>
  <si>
    <t>02O2E4</t>
  </si>
  <si>
    <t>Sistematización de información sobre los procesos de desarrollo docente</t>
  </si>
  <si>
    <t>02O3</t>
  </si>
  <si>
    <t>02O3E1</t>
  </si>
  <si>
    <t>Programación semestral de encuentros entre dependencias</t>
  </si>
  <si>
    <t>02O3E2</t>
  </si>
  <si>
    <t>Memoria semestral de los encuentros en formato audiovisual</t>
  </si>
  <si>
    <t>02O4</t>
  </si>
  <si>
    <t>02O4E1</t>
  </si>
  <si>
    <t>Espacios de formación creados y ofertados de manera articulada a la comunidad universitaria</t>
  </si>
  <si>
    <t>04O1</t>
  </si>
  <si>
    <t>04O1E1</t>
  </si>
  <si>
    <t>Listado de normativas, que darán sustento al Sistema Interno de Aseguramiento de la Calidad, actualizado y en aplicación</t>
  </si>
  <si>
    <t>04O1E2</t>
  </si>
  <si>
    <t>Organización de guías y procedimientos de las actividades que se llevarán a cabo en los cuatro procesos ejecutables del Sistema Interno de Aseguramiento de la Calidad</t>
  </si>
  <si>
    <t>04O1E3</t>
  </si>
  <si>
    <t xml:space="preserve">Aplicativo con información que se requiere para los procesos de registro calificado y autoevaluación </t>
  </si>
  <si>
    <t>04O2</t>
  </si>
  <si>
    <t>04O2E1</t>
  </si>
  <si>
    <t>Socialización del informe de Autoevaluación Institucional</t>
  </si>
  <si>
    <t>04O2E2</t>
  </si>
  <si>
    <t xml:space="preserve">Suministro de información para la generación de contenidos informativos correspondientes a registro calificado y autoevaluación </t>
  </si>
  <si>
    <t>04O2E3</t>
  </si>
  <si>
    <t xml:space="preserve">Hospedador de información del aplicativo de autoevaluación institucional </t>
  </si>
  <si>
    <t>04O3</t>
  </si>
  <si>
    <t>04O3E1</t>
  </si>
  <si>
    <t>Propuesta del sistema de monitoreo para la Vicerrectoría de Docencia</t>
  </si>
  <si>
    <t>04O3E2</t>
  </si>
  <si>
    <t>Informe de seguimiento, a nivel institucional, de las pruebas Saber Pro</t>
  </si>
  <si>
    <t>04O4</t>
  </si>
  <si>
    <t>04O4E1</t>
  </si>
  <si>
    <t>Formato de seguimiento a los planes de mejoramiento</t>
  </si>
  <si>
    <t>04O4E2</t>
  </si>
  <si>
    <t>Cofinanciación de planes de mejoramiento de pregrado</t>
  </si>
  <si>
    <t>05O1</t>
  </si>
  <si>
    <t>05O1E1</t>
  </si>
  <si>
    <t>Estrategia educativa basada en una experiencia transmedia</t>
  </si>
  <si>
    <t>05O1E2</t>
  </si>
  <si>
    <t>Documento descriptivo de la estrategia de Radio educativa la U responde al COVID</t>
  </si>
  <si>
    <t>05O1E3</t>
  </si>
  <si>
    <t xml:space="preserve">Estrategia de extensión universitaria que favorezca la vinculación de la comunidad con la cultura digital </t>
  </si>
  <si>
    <t>05O1E4</t>
  </si>
  <si>
    <t>Estrategia educomunicativa para grupos y semilleros de investigación</t>
  </si>
  <si>
    <t>05O1E5</t>
  </si>
  <si>
    <t>Encuentros de divulgación para la comunidad</t>
  </si>
  <si>
    <t>05O2</t>
  </si>
  <si>
    <t>05O2E1</t>
  </si>
  <si>
    <t>Conjunto de aulas virtuales
Aplicativo para catalogación de recursos educativos
Conjunto de video juegos para la enseñanza</t>
  </si>
  <si>
    <t>05O2E2</t>
  </si>
  <si>
    <t>Diplomado de Integración de TIC a la Docencia
Curso Profe UdeA
Talleres sobre herramientas y mediaciones didácticas</t>
  </si>
  <si>
    <t>05O2E3</t>
  </si>
  <si>
    <t>Realización de talleres sobre habilidades para aprender en la virtualidad</t>
  </si>
  <si>
    <t>05O2E4</t>
  </si>
  <si>
    <t>Construcción de ruta formativa para el ciclo de vida universitaria</t>
  </si>
  <si>
    <t>05O2E5</t>
  </si>
  <si>
    <t>Recursos y estrategias educomunicativas para áreas administrativas
Estrategia educativa basada en una experiencia transmedia</t>
  </si>
  <si>
    <t>06O1</t>
  </si>
  <si>
    <t>06O1E1</t>
  </si>
  <si>
    <t>Convocatoria de Innovación</t>
  </si>
  <si>
    <t>06O1E2</t>
  </si>
  <si>
    <t>Espacios de formación</t>
  </si>
  <si>
    <t>06O1E3</t>
  </si>
  <si>
    <t>Fortalecimiento de repositorio</t>
  </si>
  <si>
    <t>06O1E4</t>
  </si>
  <si>
    <t>Evento Integratic</t>
  </si>
  <si>
    <t>06O2</t>
  </si>
  <si>
    <t>06O2E1</t>
  </si>
  <si>
    <t>Con TIC Investigo</t>
  </si>
  <si>
    <t>06O2E2</t>
  </si>
  <si>
    <t>Consolidación de colaboratorios</t>
  </si>
  <si>
    <t>06O2E3</t>
  </si>
  <si>
    <t>Comunidades de aprendizaje</t>
  </si>
  <si>
    <t>06O3</t>
  </si>
  <si>
    <t>06O3E1</t>
  </si>
  <si>
    <t>Servicios de información en operación según los dominios de conocimiento atendidos por la comunidad bibliotecaria</t>
  </si>
  <si>
    <t>06O3E2</t>
  </si>
  <si>
    <t>Desarrollo de colecciones impresas y digitales constituidas como recursos educativos que apoyan el currículo y la investigación en la Universidad</t>
  </si>
  <si>
    <t>06O4</t>
  </si>
  <si>
    <t>06O4E1</t>
  </si>
  <si>
    <t xml:space="preserve">Bmooc de Cultura Informacional integrado a los programas académicos </t>
  </si>
  <si>
    <t>06O4E2</t>
  </si>
  <si>
    <t>Guías bibliotecarias para el acceso y uso de la información especializada</t>
  </si>
  <si>
    <t>07O1</t>
  </si>
  <si>
    <t>07O1E1</t>
  </si>
  <si>
    <t>Documento PEI: Ideario formativo   y las orientaciones pedagógicas y curriculares que articulen la docencia, investigación y proyección social de la Universidad</t>
  </si>
  <si>
    <t>07O1E2</t>
  </si>
  <si>
    <t>Plan de comunicación estratégica para la apropiación del PEI</t>
  </si>
  <si>
    <t>07O2</t>
  </si>
  <si>
    <t>07O2E1</t>
  </si>
  <si>
    <t>Guías didácticas para la aplicación del PEI</t>
  </si>
  <si>
    <t>07O2E2</t>
  </si>
  <si>
    <t>Plan de implementación del Proyecto Educativo Institucional en las unidades académicas</t>
  </si>
  <si>
    <t>07O2E3</t>
  </si>
  <si>
    <t xml:space="preserve">Informe de los encuentros de socializacion del PEI con las Unidades Academicas </t>
  </si>
  <si>
    <t>08O1</t>
  </si>
  <si>
    <t>08O1E1</t>
  </si>
  <si>
    <t>Documento técnico, con la propuesta para el fortalecimiento de la estructura financiera para la virtualización de los programas de posgrado a nivel de maestría y especialización</t>
  </si>
  <si>
    <t>08O1E2</t>
  </si>
  <si>
    <t>Estrategia para el fortalecimiento de la estructura financiera para la virtualización de los programas de posgrado a nivel de maestría y especialización implementada</t>
  </si>
  <si>
    <t>08O2</t>
  </si>
  <si>
    <t>08O2E1</t>
  </si>
  <si>
    <t>Plan de capacitación para el fomento de la virtualización de programas: Priorizando temas de motivación y virtualización de programas, cronograma,metodología, perfil del facilitador
Listas de asistencia a las capacitaciones
Memorias de la capacitación</t>
  </si>
  <si>
    <t>38O1</t>
  </si>
  <si>
    <t>38O1E1</t>
  </si>
  <si>
    <t>Guía con políticas y lineamientos eleborada</t>
  </si>
  <si>
    <t>38O1E2</t>
  </si>
  <si>
    <t>Documentos procesados y puestos al servicio</t>
  </si>
  <si>
    <t>38O2</t>
  </si>
  <si>
    <t>38O2E1</t>
  </si>
  <si>
    <t>Capacitación realizada en los procesos y buenas prácticas archivisticas.</t>
  </si>
  <si>
    <t>38O3</t>
  </si>
  <si>
    <t>38O3E1</t>
  </si>
  <si>
    <t xml:space="preserve">Requerimientos del software elaborados </t>
  </si>
  <si>
    <t>38O3E2</t>
  </si>
  <si>
    <t>Estudio de mercado elaborado</t>
  </si>
  <si>
    <t>38O4</t>
  </si>
  <si>
    <t>38O4E1</t>
  </si>
  <si>
    <t>Plan de actividades realizado</t>
  </si>
  <si>
    <t>10O2</t>
  </si>
  <si>
    <t>10O2E1</t>
  </si>
  <si>
    <t>Propuesta de base de recursos financieros para la divulgación y promoción de la oferta académica de programas de posgrados de la Universidad de Antioquia</t>
  </si>
  <si>
    <t>11O1</t>
  </si>
  <si>
    <t>11O1E1</t>
  </si>
  <si>
    <t>Documento de estado de la presencia internacional (convenios de cooperación internacional y al desarrollo, caracterización de los grupos de investigación, movilidad) de la Universidad de Antioquia.</t>
  </si>
  <si>
    <t>11O1E2</t>
  </si>
  <si>
    <t>Documento de iniciativas generadas para la proyección internacional de los posgrados presenciales y virtuales (Encuentros académicos y ofertas de programas, difusión de becas UdeA y Reciprocidad con los programas de posgrados interesados en proyectarse internacionalmente en espacios académicos y científicos, dobles titulaciones, con socios estrategicos internacionales)</t>
  </si>
  <si>
    <t>11O1E3</t>
  </si>
  <si>
    <t>Documento con los lineamientos para la exploración y consolidación de relaciones académicas, científicas y culturales a nivel internacional</t>
  </si>
  <si>
    <t>11O2</t>
  </si>
  <si>
    <t>11O2E1</t>
  </si>
  <si>
    <t>Documento de los espacios institucionales gestionados y apoyados por la DRI (encuentros, alianzas, eventos, asesorías, entre otras) para la promoción del relacionamiento virtual y presencial de los profesores-investigadores</t>
  </si>
  <si>
    <t>11O3</t>
  </si>
  <si>
    <t>11O3E1</t>
  </si>
  <si>
    <t>Documento de tendencias de la movilidad entrante y saliente, nacional e internacional, presencial y virtual.</t>
  </si>
  <si>
    <t>11O3E2</t>
  </si>
  <si>
    <t>Documento de difusión de las oportunidades (becas, intercambios académicos, pasantias de investigación, asistencia a eventos, convocatorias, premios, reconocimientos, entre otras) por áreas del conocimiento.</t>
  </si>
  <si>
    <t>11O4</t>
  </si>
  <si>
    <t>11O4E1</t>
  </si>
  <si>
    <t>Documento de proyección de relacionamientos estratégicos generados a partir del  evento institucional "De País en País"</t>
  </si>
  <si>
    <t>11O4E2</t>
  </si>
  <si>
    <t>Documento de procesos para el apoyo de la DRI a eventos académicos y científicos liderados por unidades académicas y dependencias adminsitrativas</t>
  </si>
  <si>
    <t>11O4E3</t>
  </si>
  <si>
    <t xml:space="preserve">Documento de tendencias de relacionamiento a partir de los convenios académicos de cooperación nacional e internacional y de doble titulación. </t>
  </si>
  <si>
    <t>12O1</t>
  </si>
  <si>
    <t>12O1E1</t>
  </si>
  <si>
    <t>Un documento modelo de la Academia Glocal consolidado al finalizar el trienio (identificación de estrategias para el fortalecimiento de capacidades para la comunidad universitaria).</t>
  </si>
  <si>
    <t>12O1E2</t>
  </si>
  <si>
    <t>Documento con lineamientos general sobre el Certificado y la Ruta en Ciudadanía Intercultural y Global.</t>
  </si>
  <si>
    <t>12O2</t>
  </si>
  <si>
    <t>12O2E1</t>
  </si>
  <si>
    <t xml:space="preserve">Documento guía sobre el proceso de sensibilización con las unidades académica y los profesores sobre las diversas herramientas de la internacionalización del curículo. </t>
  </si>
  <si>
    <t>12O3</t>
  </si>
  <si>
    <t>12O3E1</t>
  </si>
  <si>
    <t xml:space="preserve">Documento de buenas prácticas de internacionalización en casa, implementadas por las unidades académicas durante el trienio. </t>
  </si>
  <si>
    <t>12O3E2</t>
  </si>
  <si>
    <t xml:space="preserve">Documento con definiciones, conceptos y lineamientos administrativos para la internacionalización (caja de herramientas, fortalecimiento de capacidades). </t>
  </si>
  <si>
    <t>13O1</t>
  </si>
  <si>
    <t>13O1E1</t>
  </si>
  <si>
    <t>Implementación de orientación para la articulación de prácticas</t>
  </si>
  <si>
    <t>13O1E2</t>
  </si>
  <si>
    <t>Informe semestral de acciones para la artículación de Prácticas académicas</t>
  </si>
  <si>
    <t>13O1E3</t>
  </si>
  <si>
    <t>Convenios firmados</t>
  </si>
  <si>
    <t>13O2</t>
  </si>
  <si>
    <t>13O2E1</t>
  </si>
  <si>
    <t>Documento con estrategias de relacionamiento y la comunicación para el recibo y la acogida de los actores de prácticas académicas implementadas</t>
  </si>
  <si>
    <t>13O2E2</t>
  </si>
  <si>
    <t>Informe con propuesta de formación para los coordinadores</t>
  </si>
  <si>
    <t>13O2E3</t>
  </si>
  <si>
    <t>Informe anual con oferta de contraprestación a los escenarios de prácticas</t>
  </si>
  <si>
    <t>13O3</t>
  </si>
  <si>
    <t>13O3E1</t>
  </si>
  <si>
    <t>Resultados de convocatoria de proyectos para sistematizar experiencias de evaluación sobre las PA</t>
  </si>
  <si>
    <t>13O3E2</t>
  </si>
  <si>
    <t>Documento con propuesta e implementación de evaluación integral de las prácticas académicas en algunas unidades académicas</t>
  </si>
  <si>
    <t>13O4</t>
  </si>
  <si>
    <t>13O4E1</t>
  </si>
  <si>
    <t>Desarrollo de un aplicativo para las prácticas académicas</t>
  </si>
  <si>
    <t>13O4E2</t>
  </si>
  <si>
    <t>Documento con informe de implementación de la estructura de alto nivel en las unidades académicas</t>
  </si>
  <si>
    <t>14O1</t>
  </si>
  <si>
    <t>14O1E1</t>
  </si>
  <si>
    <t>Plazas docentes y administrativas asignadas a la Dir. de Regionalización</t>
  </si>
  <si>
    <t>14O1E2</t>
  </si>
  <si>
    <t>Espacios dotados (aulas, laboratorios, auditorios, deportivos) con equipos, muebles y enseres en las Seccionales y Sedes</t>
  </si>
  <si>
    <t>14O1E3</t>
  </si>
  <si>
    <t xml:space="preserve">Sistemas de información, metodologías, estrategias y articulación a la política institucional de integración de TIC´S. </t>
  </si>
  <si>
    <t>14O2</t>
  </si>
  <si>
    <t>14O2E1</t>
  </si>
  <si>
    <t>Evento académico, reuniones  CUEE, agendas de investigación y extensión,  y mesas de trabajo con actores regionales sobre temáticas de educación superior</t>
  </si>
  <si>
    <t>14O2E2</t>
  </si>
  <si>
    <t>Convenios o alianzas con entes territoriales para el fomento de la educación superior y la articulación con la precedente</t>
  </si>
  <si>
    <t>14O3</t>
  </si>
  <si>
    <t>14O3E1</t>
  </si>
  <si>
    <t>Normas institucionales revisadas y actualizadas con incidencia en la regionalización universitaria</t>
  </si>
  <si>
    <t>14O3E2</t>
  </si>
  <si>
    <t xml:space="preserve">Programas de pregrado y posgrado pertinentes y articulados a las necesidades territoriales </t>
  </si>
  <si>
    <t>15O1</t>
  </si>
  <si>
    <t>15O1E1</t>
  </si>
  <si>
    <t>Estrategía de comunicación integrada de marketing de la oferta institucional de educación no formal</t>
  </si>
  <si>
    <t>15O1E2</t>
  </si>
  <si>
    <t>Campañas de comunicación y marketing a traves de redes sociales sobre la oferta institucional de educación no formal de la Universidad de Antioquia.</t>
  </si>
  <si>
    <t>15O2</t>
  </si>
  <si>
    <t>15O2E1</t>
  </si>
  <si>
    <t>Informe de segmentación de públicos de la oferta de educación no formal</t>
  </si>
  <si>
    <t>15O2E2</t>
  </si>
  <si>
    <t>Plataforma Portafolio adecuada para la publicación de la oferta institucional por públicos considerando vínculos, áreas y edad.</t>
  </si>
  <si>
    <t>16O1</t>
  </si>
  <si>
    <t>16O1E1</t>
  </si>
  <si>
    <t>App-egresados</t>
  </si>
  <si>
    <t>16O1E2</t>
  </si>
  <si>
    <t>Modelo corporativo y de relaciones publicas egresado - UdeA</t>
  </si>
  <si>
    <t>16O1E3</t>
  </si>
  <si>
    <t>Nuevos modulos del Curso sello profesional (nueve  en total)</t>
  </si>
  <si>
    <t>16O1E4</t>
  </si>
  <si>
    <t>Acciones por año de comunicación para la motivación y movilización de egresados</t>
  </si>
  <si>
    <t>16O2</t>
  </si>
  <si>
    <t>16O2E1</t>
  </si>
  <si>
    <t>Nuevo marco regulatorio de egresados UdeA (Politica del Egresado)</t>
  </si>
  <si>
    <t>17O1</t>
  </si>
  <si>
    <t>17O1E1</t>
  </si>
  <si>
    <t>Diagnóstico del estado actual de cómo se hace comunicación pública de la ciencia en la Universidad de Antioquia y de los actores involucrados en el proceso. Identificando actores, roles y necesidades y oportunidades.</t>
  </si>
  <si>
    <t>17O1E2</t>
  </si>
  <si>
    <t>Políticas para hacer comunicación pública de la ciencia de la Universidad de Antioquia. Incluyendo glosario de términos involucrados en el proceso y cómo la Universidad los define a partir de la ejecución de este proyecto.</t>
  </si>
  <si>
    <t>17O1E3</t>
  </si>
  <si>
    <t>Metodología para la implementación de lineamientos y procedimientos institucionales para la planeación, el diseño, la producción, circulación y evaluación de productos asociados a la CPC.</t>
  </si>
  <si>
    <t>17O1E4</t>
  </si>
  <si>
    <t>Socialización de la política, el glosario y la metodología para hacer comunicación pública de la ciencia, a través de un plan de capacitación a los actores de la comunidad universitaria para que entiendan la importancia y fortalezcan los conocimientos, procesos y herramientas para hacer comunicación pública de la ciencia. Presentación en espacios estratégicos y campaña de difusión interna.</t>
  </si>
  <si>
    <t>17O2</t>
  </si>
  <si>
    <t>17O2E1</t>
  </si>
  <si>
    <t xml:space="preserve">Metodología de articulación a través de prácticas, espacios de encuentro, relacionamiento y aprovechamiento de los recursos entre los involucrados para gestionar la comunicación pública de la ciencia. </t>
  </si>
  <si>
    <t>17O2E2</t>
  </si>
  <si>
    <t xml:space="preserve">Socialización de la metodología de articulación para hacer comunicación pública de la ciencia. Presentación en espacios estratégicos y campaña de difusión interna.                </t>
  </si>
  <si>
    <t>17O2E3</t>
  </si>
  <si>
    <t>Actualización, sistematización y socialización del directorio de expertos por áreas del conocimiento de la Universidad.</t>
  </si>
  <si>
    <t>17O3</t>
  </si>
  <si>
    <t>17O3E1</t>
  </si>
  <si>
    <t>Metodología de acompañamiento a los actores (investigadores, proyectos, grupos, depedencias) de la comunidad universitaria que requieren orientación para desarrollar acciones relacionadas con la comunicación pública de la ciencia.</t>
  </si>
  <si>
    <t>17O3E2</t>
  </si>
  <si>
    <t>Diagnóstico de la presencia de la Universidad, sus grupos y sus investigadores en rankings y redes científicas que miden la reputación y el impacto de la CPC.</t>
  </si>
  <si>
    <t>17O3E3</t>
  </si>
  <si>
    <t xml:space="preserve">Manual que defina la presencia y pertinencia de los investigadores y grupos en redes sociales científicas. </t>
  </si>
  <si>
    <t>17O3E4</t>
  </si>
  <si>
    <t>Socialización de la metodología, el diagnóstico y el manual. Presentación en espacios estratégicos y campaña de difusión interna.</t>
  </si>
  <si>
    <t>17O4</t>
  </si>
  <si>
    <t>17O4E1</t>
  </si>
  <si>
    <t xml:space="preserve">Mapa de públicos y de sus expectativas frente al deber ser de la CPC en la Universidad. Usando los informes de caracterización realizados en 2020.
</t>
  </si>
  <si>
    <t>17O4E2</t>
  </si>
  <si>
    <t>Plan de intervención con el diseño de estrategias, contenidos y productos que desde la narrativa de ciencia tiendan a ofrecer lo que los públicos esperan y que aumenten el pocisionamiento y la visibilidad de la Universidad por el impacto de sus desarrollos en ciencia, tecnología e innovación. Este plan debe darle continuidad a lo que venimos haciendo pero sintonizado con los hallazgos del proyecto en cada uno de los años de ejecución.</t>
  </si>
  <si>
    <t>17O4E3</t>
  </si>
  <si>
    <t>Socialización del mapa, del plan y de la narrativa, con los antecedentes que tenemos y con informes periódicos que den cuenta del impacto de todo lo puesto en marcha. Presentación en espacios estratégicos y campaña de difusión interna.</t>
  </si>
  <si>
    <t>18O1</t>
  </si>
  <si>
    <t>18O1E1</t>
  </si>
  <si>
    <t>Documento con bases conceptuales y metodológicas sobre la co-construción de agendas de creación e investigación</t>
  </si>
  <si>
    <t>18O1E2</t>
  </si>
  <si>
    <t>Archivo con las listas de participación en los espacios de sensibilización sobre agendas de creación e investigación como alternativa  para responder a las necesidades de los territorios a diferentes escalas con una mirada inter/transdisciplinar.</t>
  </si>
  <si>
    <t>18O1E3</t>
  </si>
  <si>
    <t xml:space="preserve">Listado de posibilidades de cooperación con actores dentro de los territorios interesados en abordar agendas de creación y de investigación </t>
  </si>
  <si>
    <t>18O2</t>
  </si>
  <si>
    <t>18O2E1</t>
  </si>
  <si>
    <t>Documento con mapeo de agendas de creación e investigación de centros de investigación de la Universidad de Antioquia (Avances, interés, capacidades)</t>
  </si>
  <si>
    <t>18O2E2</t>
  </si>
  <si>
    <t xml:space="preserve">Archivo con las listas de participación de los diferentes actores en los escenarios de mapeo y de socialización de los resultados de agendas de creación e investigación UdeA </t>
  </si>
  <si>
    <t>18O2E3</t>
  </si>
  <si>
    <t>Documento con los términos de referencia para una convocatoria para la presentación de proyectos de creación e investigación en la Universidad de Antioquia en torno a agendas que permitan consolidar una mirada inter/transdisciplinar y dar respuesta a necesidades de los territorios a diferentes escalas</t>
  </si>
  <si>
    <t>19O1</t>
  </si>
  <si>
    <t>19O1E1</t>
  </si>
  <si>
    <t xml:space="preserve">Propuesta  para un nuevo Sistema Universitario de Creación, Investigación e Innovación a partir de análisis y estudio de viabilidad de las orientaciones consignadas en el documento maestro </t>
  </si>
  <si>
    <t>19O1E2</t>
  </si>
  <si>
    <t>Proyectos de actos administrativos que formalizan el nuevo sistema de investigación</t>
  </si>
  <si>
    <t>19O2</t>
  </si>
  <si>
    <t>19O2E1</t>
  </si>
  <si>
    <t>Propuesta de una nueva estructura organizacional para el sistema de investigación de las dependencias de nivel central y comités (incluye el análisis de la estructura organizacional actual)</t>
  </si>
  <si>
    <t>19O2E2</t>
  </si>
  <si>
    <t>Propuesta de una nueva estructura organizacional para el sistema de investigación de las unidades académicas ((incluye el análisis de la estructura organizacional actual)</t>
  </si>
  <si>
    <t>19O2E3</t>
  </si>
  <si>
    <t>Documento con el análisis funcional de la  estructura organizacional  de la Sede Investigación en articulación con su proyección de expansión (a cargo de la SIU)</t>
  </si>
  <si>
    <t>19O3</t>
  </si>
  <si>
    <t>19O3E1</t>
  </si>
  <si>
    <t>Una oferta de formación en investigación para los diferentes públicos</t>
  </si>
  <si>
    <t>19O3E2</t>
  </si>
  <si>
    <t xml:space="preserve">Estrategias para obtener financiamiento de entidades externas (nacionales e internacionales) para la investigación </t>
  </si>
  <si>
    <t>19O3E3</t>
  </si>
  <si>
    <t>Propuesta base para el diseño de un proyecto universitario de la expansión de la SIU (a cargo de la SIU)</t>
  </si>
  <si>
    <t>19O3E4</t>
  </si>
  <si>
    <t>Documento de propuesta de políticas institucionales en materia de infraestructuras para investigación (a cargo de la SIU)</t>
  </si>
  <si>
    <t>19O4</t>
  </si>
  <si>
    <t>19O4E1</t>
  </si>
  <si>
    <t>Documento (manual) de métricas responsables.</t>
  </si>
  <si>
    <t>19O4E2</t>
  </si>
  <si>
    <t>Lago de datos normalizado con APIs que permitan la integración de los sistemas de información con la producción de la investigación, la innovación, el desarrollo tecnológico y la creación de la Univerisidad.</t>
  </si>
  <si>
    <t>19O4E3</t>
  </si>
  <si>
    <t>Plataforma tipo CRIS con métricas y visualización, susceptible de comparar con información del país en relación con el mundo.</t>
  </si>
  <si>
    <t>19O4E4</t>
  </si>
  <si>
    <t>Batería de indicadores de investigación, innovación, desarrollo tecnológico y creación, con sus fichas técnicas.</t>
  </si>
  <si>
    <t>19O4E5</t>
  </si>
  <si>
    <t xml:space="preserve"> Sistema de Información (SIIU) con funcionalidades ajustadas y mejoradas que permita una adecuada gestión de datos</t>
  </si>
  <si>
    <t>20O1</t>
  </si>
  <si>
    <t>20O1E1</t>
  </si>
  <si>
    <t>Documento con sistematización de experiencias, narrativas, estrategias, lenguajes y métodos  comunicación pública de la ciencia, la apropiación social del conocimiento  y la Ciencia Abierta en la Universidad de Antioquia</t>
  </si>
  <si>
    <t>20O1E2</t>
  </si>
  <si>
    <t>Documento con orientaciones-lineamientos para la creación de lenguajes y métodos para la apropiación social, la ciencia abierta y la comunicación pública de la ciencia a partir de la sistematización de experiencias</t>
  </si>
  <si>
    <t>20O1E3</t>
  </si>
  <si>
    <t>Listas de participación en la socialización del documento de orientaciones para la creación de lenguajes y métodos para la apropiación social, la ciencia abierta y la comunicación pública de la ciencia a partir de la sistematización de experiencias</t>
  </si>
  <si>
    <t>20O2</t>
  </si>
  <si>
    <t>20O2E1</t>
  </si>
  <si>
    <t>Plan de formación para la democratización de la creación, investigación e innovación a través de la comunicación pública de la ciencia, la apropiación social del conocimiento y la Ciencia Abierta en la Universidad de Antioquia</t>
  </si>
  <si>
    <t>20O2E2</t>
  </si>
  <si>
    <t>Cursos virtuales implementados del plan de formación diseñados con ude@</t>
  </si>
  <si>
    <t>20O3</t>
  </si>
  <si>
    <t>20O3E1</t>
  </si>
  <si>
    <t>Documento con estrategias para la construcción de escenarios participativos y articuladores que fomenten la creación, investigación e innovación a través de la comunicación pública de la ciencia, la apropiación social del conocimiento y la Ciencia Abierta en la Universidad de Antioquia</t>
  </si>
  <si>
    <t>20O3E2</t>
  </si>
  <si>
    <t>Informe con implementación de al menos 2 escenarios que fomenten la creación, investigación e innovación a través de la comunicación pública de la ciencia, la apropiación social del conocimiento,  y la Ciencia Abierta en la Universidad de Antioquia</t>
  </si>
  <si>
    <t>20O4</t>
  </si>
  <si>
    <t>20O4E1</t>
  </si>
  <si>
    <t xml:space="preserve">Plataforma OJS del Sistema de Revistas de la Universidad de Antioquia actualizada a su versión 3.2.   </t>
  </si>
  <si>
    <t>20O4E2</t>
  </si>
  <si>
    <t>Curso del perfil del editor diseñado e implementado</t>
  </si>
  <si>
    <t>20O4E3</t>
  </si>
  <si>
    <t>Documento con el protocolo de diagramación de publicación digital</t>
  </si>
  <si>
    <t>20O4E4</t>
  </si>
  <si>
    <t>Manual de  buenas prácticas editoriales de las revistas científicas.</t>
  </si>
  <si>
    <t>23O1</t>
  </si>
  <si>
    <t>23O1E1</t>
  </si>
  <si>
    <t>Estudio de permanencia de los estudiantes de posgrado</t>
  </si>
  <si>
    <t>23O1E2</t>
  </si>
  <si>
    <t>Documento con estrategias para la permanencia estudiantil</t>
  </si>
  <si>
    <t>23O1E3</t>
  </si>
  <si>
    <t>Informe sobre estrategias implementadas para la permanencia estudiantil</t>
  </si>
  <si>
    <t>23O2</t>
  </si>
  <si>
    <t>23O2E1</t>
  </si>
  <si>
    <t>Informe sobre fuentes de financiación externa para programas de posgrado</t>
  </si>
  <si>
    <t>24O1</t>
  </si>
  <si>
    <t>24O1E1</t>
  </si>
  <si>
    <t>Informe del proceso de planeación estratégica participativa entre las regiones y la Dirección de Bienestar.</t>
  </si>
  <si>
    <t>24O1E2</t>
  </si>
  <si>
    <t>Manual de procesos (dinámica y metodología de trabajo) para la articulación entre bienestar, comunicaciones y regionalización.</t>
  </si>
  <si>
    <t>24O1E3</t>
  </si>
  <si>
    <t>Implementación del servicio de alimentación para estudiante en todas las sedes y seccionales.</t>
  </si>
  <si>
    <t>24O1E4</t>
  </si>
  <si>
    <t>Ampliación de cobertura de la base social y de los servicios de créditos en un 10%.</t>
  </si>
  <si>
    <t>24O1E5</t>
  </si>
  <si>
    <t>Apoyo económico de artistas y deportistas de regiones para participación en eventos nacionales.</t>
  </si>
  <si>
    <t>24O2</t>
  </si>
  <si>
    <t>24O2E1</t>
  </si>
  <si>
    <t>Plan integral para las actividades de formación en regiones.</t>
  </si>
  <si>
    <t>24O2E2</t>
  </si>
  <si>
    <t>Fortalecimiento y diversificación de la oferta de bienestar en sedes y seccionales para estudiantes, empleados y profesores</t>
  </si>
  <si>
    <t>24O2E3</t>
  </si>
  <si>
    <t>Capacitación del personal</t>
  </si>
  <si>
    <t>24O2E4</t>
  </si>
  <si>
    <t xml:space="preserve">Desarrollar el proceso de caracterización para empleados en las diferentes sedes </t>
  </si>
  <si>
    <t>24O3</t>
  </si>
  <si>
    <t>24O3E1</t>
  </si>
  <si>
    <t>Ampliación de la cobertura de atención en psicoorientación, psicopedagogía, formación y jornadas de salud en sedes y seccionales</t>
  </si>
  <si>
    <t>24O3E2</t>
  </si>
  <si>
    <t>Incremento en la atención en salud mental desde el Plan Básico de Salud estudiantil</t>
  </si>
  <si>
    <t>24O3E3</t>
  </si>
  <si>
    <t>Diversificación de la oferta de actividades formativas y de las jornadas de salud para estudiantes, profesores y empleados de regiones.</t>
  </si>
  <si>
    <t>25O1</t>
  </si>
  <si>
    <t>25O1E1</t>
  </si>
  <si>
    <t xml:space="preserve"> Nuevos empleados en carrera administrativa vinculados por concurso</t>
  </si>
  <si>
    <t>25O1E2</t>
  </si>
  <si>
    <t>Fichas de empleo para concursos actualizadas</t>
  </si>
  <si>
    <t>25O2</t>
  </si>
  <si>
    <t>25O2E1</t>
  </si>
  <si>
    <t>Actas de reuniones de socialización de las dinámicas del concurso con el Sindicato de empleados administrativos y la Comisión de Carrera Administrativa</t>
  </si>
  <si>
    <t>25O2E2</t>
  </si>
  <si>
    <t>Informe de vinculaciones en provisionalidad</t>
  </si>
  <si>
    <t>25O2E3</t>
  </si>
  <si>
    <t>Estrategias para promover la participación de los empleados en los concursos</t>
  </si>
  <si>
    <t>27O1</t>
  </si>
  <si>
    <t>27O1E1</t>
  </si>
  <si>
    <t xml:space="preserve">Sistematización permita identificar todas las normas expedidas antes de la Constitución en temas específicos
</t>
  </si>
  <si>
    <t>27O1E2</t>
  </si>
  <si>
    <t xml:space="preserve">Análisis de vigencia y eficacia para identificar las normas inoperantes o inaplicables a la realidad actual de la Institución.
</t>
  </si>
  <si>
    <t>27O2</t>
  </si>
  <si>
    <t>27O2E1</t>
  </si>
  <si>
    <t xml:space="preserve">Identificar la regulación vigente sobre un mismo tema, recogiendo las distintas normas que lo han desarrollado
</t>
  </si>
  <si>
    <t>27O2E2</t>
  </si>
  <si>
    <t>Recopilación de textos normativos que recojan la reglamentación existente y vigente, por ejes temáticos</t>
  </si>
  <si>
    <t>28O1</t>
  </si>
  <si>
    <t>28O1E1</t>
  </si>
  <si>
    <t>Documento de análisis de temas que deben ser actualizados en la normativa universitaria, de acuerdo con las dinámicas institucionales y externas, y la definición de la priorización de cada uno</t>
  </si>
  <si>
    <t>28O1E2</t>
  </si>
  <si>
    <t>Proyectos normativos en temas priorizados, que sea acorde a las dinámicas institucionales y externas</t>
  </si>
  <si>
    <t>28O2</t>
  </si>
  <si>
    <t>28O2E1</t>
  </si>
  <si>
    <t>Definición de un espacio en el portal universitario para informar de los temas priorizados para una actualización normativa</t>
  </si>
  <si>
    <t>28O2E2</t>
  </si>
  <si>
    <t>Comunicaciones para articular los proyectos normativos generados con las dependencias y autoridades competentes de su gestión y trámite</t>
  </si>
  <si>
    <t>28O3</t>
  </si>
  <si>
    <t>28O3E1</t>
  </si>
  <si>
    <t>Divulgación del Manual de Técnica Normativa</t>
  </si>
  <si>
    <t>29O1</t>
  </si>
  <si>
    <t>29O1E1</t>
  </si>
  <si>
    <t xml:space="preserve">Informe final que describa el contenido, dinámica y síntesis de los talleres realizados y de los eventos de formación adicionales , que incluyan proyecciones de reforma en los mecanismos de participación y las formas de representación.  </t>
  </si>
  <si>
    <t>29O1E2</t>
  </si>
  <si>
    <t xml:space="preserve">Informe final sobre los ciclos de debate, con síntesis temáticas y conclusiones  relevantes para la toma de decisiones sobre democracia universitaria. </t>
  </si>
  <si>
    <t>29O2</t>
  </si>
  <si>
    <t>29O2E1</t>
  </si>
  <si>
    <t>Documento que contiene la memoria, el listado y las características de los talleres de co-construcción  sobre instancias de representación y mecanismos de participación, efectivamente realizados.</t>
  </si>
  <si>
    <t>29O3</t>
  </si>
  <si>
    <t>29O3E1</t>
  </si>
  <si>
    <t>Software con mayor funcionalidad y alcance para la operación, seguimiento y monitoreo  de consultas y elecciones universitarias (cooperación de la División Gestión Informática)</t>
  </si>
  <si>
    <t>30O1</t>
  </si>
  <si>
    <t>30O1E1</t>
  </si>
  <si>
    <t>Colección editorial publicada</t>
  </si>
  <si>
    <t>30O2</t>
  </si>
  <si>
    <t>30O2E1</t>
  </si>
  <si>
    <t>30O2E2</t>
  </si>
  <si>
    <t>Eventos realizados</t>
  </si>
  <si>
    <t>31O1</t>
  </si>
  <si>
    <t>31O1E1</t>
  </si>
  <si>
    <t>Procesos academicos y administrativos automatizados</t>
  </si>
  <si>
    <t>31O1E2</t>
  </si>
  <si>
    <t>Capacidades de integración de aplicaciones institucionales</t>
  </si>
  <si>
    <t>31O2</t>
  </si>
  <si>
    <t>31O2E1</t>
  </si>
  <si>
    <t>Bitácora de procesos priorizado (Product process backlog)</t>
  </si>
  <si>
    <t>31O2E2</t>
  </si>
  <si>
    <t>Informes de valoración de procesos priorizados</t>
  </si>
  <si>
    <t>31O2E3</t>
  </si>
  <si>
    <t>Modelo de operación y prácticas de la innovación de procesos</t>
  </si>
  <si>
    <t>31O2E4</t>
  </si>
  <si>
    <t>Informes de la gestión del proyecto PAI</t>
  </si>
  <si>
    <t>31O3</t>
  </si>
  <si>
    <t>31O3E1</t>
  </si>
  <si>
    <t>Personal formado en nuevas metodologias y técnicas para la actualizacion de procesos</t>
  </si>
  <si>
    <t>31O3E2</t>
  </si>
  <si>
    <t>Personal certificado en módulos OnBase</t>
  </si>
  <si>
    <t>32O1</t>
  </si>
  <si>
    <t>32O1E1</t>
  </si>
  <si>
    <t xml:space="preserve">Lineamientos, reglamentos, procedimientos y guías actualizados o ajustados relacionados con la regionalización universitaria </t>
  </si>
  <si>
    <t>32O1E2</t>
  </si>
  <si>
    <t>Acto administrativo que delega el gasto para  la contratación de bienes y servicios de mínima cuantía en los directores de las sedes foco</t>
  </si>
  <si>
    <t>32O2</t>
  </si>
  <si>
    <t>32O2E1</t>
  </si>
  <si>
    <t>Procesos descentralizados, desconcentrados o mejorados de: formación, investigación, extensión, administrativo y bienestar para las regiones focalizadas</t>
  </si>
  <si>
    <t>32O2E2</t>
  </si>
  <si>
    <t>Plan de capacitación y formación para el talento humano en temas de gestión de procesos, sistemas de información, contratación, gestión de riesgos psicosociales, gestión documental, entre otros.</t>
  </si>
  <si>
    <t>32O2E3</t>
  </si>
  <si>
    <t xml:space="preserve">Licencias SAP y sistemas de información institucionales para la implementación de la descentralización de los procesos.  </t>
  </si>
  <si>
    <t>32O3</t>
  </si>
  <si>
    <t>32O3E1</t>
  </si>
  <si>
    <t>Estructura organizacional de las Seccionales Oriente  y Bajo Cauca, ante las instancias pertinentes.</t>
  </si>
  <si>
    <t>34O1</t>
  </si>
  <si>
    <t>34O1E1</t>
  </si>
  <si>
    <t>Diagnostico - Caracterización estado actual de la cultura de control</t>
  </si>
  <si>
    <t>34O1E2</t>
  </si>
  <si>
    <t>Estrategia de comunicaciones implementada y evaluada.</t>
  </si>
  <si>
    <t>34O2</t>
  </si>
  <si>
    <t>34O2E1</t>
  </si>
  <si>
    <t>Estructura del modelo de Autocontrol UdeA</t>
  </si>
  <si>
    <t>35O1</t>
  </si>
  <si>
    <t>35O1E1</t>
  </si>
  <si>
    <t>Documento con los protocolos de los indicadores para la medición de la RSU</t>
  </si>
  <si>
    <t>35O1E2</t>
  </si>
  <si>
    <t>Primera memoria de sostenibilidad  y responsabilidad social vinculadas a los informes de gestión de acuerdo a los parámetros planteados por ICONTEC</t>
  </si>
  <si>
    <t>35O1E3</t>
  </si>
  <si>
    <t>Documento definición de lineamientos para informes, reportes y otros</t>
  </si>
  <si>
    <t>35O2</t>
  </si>
  <si>
    <t>35O2E1</t>
  </si>
  <si>
    <t>Documento de priorización de grupos de interés y temas materiales</t>
  </si>
  <si>
    <t>35O2E2</t>
  </si>
  <si>
    <t xml:space="preserve">Exposición de estrategias de cultura y edu-comunicación de RSU </t>
  </si>
  <si>
    <t>35O3</t>
  </si>
  <si>
    <t>35O3E1</t>
  </si>
  <si>
    <t>Diplomado ODS - RSU</t>
  </si>
  <si>
    <t>35O3E2</t>
  </si>
  <si>
    <t>Talleres de ODS y RSU</t>
  </si>
  <si>
    <t>35O3E3</t>
  </si>
  <si>
    <t xml:space="preserve">Cartilla de RSU y ODS </t>
  </si>
  <si>
    <t>35O3E4</t>
  </si>
  <si>
    <t>Libro de RSU segunda versión</t>
  </si>
  <si>
    <t>36O1</t>
  </si>
  <si>
    <t>36O1E1</t>
  </si>
  <si>
    <t>Estrategia de comunicaciones para la implementación de acciones referentes a las TIC y a la oferta virtual de Bienestar</t>
  </si>
  <si>
    <t>36O1E2</t>
  </si>
  <si>
    <t>Capacitación en el uso de las TIC</t>
  </si>
  <si>
    <t>36O2</t>
  </si>
  <si>
    <t>36O2E1</t>
  </si>
  <si>
    <t>Sistema de información de Bienestar Universitario - SIBU actualizado en relación con las necesidades de los procesos del BU y en articulación con las plataformas y políticas de TIC de la Universidad.</t>
  </si>
  <si>
    <t>36O2E2</t>
  </si>
  <si>
    <t>Estudio de posibilidades de sistematización y automatización de procesos en el FBU y en Bienestar Estudiantil.</t>
  </si>
  <si>
    <t>36O2E3</t>
  </si>
  <si>
    <t>Herramienta de consolidación y reporte automatizado de las estadisticas de los servicios de Bienestar Universitario.</t>
  </si>
  <si>
    <t>36O2E4</t>
  </si>
  <si>
    <t>Herramientas tecnologicas automatizadas para la prestación de los servicios y la comunicación con los usuarios de la Dirección de Bienestar.</t>
  </si>
  <si>
    <t>36O2E5</t>
  </si>
  <si>
    <t>Aplicación movil que permita el acompañamiento en Salud Física.</t>
  </si>
  <si>
    <t>36O3</t>
  </si>
  <si>
    <t>36O3E1</t>
  </si>
  <si>
    <t>Espacios y dotación tecnológica adecuada.</t>
  </si>
  <si>
    <t>36O3E2</t>
  </si>
  <si>
    <t xml:space="preserve">Oferta formativa virtual mejorada. </t>
  </si>
  <si>
    <t>36O3E3</t>
  </si>
  <si>
    <t>Servicio de teleasistencia en salud mental.</t>
  </si>
  <si>
    <t>36O3E4</t>
  </si>
  <si>
    <t>Servicio de teleasistencia para la orientación y atención de VBGYSEX (Línea Violeta te Orient</t>
  </si>
  <si>
    <t>39O1</t>
  </si>
  <si>
    <t>39O1E1</t>
  </si>
  <si>
    <t>Infraestructura de Hardware y Software optimizada para la prestación de los servicios telemáticos</t>
  </si>
  <si>
    <t>39O1E2</t>
  </si>
  <si>
    <t>Funcionarios capacitados en nuevas funcionalidades y características avanzadas de tecnologías de información y comunicaciones (TIC)</t>
  </si>
  <si>
    <t>39O2</t>
  </si>
  <si>
    <t>39O2E1</t>
  </si>
  <si>
    <t>Centro de datos dotado con las condiciones físicas y de redes apropiadas para su operación</t>
  </si>
  <si>
    <t>39O2E2</t>
  </si>
  <si>
    <t>Centro de datos dotado con las herramientas de gestión y seguridad apropiadas</t>
  </si>
  <si>
    <t>39O3</t>
  </si>
  <si>
    <t>39O3E1</t>
  </si>
  <si>
    <t>Actas de interventoría, cronograma, informes de gestión</t>
  </si>
  <si>
    <t>40O1</t>
  </si>
  <si>
    <t>40O1E1</t>
  </si>
  <si>
    <t>Hardware LAN optimizado para la prestación de servicios telemáticos</t>
  </si>
  <si>
    <t>40O1E2</t>
  </si>
  <si>
    <t>Hardware WLAN optimizado para la prestación de servicios telemáticos</t>
  </si>
  <si>
    <t>40O1E3</t>
  </si>
  <si>
    <t>40O1E4</t>
  </si>
  <si>
    <t>Centros de cableado acondicionados  para albergar la  tecnología LAN</t>
  </si>
  <si>
    <t>40O1E5</t>
  </si>
  <si>
    <t>Protocolo IPv6 adoptado</t>
  </si>
  <si>
    <t>40O2</t>
  </si>
  <si>
    <t>40O2E1</t>
  </si>
  <si>
    <t>Herramientas de monitoreo para la plataforma informática  integradas y optimizadas.</t>
  </si>
  <si>
    <t>40O2E2</t>
  </si>
  <si>
    <t>Funcionarios capacitados en capacidades de monitoreo integrado para plataforma informática.</t>
  </si>
  <si>
    <t>40O3</t>
  </si>
  <si>
    <t>40O3E1</t>
  </si>
  <si>
    <t xml:space="preserve">Controles de seguridad en la infraestructura TIC implementados. </t>
  </si>
  <si>
    <t>40O3E2</t>
  </si>
  <si>
    <t>Herramientas de monitoreo de incidentes de seguridad en la infraestructura de TIC implementadas.</t>
  </si>
  <si>
    <t>40O3E3</t>
  </si>
  <si>
    <t>Controles  de seguridad para los servicios en la nube implementados.</t>
  </si>
  <si>
    <t>40O3E4</t>
  </si>
  <si>
    <t>Capacidades de análisis de vulnerabilidad de la infraestructura TIC implementadas.</t>
  </si>
  <si>
    <t>40O4</t>
  </si>
  <si>
    <t>40O4E1</t>
  </si>
  <si>
    <t>Actas de Interventoría, Cronogramas, Informes de Gestión</t>
  </si>
  <si>
    <t>42O1</t>
  </si>
  <si>
    <t>42O1E1</t>
  </si>
  <si>
    <t>Estrategia de divulgación</t>
  </si>
  <si>
    <t>42O1E2</t>
  </si>
  <si>
    <t>Repositorio de memorias de las actividades de divulgación</t>
  </si>
  <si>
    <t>42O2</t>
  </si>
  <si>
    <t>42O2E1</t>
  </si>
  <si>
    <t>Dashboard publicados en el portal universitario: sitio Data UdeA y Tableau server</t>
  </si>
  <si>
    <t>42O2E2</t>
  </si>
  <si>
    <t>Documentos de los estudios e informes de datos realizados</t>
  </si>
  <si>
    <t>42O2E3</t>
  </si>
  <si>
    <t>Informes de avances y gestión del proyecto</t>
  </si>
  <si>
    <t>43O1</t>
  </si>
  <si>
    <t>43O1E1</t>
  </si>
  <si>
    <t>Equipos de computo configurados e instalados</t>
  </si>
  <si>
    <t>43O1E2</t>
  </si>
  <si>
    <t>Sistema de Gestión de Bibliotecas instalado</t>
  </si>
  <si>
    <t>43O1E3</t>
  </si>
  <si>
    <t>Dispositivos perifericos actualizados</t>
  </si>
  <si>
    <t>43O2</t>
  </si>
  <si>
    <t>43O2E1</t>
  </si>
  <si>
    <t>Antenas de seguridad instaladas para el control del material bibliográfico</t>
  </si>
  <si>
    <t>44O1</t>
  </si>
  <si>
    <t>44O1E1</t>
  </si>
  <si>
    <t>Espacios del Archivo Histórico  adecuado con las condiciones mínimas, acorde con lo establecido en el Acuerdo 049 de 2000</t>
  </si>
  <si>
    <t>44O1E2</t>
  </si>
  <si>
    <t>Espacios del Archivo Central  adecuado con las condiciones mínimas, acorde con lo establecido en el Acuerdo 049 de 2001</t>
  </si>
  <si>
    <t>44O2</t>
  </si>
  <si>
    <t>44O2E1</t>
  </si>
  <si>
    <t>Equipo interdisciplinario conformado que asuma la responsabilidad y el compromiso por las acciones de preservación digital, la capacidad organizativa y la conservación.</t>
  </si>
  <si>
    <t>44O2E2</t>
  </si>
  <si>
    <t>Política de preservación con la normalización de metadatos, normalización de formatos y nombramiento de archivos electrónicos elaborada y aprobada.</t>
  </si>
  <si>
    <t>44O2E3</t>
  </si>
  <si>
    <t xml:space="preserve">Programa  diseñado y aprobado de preservación digital donde se incluya como mínimo los siguientes aspectos: vigilancia tecnológica metadatos de preservación, la obsolescencia de soportes, obsolescencia de formatos, obsolescencia de software, obsolescencia de hardware y la infraestructura tecnológica para la gestión electrónica de documentos e inversión constante y periódica definida en metas de corto, mediano y largo plazo mediante las cuales se permita la renovación de soportes y equipos. </t>
  </si>
  <si>
    <t>44O3</t>
  </si>
  <si>
    <t>44O3E1</t>
  </si>
  <si>
    <t xml:space="preserve">4 campañas sensibilización sobre conservación y preservación </t>
  </si>
  <si>
    <t>44O3E2</t>
  </si>
  <si>
    <t>1 diplomado sobre conservación y preservación digital para servidores públicos de la Universidad. (10)</t>
  </si>
  <si>
    <t>44O3E3</t>
  </si>
  <si>
    <t>45O1</t>
  </si>
  <si>
    <t>45O1E1</t>
  </si>
  <si>
    <t>Plataforma Instalada</t>
  </si>
  <si>
    <t>45O2</t>
  </si>
  <si>
    <t>45O2E1</t>
  </si>
  <si>
    <t>Plataforma en operación y libros disponibles para los usuarios</t>
  </si>
  <si>
    <t>46O1</t>
  </si>
  <si>
    <t>46O1E1</t>
  </si>
  <si>
    <t xml:space="preserve">historias academicas digitalizadas e indexadas </t>
  </si>
  <si>
    <t>46O2</t>
  </si>
  <si>
    <t>46O2E1</t>
  </si>
  <si>
    <t xml:space="preserve">documentos historicos conservados tecnicamente </t>
  </si>
  <si>
    <t>47O1</t>
  </si>
  <si>
    <t>47O1E1</t>
  </si>
  <si>
    <t xml:space="preserve">Licitación Pública para la contratación de la obra. </t>
  </si>
  <si>
    <t>47O2</t>
  </si>
  <si>
    <t>47O2E1</t>
  </si>
  <si>
    <t>Nueva sede construida</t>
  </si>
  <si>
    <t>48O1</t>
  </si>
  <si>
    <t>48O1E1</t>
  </si>
  <si>
    <t>48O2</t>
  </si>
  <si>
    <t>48O2E1</t>
  </si>
  <si>
    <t>49O1</t>
  </si>
  <si>
    <t>49O1E1</t>
  </si>
  <si>
    <t>Obras de adecuación y nueva infraestrctura física ejecutadas con recursos propios de las Unidades académicas y Adminsitrativas</t>
  </si>
  <si>
    <t>49O2</t>
  </si>
  <si>
    <t>49O2E1</t>
  </si>
  <si>
    <t>Adecuacion y construcción de Infraestructura Física en Regiones</t>
  </si>
  <si>
    <t>49O2E2</t>
  </si>
  <si>
    <t>Adecuación y restauración de la Facultad de Medicina</t>
  </si>
  <si>
    <t>49O2E3</t>
  </si>
  <si>
    <t>Sala de Resonancia Magnética - Facultad de Medicina</t>
  </si>
  <si>
    <t>49O2E4</t>
  </si>
  <si>
    <t>Adecuación acustica de aulas y espacios de ensayo del bloque 25 - Facultad de Artes</t>
  </si>
  <si>
    <t>49O2E5</t>
  </si>
  <si>
    <t>Adecuación de 4 Laboratorios Facultad de Ciencias Exactas y Naturales</t>
  </si>
  <si>
    <t>49O2E6</t>
  </si>
  <si>
    <t>Construcción de Observatorio Astronómico - Facultad de Ciencias Exactas y Naturales</t>
  </si>
  <si>
    <t>49O2E7</t>
  </si>
  <si>
    <t>Adecuación de Laboratorios Facultad de Ciencias Farmacéuticas y Alimentarias</t>
  </si>
  <si>
    <t>49O2E8</t>
  </si>
  <si>
    <t>Adecuación Biobanco - Corporación Académica para el Estudio de Patologías Tropicales</t>
  </si>
  <si>
    <t>49O2E9</t>
  </si>
  <si>
    <t>Adecucaciones a la Planta Física de la Facultad de Odontología</t>
  </si>
  <si>
    <t>49O2E10</t>
  </si>
  <si>
    <t>Traslado Laboratorio de Simulación y Adecuaciones  generales  de la Facultad de Enfermería</t>
  </si>
  <si>
    <t>49O2E11</t>
  </si>
  <si>
    <t>Adecuación pisos 3 y 4 del Bloque 10 - Facultad de Comunicaciones y Filología</t>
  </si>
  <si>
    <t>49O2E12</t>
  </si>
  <si>
    <t>Adecuaciones Edificio de San Ignacio - 1-3</t>
  </si>
  <si>
    <t>49O2E13</t>
  </si>
  <si>
    <t>Adecuación Laboratorios Escuela de Microbiología</t>
  </si>
  <si>
    <t>49O2E14</t>
  </si>
  <si>
    <t>Ambientes de Aprendizaje para la Facultad de Educación</t>
  </si>
  <si>
    <t>49O2E15</t>
  </si>
  <si>
    <t>Adecuaciones Planta Física - Corporación Académica Ambiental</t>
  </si>
  <si>
    <t>50O1</t>
  </si>
  <si>
    <t>50O1E1</t>
  </si>
  <si>
    <t>Inventario de acciones y formas de vinculación de las dependencias, sedes y seccionales para el accionar en los territorios.</t>
  </si>
  <si>
    <t>50O1E2</t>
  </si>
  <si>
    <t xml:space="preserve">Modelo de interacción y relacionamiento entre la comunidad universitaria extendida para la actuación glocal </t>
  </si>
  <si>
    <t>50O1E3</t>
  </si>
  <si>
    <t xml:space="preserve">Socialización y apropiación del Modelo de interacción y relacionamiento entre la comunidad universitaria extendida para la actuación glocal </t>
  </si>
  <si>
    <t>50O2</t>
  </si>
  <si>
    <t>50O2E1</t>
  </si>
  <si>
    <t xml:space="preserve">Caracterización de las comunidades de los territorios y de los diferentes actores que se relacionan con la Universidad, identificando proyectos locales y experiencias significativas  (productivos, sociales, políticos, desarrollo territorial, ambiental entre otros) </t>
  </si>
  <si>
    <t>50O3</t>
  </si>
  <si>
    <t>50O3E1</t>
  </si>
  <si>
    <t>Diseño y ejecución del Plan de acción conjunto (agendas territoriales para la cultura, la productividad,  igualdad de género, innovación social territorial)  basado en el modelo de relacionamiento universitario en, desde y para los territorios.</t>
  </si>
  <si>
    <t>50O3E2</t>
  </si>
  <si>
    <t>Lanzamiento y socialización con la comunidad universitaria extendida del plan de acción del Modelo y de interacción y relacionamiento  para la actuación glocal</t>
  </si>
  <si>
    <t>50O3E3</t>
  </si>
  <si>
    <t>Evaluación, informes y proyección de sostenibilidad del Modelo de interacción y relacionamiento entre la comunidad universitaria extendida para la actuación glocal</t>
  </si>
  <si>
    <t>51O1</t>
  </si>
  <si>
    <t>Sistematización de plan de capacitación/formación para empleados de bienestar en diversidad</t>
  </si>
  <si>
    <t>Informe de espacios formativos para comunidad universitaria</t>
  </si>
  <si>
    <t>Colección de recursos para implementación de procesos inclusivos en Bienestar Universitario en sedes y seccionales (Rutas de acompañamiento, materiales pedagógicos,  guías o lineamientos)</t>
  </si>
  <si>
    <t xml:space="preserve">Diseño curricular del plan de formación y capacitación </t>
  </si>
  <si>
    <t>Procesos formativos y de capacitación en deporte inclusivo</t>
  </si>
  <si>
    <t>51O2</t>
  </si>
  <si>
    <t>Plataforma SIBU con las adecuaciones que permitan el análisis de variables con enfoque de la diversidad</t>
  </si>
  <si>
    <t>Estrategia de comunicaciones y Campaña proceso SIBU diverso</t>
  </si>
  <si>
    <t>Informe general de proceso de transformación SIBU diverso, incuyendo construcción de variables</t>
  </si>
  <si>
    <t>51O3</t>
  </si>
  <si>
    <t xml:space="preserve">Mapeo de necesidades y percepciones sobre PES de bienestar con unidades académicas y colectivos con enfoque de la diversidad. </t>
  </si>
  <si>
    <t>Oferta integral inclusiva en todos los departamentos de bienestar</t>
  </si>
  <si>
    <t>51O4</t>
  </si>
  <si>
    <t>Diagnóstico de dotación de implementos y caracterización de espacios y zonas comunes con adecuación para mejorar accesibilidad al medio físico de la comunidad universitaria, contemplando todas las condiciones de movilidad  y  en todas las sedes.</t>
  </si>
  <si>
    <t xml:space="preserve">Dotación en implementos para desarrollo de oferta inclusiva  en todas las sedes y seccionales. </t>
  </si>
  <si>
    <t>52O1</t>
  </si>
  <si>
    <t>52O1E1</t>
  </si>
  <si>
    <t>Instrumento de caracterización de las formas más frecuentes de  discriminación y  VBG diseñado.</t>
  </si>
  <si>
    <t>52O1E2</t>
  </si>
  <si>
    <t>Documento de análisis  de resultados de la aplicación del Instrumento de caracterización de las formas más frecuentes de  discriminación y  VBG terminado.</t>
  </si>
  <si>
    <t>52O2</t>
  </si>
  <si>
    <t>52O2E1</t>
  </si>
  <si>
    <t>Estructura metodológica del sistema de vigilancia en salud pública de las VBG diseñada.</t>
  </si>
  <si>
    <t>52O2E2</t>
  </si>
  <si>
    <t>Estructura tecnológica sistema de vigilancia en salud pública de las VBG  diseñada.</t>
  </si>
  <si>
    <t>52O3</t>
  </si>
  <si>
    <t>52O3E1</t>
  </si>
  <si>
    <t xml:space="preserve">Capacitaciones realizadas para la promoción de espacios libres de discriminacion y la prevención de las violencias basadas en género. </t>
  </si>
  <si>
    <t>52O3E2</t>
  </si>
  <si>
    <t>Asesorías y acompañamiento realizados  a la comunidad universitaria para la superación de las Violencias Basadas en Género y la revictimizacion institucional.</t>
  </si>
  <si>
    <t>52O3E3</t>
  </si>
  <si>
    <t>Piezas comunicativas realizadas para el desarrollo de los procesos.</t>
  </si>
  <si>
    <t>52O3E4</t>
  </si>
  <si>
    <t>Definición de los  criterios básicos para la elaboración de la politica de equidad de género en la Universidad.</t>
  </si>
  <si>
    <t>53O1</t>
  </si>
  <si>
    <t>53O1E1</t>
  </si>
  <si>
    <t>Aula infantil para el desarrollo y el aprendizaje</t>
  </si>
  <si>
    <t>53O1E2</t>
  </si>
  <si>
    <t>Virtualización talleres de formación sobre el cuidado en casa</t>
  </si>
  <si>
    <t>53O1E3</t>
  </si>
  <si>
    <t>Maternar: Estrategia de promoción de bienestar y atención integral a niños y niñas</t>
  </si>
  <si>
    <t>53O1E4</t>
  </si>
  <si>
    <t xml:space="preserve">Prueba piloto aula infantil para el desarollo y el aprendizaje seccional </t>
  </si>
  <si>
    <t>53O2</t>
  </si>
  <si>
    <t>53O2E1</t>
  </si>
  <si>
    <t>Virtualización educación continua: Portafolio Oferta Intergeneracional</t>
  </si>
  <si>
    <t>53O2E2</t>
  </si>
  <si>
    <t>Conversatorios Campus Intergeneracional</t>
  </si>
  <si>
    <t>53O2E3</t>
  </si>
  <si>
    <t>Portafolio perspectiva intergeneracional</t>
  </si>
  <si>
    <t>53O3</t>
  </si>
  <si>
    <t>53O3E1</t>
  </si>
  <si>
    <t>Mesa de diálogo entorno a la inclusión</t>
  </si>
  <si>
    <t>53O3E2</t>
  </si>
  <si>
    <t>Aula universitaria de adultos mayores: un espacio con educación continua para adultos mayores</t>
  </si>
  <si>
    <t>53O3E3</t>
  </si>
  <si>
    <t>Congreso entorno al adulto mayor</t>
  </si>
  <si>
    <t>53O3E4</t>
  </si>
  <si>
    <t xml:space="preserve">Virtualización acompañamiento vida integral </t>
  </si>
  <si>
    <t>53O3E5</t>
  </si>
  <si>
    <t>Señales de inclusión en el campus universitario</t>
  </si>
  <si>
    <t>53O4</t>
  </si>
  <si>
    <t>53O4E1</t>
  </si>
  <si>
    <t>Campañas de intervención (prevención y atención) a comunidades vulnerables</t>
  </si>
  <si>
    <t>53O4E2</t>
  </si>
  <si>
    <t xml:space="preserve">Talleres de formación para voluntarios </t>
  </si>
  <si>
    <t>53O4E3</t>
  </si>
  <si>
    <t xml:space="preserve">Virtualización para facilitar la interacción con público </t>
  </si>
  <si>
    <t>54O1</t>
  </si>
  <si>
    <t>54O1E1</t>
  </si>
  <si>
    <t>Política institucional de prevención y atención de las violencias basadas en género y sexuales.</t>
  </si>
  <si>
    <t>54O1E2</t>
  </si>
  <si>
    <t xml:space="preserve">Escuela de Género: escenarios formativos de co-construcción, reflexión y sensibilización que contribuyan a la prevención de las violencias basadas en género en la Universidad de Antioquia. </t>
  </si>
  <si>
    <t>54O1E3</t>
  </si>
  <si>
    <t>Pacto universitario por la convivencia pacífica en los campus.</t>
  </si>
  <si>
    <t>54O1E4</t>
  </si>
  <si>
    <t>Juegos deportivos regionales como escenario para la contrucción de paz</t>
  </si>
  <si>
    <t>54O2</t>
  </si>
  <si>
    <t>54O2E1</t>
  </si>
  <si>
    <t>Espacios de formación, reflexión, cocreación con la comunidad universitaria.</t>
  </si>
  <si>
    <t>54O2E2</t>
  </si>
  <si>
    <t>Estrategia de educación experiencial para el bienestar (propio, del otro y lo otro), que incluya la realización de material educomunicativo.</t>
  </si>
  <si>
    <t>54O2E3</t>
  </si>
  <si>
    <t xml:space="preserve">Campaña de comunicación para la autogestión del bienestar, la construcción del sentido de comunidad y el fortalecimiento de las redes de apoyo familiares, sociales y académicas. </t>
  </si>
  <si>
    <t>54O3</t>
  </si>
  <si>
    <t>54O3E1</t>
  </si>
  <si>
    <t xml:space="preserve">"UdeAmiga", acciones enfocada en el fortalecimiento de las redes de apoyo entre amigas y amigos de quienes integran la comunidad universitaria. </t>
  </si>
  <si>
    <t>54O3E2</t>
  </si>
  <si>
    <t>Juntos cuidamos, acciones enfocadas al bienestar personal y familiar para de los profesores</t>
  </si>
  <si>
    <t>54O3E3</t>
  </si>
  <si>
    <t>"Bien Estar en Familia", acción centrada en visibilizar y fortalecer aspectos relevantes sobre la familia, las redes de apoyo y los factores protectores que influyen el proyecto de vida universitario, al igual que, en el bienestar de quienes integran la comunidad universitaria.</t>
  </si>
  <si>
    <t>54O3E4</t>
  </si>
  <si>
    <t>Fortalecimiento de la articulación y/o generación de convenios con Vicerrectoría de Docencia y sus equipos de biblioteca, udea@, permanencia estudiantil, prácticas académicas y con la Facultad de Ciencias Sociales y Humanas a través del laboratorio de psicología, enfocándose en potenciar acciones que posibiliten un acompañamiento académico integral con bienestar.</t>
  </si>
  <si>
    <t>55O1</t>
  </si>
  <si>
    <t>55O1E1</t>
  </si>
  <si>
    <t xml:space="preserve">2 informes de implementación de proyectos de la línea de  participación y el fortalecimiento socio comunitario </t>
  </si>
  <si>
    <t>55O1E2</t>
  </si>
  <si>
    <t>2 informes de implementación de proyectos de la línea  de desarrollo de entornos físicos (transformar los territorios en entornos habitables)</t>
  </si>
  <si>
    <t>55O1E3</t>
  </si>
  <si>
    <t>2 informes de implementación de proyectos de la línea  de promoción y consolidación de las economías con enfoque comunitario (proyectos productivos y modelos asociativos para la creación de mecanismos que fortalezcan el control de las comunidades sobre los recursos económicos)</t>
  </si>
  <si>
    <t>55O2</t>
  </si>
  <si>
    <t>55O2E1</t>
  </si>
  <si>
    <t xml:space="preserve">1 documento de sistematización de la implementación del proyecto volver a la política </t>
  </si>
  <si>
    <t>55O2E2</t>
  </si>
  <si>
    <t xml:space="preserve">3 informes de implementación de la semana universitaria por la PAZ </t>
  </si>
  <si>
    <t>56O1</t>
  </si>
  <si>
    <t>56O1E1</t>
  </si>
  <si>
    <t>5 documentos de diseño  académico,  curricular y metodológico de los procesos de formación</t>
  </si>
  <si>
    <t>56O1E2</t>
  </si>
  <si>
    <t xml:space="preserve">5 Informes y memorias de la implementación de los programas de formación </t>
  </si>
  <si>
    <t>56O2</t>
  </si>
  <si>
    <t>56O2E1</t>
  </si>
  <si>
    <t xml:space="preserve">1 libro sobre los impactos del conflicto armado en la Universidad de Antioquia </t>
  </si>
  <si>
    <t>56O2E2</t>
  </si>
  <si>
    <t>2 artículos científicos publicados en revista indexada</t>
  </si>
  <si>
    <t>57O1</t>
  </si>
  <si>
    <t>57O1E1</t>
  </si>
  <si>
    <t xml:space="preserve">3 memorias de espacios de promoción y problematización  de la solución  política y negociada del conflicto aramdo interno, implementados con organizaciones y entidades territoriales y nacionales </t>
  </si>
  <si>
    <t>57O1E2</t>
  </si>
  <si>
    <t xml:space="preserve">1 documento de orientaciones metodológicas y técnicas para la participación de sociedad civil en los procesos de negociación y construcción de la paz </t>
  </si>
  <si>
    <t>57O2</t>
  </si>
  <si>
    <t>57O2E1</t>
  </si>
  <si>
    <t xml:space="preserve">1 documento de lineamientos de política pública nacional de construcción de paz </t>
  </si>
  <si>
    <t>57O2E2</t>
  </si>
  <si>
    <t xml:space="preserve">1 documento de política pública territorial de cuidado y formación a la primera infancia, con enfoque diferencial, para hijos  e hijas de excombatientes de FARC en el municipio de Medellín </t>
  </si>
  <si>
    <t>58O1</t>
  </si>
  <si>
    <t>58O1E1</t>
  </si>
  <si>
    <t>Metodologías para el acompañamiento social, productivo, económico, ambiental y de articulación de actores que promuevan programas, estrategias y  acciones orientadas a la materialización de proyectos y lineas de emprendimiento priorizados para la seguridad alimentaria, la competitividad y la sostenbilidad del sector agropecuario.</t>
  </si>
  <si>
    <t>58O1E2</t>
  </si>
  <si>
    <t>Programas de formación y acompañamiento para la producción agropecuaria implementados (UdeAgro-UMATA Digital)</t>
  </si>
  <si>
    <t>58O2</t>
  </si>
  <si>
    <t>58O2E1</t>
  </si>
  <si>
    <t>Banco de recursos o mediaciones para la formación y el acompañamiento, en concordancia con los niveles conceptual y práctico que se plantean para la extensión agropecuaria.</t>
  </si>
  <si>
    <t>58O2E2</t>
  </si>
  <si>
    <t>Plataforma de innovación para el sector agropecuario - CEDAIT, como herramienta para la asociatividad y el desarrollo sostenible y competitivo del sector agropecuario en el departamento.</t>
  </si>
  <si>
    <t>59O1</t>
  </si>
  <si>
    <t>59O1E1</t>
  </si>
  <si>
    <t>1 estrategia educomunicativa para el reconocimiento e implementación de los principios del buen vivir</t>
  </si>
  <si>
    <t>59O1E2</t>
  </si>
  <si>
    <t>1 publicación anual de Colección Diwersa de publicaciones plurilingües, accesibles e interculturales (Libros, podcast-audiolibros y recursos digitales interactivos)</t>
  </si>
  <si>
    <t>59O1E3</t>
  </si>
  <si>
    <t>1 recurso plurilingue y multimodal de sistematización del proceso de fortalecimiento de la cultura universitaria desde el buen vivir-universitario (estrategias de curriculización y lineamientos para la implementación)</t>
  </si>
  <si>
    <t>59O2</t>
  </si>
  <si>
    <t>59O2E1</t>
  </si>
  <si>
    <t xml:space="preserve">8 cursos semestrales de formación en diversidades </t>
  </si>
  <si>
    <t>59O2E2</t>
  </si>
  <si>
    <t xml:space="preserve">1 ciclo semestral de palabreo desde y para el buen vivir universitario </t>
  </si>
  <si>
    <t>60O1</t>
  </si>
  <si>
    <t>60O1E1</t>
  </si>
  <si>
    <t xml:space="preserve">Diagnóstico del cumplimiento de las políticas vigentes sobre la sostenibilidad ambiental en las sedes y seccionales. </t>
  </si>
  <si>
    <t>60O2</t>
  </si>
  <si>
    <t>60O2E1</t>
  </si>
  <si>
    <t>Encuentros de investigación y extensión priorizadas por cada región y  enfocadas en la sostenibilidad territorial</t>
  </si>
  <si>
    <t>60O3</t>
  </si>
  <si>
    <t>60O3E1</t>
  </si>
  <si>
    <t xml:space="preserve">Campañas internas y externas para fortalecer los saberes sobre sostenibilidad  y minimización de los efectos por lla pandemia Covid 19,  en la institución y para los territorios (cartillas, conferencias, videos, Ecard, podcast)  </t>
  </si>
  <si>
    <t>60O3E2</t>
  </si>
  <si>
    <t xml:space="preserve">Capacitación teórico - práctica a la comunidad universitaria y/o actores regionales sobre sostenibilidad, agroecológica, autocuidado y seguridad alimentaria.   </t>
  </si>
  <si>
    <t>60O3E3</t>
  </si>
  <si>
    <t xml:space="preserve">Gestión con las entidades competentes para la declaratoria de la figura pertinente para el bosque ubicado en la sede de Carepa </t>
  </si>
  <si>
    <t>61O1</t>
  </si>
  <si>
    <t>61O1E1</t>
  </si>
  <si>
    <t>Programa de formación integral en salud con dos  líneas: nutricional y salud física. integra eventos masivos, actividad física con seguimiento y libre, cursos, talleres, seminarios, conversatorios, conferencias.</t>
  </si>
  <si>
    <t>61O1E2</t>
  </si>
  <si>
    <t>Talleres de arte y cultura</t>
  </si>
  <si>
    <t>61O1E3</t>
  </si>
  <si>
    <t>Tamizajes para la valoración de la condición física</t>
  </si>
  <si>
    <t>61O2</t>
  </si>
  <si>
    <t>61O2E1</t>
  </si>
  <si>
    <t>Perfil en salud mental de estudiantes</t>
  </si>
  <si>
    <t>61O2E2</t>
  </si>
  <si>
    <t>Diagnóstico de factores relacionados con las conductas adictivas en la comunidad universitaria</t>
  </si>
  <si>
    <t>61O2E3</t>
  </si>
  <si>
    <t>Actividades formativas que fortalezcan los factores de proteccion individuales,sociales e institucionales de la comunidad universitaria</t>
  </si>
  <si>
    <t>61O2E4</t>
  </si>
  <si>
    <t>Una red operativa articulada para el acompañamiento a la comunidad universitaria en conductas adictivas</t>
  </si>
  <si>
    <t>61O2E5</t>
  </si>
  <si>
    <t>Material pedagógico para el fortalecimiento de la salud mental en la comunidad universitaria</t>
  </si>
  <si>
    <t>61O2E6</t>
  </si>
  <si>
    <t>Escuela de habitos y habilidades Financieras</t>
  </si>
  <si>
    <t>61O3</t>
  </si>
  <si>
    <t>61O3E1</t>
  </si>
  <si>
    <t>Diseño e implementación de Autoservicio saludable (puesta en operación de 3 puntos en Medellín)</t>
  </si>
  <si>
    <t>61O3E2</t>
  </si>
  <si>
    <t>Desarrollar estrategias comerciales para estimular e incentivar hábitos de vida saludable en la comunidad universitaria (diseño e implementación de 4 Puntos de venta saludables)</t>
  </si>
  <si>
    <t>61O4</t>
  </si>
  <si>
    <t>61O4E1</t>
  </si>
  <si>
    <t>Diseño e implementación de programa "RECICLE Vaso de papel"</t>
  </si>
  <si>
    <t>61O4E2</t>
  </si>
  <si>
    <t>Aprovechamiento ecológico de residuos orgánicos generados en la Universidad.</t>
  </si>
  <si>
    <t>62O1</t>
  </si>
  <si>
    <t>62O1E1</t>
  </si>
  <si>
    <t>Metodologia para la formulación de la Sostenibilidad Institucional.</t>
  </si>
  <si>
    <t>62O1E2</t>
  </si>
  <si>
    <t>Política  de Sostenibilidad Institucional.</t>
  </si>
  <si>
    <t>62O1E3</t>
  </si>
  <si>
    <t>Propuesta de Sostenibilidad Institucional</t>
  </si>
  <si>
    <t>62O2</t>
  </si>
  <si>
    <t>62O2E1</t>
  </si>
  <si>
    <t>Metodologia para la formulación del Plan de Gestión Ambiental Institucional.</t>
  </si>
  <si>
    <t>62O2E2</t>
  </si>
  <si>
    <t>Política  del Plan de Gestión Ambiental Institucional.</t>
  </si>
  <si>
    <t>62O2E3</t>
  </si>
  <si>
    <t>Plan de Gestión Ambiental acoplado a la estrategia de sostenibilidad institucional, actualizado e integrado al PDI y PAI</t>
  </si>
  <si>
    <t>62O3</t>
  </si>
  <si>
    <t>62O3E1</t>
  </si>
  <si>
    <t>Metodologia para la formulación del Plan de Manejo Integral de Residuos</t>
  </si>
  <si>
    <t>62O3E2</t>
  </si>
  <si>
    <t>Plan de Manejo Integral de Residuos</t>
  </si>
  <si>
    <t>65O1</t>
  </si>
  <si>
    <t>65O1E1</t>
  </si>
  <si>
    <t>Plan museológico, que incluye prefactibilidad del Centro de Pensamiento y Creación Contemporánea MUUA, cuya ubicación se sugiere en la antigua Lavandería del ISS ubicada en la calle 70 # 52 - 09/41.
(40millones)</t>
  </si>
  <si>
    <t>65O1E2</t>
  </si>
  <si>
    <t>Reconocimiento del Museo Universitario como centro de ciencia</t>
  </si>
  <si>
    <t>65O2</t>
  </si>
  <si>
    <t>65O2E1</t>
  </si>
  <si>
    <t xml:space="preserve">Espacio asignado por parte de las autoridades universitarias </t>
  </si>
  <si>
    <t>66O1</t>
  </si>
  <si>
    <t>66O1E1</t>
  </si>
  <si>
    <t xml:space="preserve">Espacio físico por parte de las autoridades universitarias </t>
  </si>
  <si>
    <t>66O1E2</t>
  </si>
  <si>
    <t>Mobiliario y dotación en general para el laboratorio Fase 1</t>
  </si>
  <si>
    <t>66O2</t>
  </si>
  <si>
    <t>66O2E1</t>
  </si>
  <si>
    <t>Mobiliario y dotación para el almacenaje y conservación de las colecciones Artes-MUUA</t>
  </si>
  <si>
    <t>3O1</t>
  </si>
  <si>
    <t>3O1E1</t>
  </si>
  <si>
    <t xml:space="preserve">Documento con evidencias de procesos de acompañamiento para el abordaje del tema y la sensibilización.  </t>
  </si>
  <si>
    <t>3O2</t>
  </si>
  <si>
    <t>3O2E1</t>
  </si>
  <si>
    <t xml:space="preserve">Documento con Orientaciones para la implementación de modalidades educativas en la Universidad. </t>
  </si>
  <si>
    <t>3O3</t>
  </si>
  <si>
    <t>3O3E1</t>
  </si>
  <si>
    <t>Informe con cursos de pregrado transformados hacía nuevas modalidades</t>
  </si>
  <si>
    <t>3O3E2</t>
  </si>
  <si>
    <t>Informe con propuesta de programa nuevo con modalidad dual</t>
  </si>
  <si>
    <t>3O3E3</t>
  </si>
  <si>
    <t xml:space="preserve">Informe de programas con estrategias de internacionalización implementadas </t>
  </si>
  <si>
    <t>21O1</t>
  </si>
  <si>
    <t>21O1E1</t>
  </si>
  <si>
    <t>Actividades y encuentros para el fomento y la apropiación del emprendimiento y la innovación en las subregiones del departamento</t>
  </si>
  <si>
    <t>21O1E2</t>
  </si>
  <si>
    <t>Plan de comunicaciones con enfoque a la apropiación social de CTi+e, para las subregiones del departamento</t>
  </si>
  <si>
    <t>21O2</t>
  </si>
  <si>
    <t>21O2E1</t>
  </si>
  <si>
    <t>Plan de articulación de redes de emprendimiento en las subregiones en el marco de los CUEE.</t>
  </si>
  <si>
    <t>21O3</t>
  </si>
  <si>
    <t>21O3E1</t>
  </si>
  <si>
    <t>Estrategia para la integración de contenidos, herramientas y gestión de indicadores de fomento y gestión del emprendimiento y la innovación en las subregiones del departamento</t>
  </si>
  <si>
    <t>21O3E2</t>
  </si>
  <si>
    <t>Ruta formativa para la gestión del emprendimiento y la innovación en las subregiones del departamento</t>
  </si>
  <si>
    <t>22O1</t>
  </si>
  <si>
    <t>22O1E1</t>
  </si>
  <si>
    <t>Ruta de sistematización de las estrategias, procesos y relacionamientos de Permanencia e Inclusión universitarias, que contemple diversas audiencias de la comunidad universitaria y su pluralidad epistémica para la construcción de una política institucional de la Permanencia e Inclusión universitarias.</t>
  </si>
  <si>
    <t>22O1E2</t>
  </si>
  <si>
    <t xml:space="preserve">Informe de avance  de la implementación de la Ruta de construcción de la política institucional de Permanencia e Inclusión universitarias.  </t>
  </si>
  <si>
    <t>22O1E3</t>
  </si>
  <si>
    <t>Informe final de la implementación de la Ruta de construcción  del documento de política institucional de Permanencia e Inclusión universitarias.</t>
  </si>
  <si>
    <t>22O1E4</t>
  </si>
  <si>
    <t>Documento de política institucional de Permanencia e Inclusión universitarias.</t>
  </si>
  <si>
    <t>22O2</t>
  </si>
  <si>
    <t>22O2E1</t>
  </si>
  <si>
    <t xml:space="preserve">Rutas de formación para la comunidad universitaria que identifique asuntos, actores/actrices de todas las sedes y seccionales, desde enfoques robustos  construidos desde los marcos institucionales, nacionales e internacionales en torno a la Permanencia y la Inclusión universitarias </t>
  </si>
  <si>
    <t>22O2E2</t>
  </si>
  <si>
    <t>Informe de avance de implementación de las rutas de formación, que destaque los enfoques comprensivos más robustos  construidos a nivel institucional y nacional en torno a la Permanencia e Inclusión universitarias  (formato tipo artículo publicable)</t>
  </si>
  <si>
    <t>22O2E3</t>
  </si>
  <si>
    <t>Informe final de implementación de las rutas de formación, que destaque los enfoques comprensivos más robustos  construidos a nivel institucional, nacional e internacional en torno a la Permanencia e Inclusión universitarias (formato tipo artículo publicable)</t>
  </si>
  <si>
    <t>22O3</t>
  </si>
  <si>
    <t>22O3E1</t>
  </si>
  <si>
    <t>Propuesta de rutas articuladas de acompañamiento a los ciclos de vida universitarios trazables, evaluables, cualificables.</t>
  </si>
  <si>
    <t>22O3E2</t>
  </si>
  <si>
    <t>Informe de avance de la implementación y evaluación de las rutas articuladas.</t>
  </si>
  <si>
    <t>22O3E3</t>
  </si>
  <si>
    <t>Propuesta cualificada de rutas articuladas de acompañamiento a los  ciclos de vida universitarios a partir de los resultados de la prueba piloto presentada a manera de lineamientos para la configuración de un observatorio institucional para la Permanencia y la Inclusión</t>
  </si>
  <si>
    <t>22O3E4</t>
  </si>
  <si>
    <t>Trayectos UdeA: estrategia de caracterización, acogida y seguimiento académico para la promoción de la permanencia y la mitigación del abandono estudiantil en tiempos de pandemia y pospandemia</t>
  </si>
  <si>
    <t>22O4</t>
  </si>
  <si>
    <t>22O4E1</t>
  </si>
  <si>
    <t>Sistematización de antecedentes y experiencias de barreras fisicas, pedagógicas, comunicativas y simbólicas que afronta la comunidad universitaria de la Universidad de Antioquia</t>
  </si>
  <si>
    <t>22O4E2</t>
  </si>
  <si>
    <t xml:space="preserve">Conjunto de herramientas pedagógicas y didácticas accesibles para la Permanencia y la Inclusión                        </t>
  </si>
  <si>
    <t>22O4E3</t>
  </si>
  <si>
    <t xml:space="preserve">Propuesta de ajustes razonables y accesibilidad  para los espacios y las comunicaciones universitarias </t>
  </si>
  <si>
    <t>22O4E4</t>
  </si>
  <si>
    <t>Propuesta para la producción y apropiación social del conocimiento en Permanencia e Inclusión</t>
  </si>
  <si>
    <t>22O5</t>
  </si>
  <si>
    <t>22O5E1</t>
  </si>
  <si>
    <t>Ruta para la conformación del equipo institucional de intérpretes, traductores y una comisión de diseño y evaluación de examen de admisión diferencial en la Universidad de Antioquia que responda a los requerimientos del Acuerdo Académico 577 del 25 de marzo de 2021 y otras disposiciones relacionadas con garantías de accesibilidad.</t>
  </si>
  <si>
    <t>22O5E2</t>
  </si>
  <si>
    <t>Ruta de acompañamiento y orientación para la aplicación de estrategias que promuevan el cumplimiento de las disposiciones universitarias con relación a la comunidad Sorda señante dispuestas en el acuerdo académico 577 del 25 de marzo de 2021 y en otras disposiciones relacionadas con garantías de accesibilidad</t>
  </si>
  <si>
    <t>22O5E3</t>
  </si>
  <si>
    <t>Colección de recursos pedagógicos y didácticos en Lengua de Señas Colombiana y  sobre cultura Sorda y/o informaciones generales que promuevan la garantía de la accesibilidad</t>
  </si>
  <si>
    <t>22O5E4</t>
  </si>
  <si>
    <t>Gestión interinstitucional para consolidar el programa de formación profesional de intérpretes de LSC/español y/o cursos y diplomados ofrecidos por una unidad académica para intérpretes que desempeñarán su rol dentro de la Universidad de Antioquia.</t>
  </si>
  <si>
    <t>22O5E5</t>
  </si>
  <si>
    <t>Alianzas interinstitucionales, sociales, y entre unidades académicas y administrativas de la Universidad de Antioquia, para unir esfuerzos en pro de la educación superior de la comunidad sorda señante.</t>
  </si>
  <si>
    <t>26O1</t>
  </si>
  <si>
    <t>26O1E1</t>
  </si>
  <si>
    <t xml:space="preserve">Herramienta para la gestión sistematizada del ciclo anual de planificación y retroalimentación entre empleados vinculados. </t>
  </si>
  <si>
    <t>26O1E2</t>
  </si>
  <si>
    <t xml:space="preserve">Estrategia para acompañar a servidores y líderes en el ciclo anual de planificación y retroalimentación.                        </t>
  </si>
  <si>
    <t>26O2</t>
  </si>
  <si>
    <t>26O2E1</t>
  </si>
  <si>
    <t xml:space="preserve">Teletrabajadores en cargos susceptibles de ser teletrabajables. </t>
  </si>
  <si>
    <t>26O2E2</t>
  </si>
  <si>
    <t xml:space="preserve">Estrategia de promoción e información del plan de teletrabajo. </t>
  </si>
  <si>
    <t>26O2E3</t>
  </si>
  <si>
    <t xml:space="preserve">Estrategia acompañamiento y seguimiento a equipos de trabajo que involucren teletrabajadores. </t>
  </si>
  <si>
    <t>26O3</t>
  </si>
  <si>
    <t>26O3E1</t>
  </si>
  <si>
    <t xml:space="preserve">Informe de aplicación de batería para identificación de riesgos psicosociales entre servidores de la Institución.  </t>
  </si>
  <si>
    <t>26O3E2</t>
  </si>
  <si>
    <t>Estrategia educomunicativa para la promoción del enfoque de responsabilidad, flexibilidad y confianza.</t>
  </si>
  <si>
    <t>33O1</t>
  </si>
  <si>
    <t>33O1E1</t>
  </si>
  <si>
    <t>Guía de lineamientos, orientaciones y metodologías diseñadas para la evaluación integral de las comunicaciones en la UdeA.</t>
  </si>
  <si>
    <t>33O1E2</t>
  </si>
  <si>
    <t>Caracterización y flujos de trabajo para la evaluación de las comunicaciones en la Universidad de Antioquia.</t>
  </si>
  <si>
    <t>33O2</t>
  </si>
  <si>
    <t>33O2E1</t>
  </si>
  <si>
    <t>Sistema de indicadores de evaluación de la gestión de las comunicaciones en la UdeA de acuerdo con los objetivos, ejes de desarrollo y líneas trabajos.</t>
  </si>
  <si>
    <t>33O2E2</t>
  </si>
  <si>
    <t>Plan de capacitación implementado para la actualización y fortalecimiento de las prácticas comunicativas en función de la evaluación y medición en la UdeA.</t>
  </si>
  <si>
    <t>33O2E3</t>
  </si>
  <si>
    <t>Estudio de percepción de las audiencias del Sistema de Radio Universitaria.</t>
  </si>
  <si>
    <t>33O3</t>
  </si>
  <si>
    <t>33O3E1</t>
  </si>
  <si>
    <t>Acciones  de divulgación  sobre la relevancia de la evaluación de la comunicación universitaria para la toma de decisiones entre directivos y responsables de la comunicación.</t>
  </si>
  <si>
    <t>33O3E2</t>
  </si>
  <si>
    <t>Espacios de cocreación e intercambio de saberes en torno a los retos, logros y avances de la comunicación en la UdeA.</t>
  </si>
  <si>
    <t>37O1</t>
  </si>
  <si>
    <t>37O1E1</t>
  </si>
  <si>
    <t>Capacitaciones especializadas en  java , devops para desarrolladores, angular, Spring Boot, PLSQL, IA</t>
  </si>
  <si>
    <t>37O1E2</t>
  </si>
  <si>
    <t>Documento de lineamientos para actualización de sistemas de información</t>
  </si>
  <si>
    <t>37O1E3</t>
  </si>
  <si>
    <t>Documento con políticas económicas y financieras avalado</t>
  </si>
  <si>
    <t>37O2</t>
  </si>
  <si>
    <t>37O2E1</t>
  </si>
  <si>
    <t>70% de la funcionalidad requerida por la universidad  del sistema de información académico implementado</t>
  </si>
  <si>
    <t>37O2E2</t>
  </si>
  <si>
    <t>Gestión del proyecto para la transición y puesta en operación del sistema de información académico</t>
  </si>
  <si>
    <t>37O2E3</t>
  </si>
  <si>
    <t>70% de la funcionalidad requerida por la universidad del sistema de información del talento humano implementado</t>
  </si>
  <si>
    <t>37O2E4</t>
  </si>
  <si>
    <t>Gestión del proyecto para la transición y puesta en operación del sistema de gestión del talento humano</t>
  </si>
  <si>
    <t>37O2E5</t>
  </si>
  <si>
    <t>Módulos web modernizados y migrados a la plataforma WAS en su totalidad y soportados</t>
  </si>
  <si>
    <t>37O2E6</t>
  </si>
  <si>
    <t>Sistema de información de la planeación universitaria implementado e integrado con otros sistemas institucionales</t>
  </si>
  <si>
    <t>37O2E7</t>
  </si>
  <si>
    <t>Gestión del proyecto para la transición y puesta en operación del sistema de planeación</t>
  </si>
  <si>
    <t>37O2E8</t>
  </si>
  <si>
    <t>Implementación de Devops en el proceso de desarrollo de software del grupo de Gestión Informática</t>
  </si>
  <si>
    <t>37O3</t>
  </si>
  <si>
    <t>37O3E1</t>
  </si>
  <si>
    <t>Estándar con  lineamientos por parte de la oficina de proyectos y definición de periodicidad</t>
  </si>
  <si>
    <t>37O3E2</t>
  </si>
  <si>
    <t xml:space="preserve">Metodología de la oficina de proyectos para priorizar nuevas necesidades. </t>
  </si>
  <si>
    <t>41O1</t>
  </si>
  <si>
    <t>41O1E1</t>
  </si>
  <si>
    <t>Protocolo, metodología y guia para la adopción de criterios de accesibilidad web en el portal y aplicaciones institucionales</t>
  </si>
  <si>
    <t>41O1E2</t>
  </si>
  <si>
    <t>Plan de socialización, capacitación e implementación del protocolo de criterios de accesibilidad web</t>
  </si>
  <si>
    <t>41O1E3</t>
  </si>
  <si>
    <t>Portal y aplicaciones institucionales que cumplan con lo estándares de accesibilidad web para la gestión de información institucional, información noticiosa y de productos y servicios</t>
  </si>
  <si>
    <t>41O2</t>
  </si>
  <si>
    <t>41O2E1</t>
  </si>
  <si>
    <t>Plan de capacitación continuo abordando las capacidades de la infraestructura institucional</t>
  </si>
  <si>
    <t>41O2E2</t>
  </si>
  <si>
    <t>Habilitación de capacidades disponibles del portal y servidor de aplicaciones</t>
  </si>
  <si>
    <t>41O2E3</t>
  </si>
  <si>
    <t>Documento con la política de términos y condiciones de uso publicado  en el portal y socializado con la dirección de comunicaciones, jurídica y la división de gestión informática</t>
  </si>
  <si>
    <t>41O2E4</t>
  </si>
  <si>
    <t>Plan de diseño, implementación y gestión de la herramienta colaborativa Connections</t>
  </si>
  <si>
    <t>41O3</t>
  </si>
  <si>
    <t>41O3E1</t>
  </si>
  <si>
    <t>Documento con las necesidades y alcance de los mecanismos de identidad digital</t>
  </si>
  <si>
    <t>41O3E2</t>
  </si>
  <si>
    <t>Documento guía para la incorporación de los mecanismos de identidad digital en los procesos institucionales</t>
  </si>
  <si>
    <t>41O3E3</t>
  </si>
  <si>
    <t>Documento con las necesidades técnicas institucionales frente a un directorio activo</t>
  </si>
  <si>
    <t>41O3E4</t>
  </si>
  <si>
    <t>Plan de selección, adopción e implementación del directorio activo</t>
  </si>
  <si>
    <t>41O4</t>
  </si>
  <si>
    <t>41O4E1</t>
  </si>
  <si>
    <t>Plan de capacitación en vigilancia tecnológica</t>
  </si>
  <si>
    <t>41O4E2</t>
  </si>
  <si>
    <t xml:space="preserve">Documento con definición del proceso de vigilancia tecnológica para la incorporación en procesos tecnológicos  institucionales </t>
  </si>
  <si>
    <t>41O4E3</t>
  </si>
  <si>
    <t>Plan de incorporación de la vigilancia tecnológica para mecanismos de identificación de usuarios y experiencia de usuario del portal y aplicaciones institucionales</t>
  </si>
  <si>
    <t>41O4E4</t>
  </si>
  <si>
    <t>Plan de capacitación en experiencia de usuario en el mundo digital</t>
  </si>
  <si>
    <t>41O4E5</t>
  </si>
  <si>
    <t>Diagnóstico para identificar los usuarios y sus necesidades</t>
  </si>
  <si>
    <t>41O4E6</t>
  </si>
  <si>
    <t>Plan de incorporación y mejoramiento continuo de la experiencia de usuario en el portal y sus aplicaciones</t>
  </si>
  <si>
    <t>41O4E7</t>
  </si>
  <si>
    <t>Documento con la identificación de las capacidades técnicas requeridas en el portal para satisfacer las necesidades de los usuarios</t>
  </si>
  <si>
    <t>41O4E8</t>
  </si>
  <si>
    <t>Documento con la estrategia para implementar las capacidades técnicas requeridas en el portal</t>
  </si>
  <si>
    <t>41O4E9</t>
  </si>
  <si>
    <t>Plan de implementación, gestión y actualización continua de las capacidades técnicas del portal</t>
  </si>
  <si>
    <t>41O4E10</t>
  </si>
  <si>
    <t>Plan piloto de implementación de la nube para el portal y aplicaciones web</t>
  </si>
  <si>
    <t>41O5</t>
  </si>
  <si>
    <t>41O5E1</t>
  </si>
  <si>
    <t xml:space="preserve">Gerencia del proyecto </t>
  </si>
  <si>
    <t>9O1</t>
  </si>
  <si>
    <t>9O1E1</t>
  </si>
  <si>
    <t>Plataforma tecnológica para el aprendizaje y dotación de mobiliario implementada</t>
  </si>
  <si>
    <t>9O1E2</t>
  </si>
  <si>
    <t>Equipamiento para la plataforma adquirido</t>
  </si>
  <si>
    <t>9O1E3</t>
  </si>
  <si>
    <t>Plan de mercadeo diseñado</t>
  </si>
  <si>
    <t>9O2</t>
  </si>
  <si>
    <t>9O2E1</t>
  </si>
  <si>
    <t>Contenidos de la Plataforma para el aprendizaje creados y adaptados</t>
  </si>
  <si>
    <t>9O3</t>
  </si>
  <si>
    <t>9O3E1</t>
  </si>
  <si>
    <t>Contenidos en la Plataforma para el aprendizaje puestos en funcionamiento</t>
  </si>
  <si>
    <t>Ejecutado 2021 
Semestre 2</t>
  </si>
  <si>
    <t>Porcentaje cumplimiento suavizado del entregable - 2021 
Semestre 2</t>
  </si>
  <si>
    <t>Ejecutado 2022
Semestre 1</t>
  </si>
  <si>
    <t>Porcentaje cumplimiento suavizado del entregable - 2022
Semestre 1</t>
  </si>
  <si>
    <t>Ejecutado  2022
Semestre 2</t>
  </si>
  <si>
    <t>Ejecutado 2023
Semestre 1</t>
  </si>
  <si>
    <t>Ejecutado 2023
Semestre 2</t>
  </si>
  <si>
    <t>Ejecutado 2024
Semestre 1</t>
  </si>
  <si>
    <t>Ejecutado 2024
Semestre 2</t>
  </si>
  <si>
    <t>Ejecutado ponderado 2021 
Semestre 2</t>
  </si>
  <si>
    <t>Ejecutado ponderado 2022
Semestre 1</t>
  </si>
  <si>
    <t>Número de proyectos / Entregables</t>
  </si>
  <si>
    <t>Principal logro 2021 
Semestre 2</t>
  </si>
  <si>
    <t>Principal dificultad 2021 
Semestre 2</t>
  </si>
  <si>
    <t>Principal logro 2022
Semestre 1</t>
  </si>
  <si>
    <t>Principal dificultad 2022
Semestre 1</t>
  </si>
  <si>
    <t xml:space="preserve">Se inició con los talleres sobre armonización curricular con algunos profesores que pertenecen a programas académicos de pregrado, además, se avanzó en la construcción de las guías y formatos que harán parte integral del documento marco con la ruta metodológica para que los programas académicos implementen la armonización curricular </t>
  </si>
  <si>
    <t>Los talleres se realizarón entre los meses de octubre y diciembre, por lo que la asistencia de los profesores participantes fue muy baja, argumentando cierre de semestre y culminación de actividades de fin de año.</t>
  </si>
  <si>
    <t xml:space="preserve">Hemos conformado 12 comunidades académicas en torno a los conceptos articuladores (componentes) que surgieron del análisis de los horizontes expresados en el PEI (formación integral, formación en investigación, Pedagogías del Buen Vivir, Pedagogías para la Paz, Enfoque de género, Sostenibilidad Ambiental, Internacionalización del Currículo, Flexibilidad Curricular, Modalidades educativas, Estrategias didácticas innovadoras, normativas, Sistema Interno de Aseguramiento de la Calidad). Estas comunidades académicas están conformadas por profesores de distintas Unidades Académicas e integran sujetos, concepciones, prácticas, discursos y trayectorias vitales y formativas, entre otros. Desde estas, nos encontramos en las fases de fundamentación y de concreción curricular, delimitando conceptualmente cada componente (con las experiencias, vivencias, recorridos que atraviesan cada concepto en la Universidad, en el contexto nacional y global) y en la construcción de su horizonte a partir de estrategias de concreción a nivel macro, meso y micro curricular para la armonización curricular. 
Recuperamos los encuentros de formación en y sobre currículo y, para esta ocasión, los denominamos Viernes del Currículo. Esta es una acción de Armonización a partir de los elementos transversales planteados en el Proyecto Educativo Institucional. Hemos dialogado acerca del Proyecto Educativo Institucional, la Armonización Curricular, las Modalidades Educativas y las Estrategias Didácticas Innovadoras, además, en un espacio previo presentamos los Lineamientos de Internacionalización del Currículo. 
Convocamos a celebrar la Semana de la Excelencia Docente invitando a reflexionar por las Pedagogías del Buen Vivir en los procesos de formación en la Educación Superior; desarrollamos eventos académicos para pensar la educación, la formación y el currículo en el momento actual y avanzar en la comprensión de un horizonte común –no homogéneo– referido al Buen Vivir como enfoque, posibilidad y práctica en la Universidad.
Brindamos asesorías a distintos Programas Académicos que acudieron a la Vicerrectoría de Docencia, y en ella a la Unidad de Asuntos Curricular para solicitar apoyo en asuntos de carácter curricular. De esta manera ofrecimos acompañamientos alrededor de: la política de Procesos y Resultados de Aprendizaje (PPRA) en lo referido a la evaluación y lo que esta supone para la construcción de los Proyectos Educativos de Programa y los Microcurrículos; la Política para la gestión de créditos académicos y actividades académicas en lo referido al plan de formación por créditos y profundización en temas didácticos); acompañamientos en otras políticas y cómo estas dialogan con los planes de formación. Además ofrecimos asesorías alrededor de modelos, enfoques y perspectivas pedagógicas, curriculares y didácticas. 
Además, convocamos a diferentes Programas a participar del Proyecto de Armonización Curricular, estos son: Antropología, Ingeniería Agropecuaria, Tecnología Química, Física, Programas de posgrados del INER, Programas de posgrados de la Corporación Biomédica, Programas de la Facultad de Ciencias Farmacéuticas y Alimentarias, Programas de la Facultad de Salud Pública, Odontología. Actualmente, los siguientes programas están participando del proyecto con la armonización de sus currículos: Derecho, Ciencia Política, Trabajo Social y Licenciatura en Pedagogía en Ruralidad y Paz
</t>
  </si>
  <si>
    <t xml:space="preserve">La principal dificultad ha sido lograr hacer coincidir los tiempos en las agendas de los profesores y profesoras de las distintas Unidades Académcias que participan de las doce comunidades académicas del proyecto para pactar los encuentros; esto ha implicado reprogramación de reuniones y definición de tareas individuales que luego permitan la construcción colectiva de los productos esperados para la Armonización Curricular. </t>
  </si>
  <si>
    <t>Este semestre se logró identificar el equipo de trabajo para la puesta en marcha del proyecto; se definieron los perfiles de los profesionales que acompañarán la implementación de la UEPES y se contactó a las personas idoneas para hacer estos apoyos. El equipo estará conformado por: el coordinador del Programa de Desarrollo Docente (PDD), la coordinadora del Programa de Educación Flexible (PEF), un profesional en educación con experiencia en el trabajo con grupos y la gestión de proyectos, un profesional en educación con experiencia en estadística aplicada al área, un estadístico y un profesional en educación experto en metodologías activas. También contaremos con un equipo de comunicador, diseñador y guionista para potenciar la estrategia educomunicativa de la Unidad.</t>
  </si>
  <si>
    <t>Si bien se avanzó en la selección de los profesionales que apoyarán el funcionamiento de la Unidad, no fue posible contratarlos dado que la oficina encargada no autorizó los contratos. Ese es el motivo por el cual no se reportan avances en la "sistematización de información sobre los procesos de desarrollo docente" y "espacios de formación creados y ofertados de manera articulada", pues si bien los coordinadores de PDD y PEF lideran y respaldan ambos entregables, deben delegar la gestión en profesionales idoneos, expertos en esos asuntos. Se espera que en el mes de enero se genere la contratación requerida para, de esa manera, consolidar el equipo de trabajo.</t>
  </si>
  <si>
    <t>Gracias a que este semestre se liberó el recurso requerido para la contratación de un equipo humano idóneo para la puesta en marcha de las principales acciones de la Unidad, se logró avanzar en todos los entregables. Lo más importante ha sido la articulación de las iniciativas de formación docente de 12 unidades académicas con quienes actualmente la Unidad forma un equipo para pensar y proponer rutas para la formación continua del profesorado en la Universidad de Antioquia.</t>
  </si>
  <si>
    <t>La principal dificultad ha sido la firma de la resolución que da origen administrativo y legal a la UEPES. En la actualidad, se establecen los contactos y gestiones necesarias con la Direccion de Planeación para afinar la resolución que existe actualmente y cambiar la figura de Unidad a Centro, ademas que se esta trabajando conjutamente para determinar la figura especifica organizacional mas apropiada acorde a los lineamientos de la estructura organizacion de la Universidad.</t>
  </si>
  <si>
    <t>Acorde a lo planteado en el proyecto, se ha cumplido con los porcentajes de avance del mismo.</t>
  </si>
  <si>
    <t>Si bien se cuenta con avances, se han presentado dificultades en poder actualizar el micrositio para el proceso de autoevaluación institucional, de programas y registro calificado</t>
  </si>
  <si>
    <t>Si bien se cuenta con avances, se han presentado dificultades en el avance para la obtención del software de autoevaluación</t>
  </si>
  <si>
    <t>Durante este semestre a través del Proyecto hemos contribuido a la formación de la comunidad universitaria para que incorporen de manera crítica y reflexiva los medios y las TIC en los procesos de enseñanza y aprendizaje en las diferentes modalidades educativas y en los procesos de investigación y extensión. Se formularon y empezaron a implementarse  las siguientes estrategias: 
Enseñar y Aprender desde casa: formación en uso y apropiación de TIC para profesores y estudiantes.
Volver a Habitar la U: estrategia para descubrir otras formas de enseñar y aprender, aprovechando lo mejor de las modalidades educativas y su combinación.
Conectamos con la U: estrategia desarrollada en alianza con diferentes dependencias, orientada al acompañamiento de los estudiantes durante su ciclo académico a través de los momentos: Pasé a la U, Con TIC aprendo, Vivo la U y Soy de la U.
Enseño porque quiero: 
promueve la apropiación social del conocimiento, a través de encuentros virtuales que propician el intercambio de saberes y experiencias entre la comunidad académica y la sociedad en general. 
Vení Hablemos: programa radial que apoya la educación en salud mental y física, en la familia y la comunidad que habitamos, en tiempos de confinamiento.
Programa de Preparación a la Vida Universitaria: acompañamiento a los aspirantes en el camino de preparación para la vida universitaria, a través de cursos y contenidos virtuales gratuitos.</t>
  </si>
  <si>
    <t xml:space="preserve">A pesar de que la Universidad ha realizado un gran esfuerzo por disponer el flujo de los recursos económicos para el desarrollo de los proyectos PAI, las restricciones para la contratación de personal y servicios han implicado al equipo profesional mayores esfuerzos y tiempo para lograr el desarrollo de las tareas cotidianas propias de Ude@ y a su vez materializar el PAI de Cultura Digital en sus diferentes componentes. </t>
  </si>
  <si>
    <t xml:space="preserve">Este semestre a través del proyecto logramos diseñar e implementar nuevas estrategias para fortalecer la cultura digital en la comunidad universitaria que incorporan la radio, las narrativas transmedia, y acciones formativas para estudiantes, profesores, jóvenes investigadores, administrativos, integrantes de semilleros y comunidad en general. Destacamos además  la construcción de un conjunto de videojuegos, recursos multimodales y aulas virtuales que apoyan la formación de los estudiantes. </t>
  </si>
  <si>
    <t xml:space="preserve">En cuanto al desarrollo académico del proyecto no se han presentado dificultades relevantes, pues todas las estrategias dirigidas a la comunidad universitaria y orientadas a fortalecer la cultura digital en la universidad se han podido implementar con acertada participación. No obstante, el equipo humano tuvo que hacer un esfuerzo mayor porque las limitaciones de la contratación atribuibles a la ley de garantías, no permitieron contar durante este primer semestre con todo el recurso humano y profesional requerido.
</t>
  </si>
  <si>
    <t>Durante este semestre el logro más significativo es la definición conceptual de las Comunidades de Aprendizaje y el inicio de una camapaña de sensibilización que nos permitió la consolidación de cuatro comunidades: Docentes- Administrativos- Estudiantes y Aspirantes. También se avanzó en la consolidación de los términos de referencia para las convocatorias Con TIC Investigo e Innovación Educativa.                             
Durante la realización del Evento IntegraTIC , se hicieron avances conceptuales para la consolidación de las comunidades de aprendizaje y los colaboratorios. 
Se amplió la cobertura de los cursos de cultura informacional. Se fortaleció la visibilidad de las revistas UdeA. Se inició el pilotaje de gestión de datos de investigación.</t>
  </si>
  <si>
    <t xml:space="preserve">La principal dificultad para el desarrollo del proyecto radica en el retraso para la asignación de recursos efactivamente disponibles, lo que ha implicado un tiempo más largo de espera para la contratación de recurso humano, que pueda apoyar la consolidación de cada uno de los componentes del proyecto. </t>
  </si>
  <si>
    <t>Se logró definir el equipo de expertos que estará a cargo de la virtualización de los cursos sobre innovación: Introducción a la Ciencia, Tecnología, Innovación y Emprendimiento (CTI+e) y Fomento de la CTI+e; 2. Transferencia de conocimiento; Innovación social; Emprendimiento. Se logró actualizar las sesiones de derechos de los recursos del repositorio, al tiempo que inventariar los recursos que serpan utilizados para la dinamización de la comunidad virtual InnovEd.
Se avanzó con la contratación de los recursos de información digital seleccionados y se incluyeron otros recursos solicitados por las unidades académicas y autorizados presupuestalmente por la Vicerrectoría Administrativa. El Bmooc de Cultura Informacional se sigue instalando exitosamente en los procesos de enseñanza-aprendizaje de pre y posgrado mediante la estrategia de puerta a puerta con los docentes. Se ha fortalecido el programa de profesor enlace con todas las unidades académicas para su participación y contribución con las iniciativas bibliotecarias. Las guías bibliotecarias para el uso y acceso a la información están diseñadas y listas para ser publicadas en el portal de la Biblioteca.</t>
  </si>
  <si>
    <t>No se contaba con que la dinamización del repositorio exigiera sanear asuntos como las sesiones de derecho de los recursos alojados en el repositorio, por lo que iniciar con la dinamización ha tomado más tiempo del esperado. Sin embargo, para el segundo semestre se proyecta una mayor actividad del repositorio.
Las principales dificultades tienen que ver con la contratación de los servicios o asesorías especializadas para avanzar en la consolidación del modelo CRAI+i, dados los tiempos en que se contó con la disponibilidad financiera, al final del año pasado, y en este primer semestre del 2022 por la ley de garantías.</t>
  </si>
  <si>
    <t>Durante el semestre se logró consolidar el documento final del PEI y presentarlo al Consejo Académico para que en dos debates se aprobara. El dia 13 de diciembre fue aprobado mediante el Acuerdo Académico 589. También se comenzó el proceso de socialización a través de la construcción de dos videos y una e-card con un mapa conceptual del PEI y se realizaron presentaciones en Comité de Vicedecanos, a los profesores recién vinculados mediante el concurso profesoral y en otros espacios a los que se nos ha invitado desde las unidades académicas.</t>
  </si>
  <si>
    <t>No se han presentado dificultades en la ejecución del proyecto hasta el momento.</t>
  </si>
  <si>
    <t>Para el semestre 2022-1 el documento del PEI fue traducido al idioma ingles, para una mayor difusion. Se presento en el Consejo Superior Universitario con muy buena acogida por sus miembros, se realizo campaña educominicativa por medio de medios impresos, digitales y redes sociales</t>
  </si>
  <si>
    <t>Algunas visitas de socializacion a regiones, se han visto interrumpidas por factores de seguridad nacional y los encargados no han podido viajar a algunas sedes y seccionales</t>
  </si>
  <si>
    <t>1. Vinculación al proyecto a la lider de Ude@, como asesora metodológica del proyecto
2. Identificación de costos de virtualizar un curso, para orientar la estructura financiera que propone el proyecto
3. Construcción de encuesta de sondeo, para identificar la intensión que tienen las unidades académicas en  la producción de cursos o programas en modalidad virtual 
4. Identificar los programas de posgrado con cursos  en modalidad virtual o en proceso de creación; los cuales sirven para identificar las lecciones aprendidas en el proceso, asi como para que apoyen la actividad de  capacitación orientado a la sensibilización que pretende el proyecto.</t>
  </si>
  <si>
    <t>Los procesos de revisión y validación que ha surtido la encuesta, lo que ha imposibilitado la aplicación de la misma, lo que a su vez no ha permitido identificar información clave para la construcción del documento técnico de la propuesta de fortalecimiento de la estructura financiera para la virtualidad.
Limitaciones de tiempo del equipo de trabajo, debido a la ejecución de actividades paralelas al desarrollo del proyecto.</t>
  </si>
  <si>
    <t>1.	Avance de un 70% en la construcción del documento técnico de la propuesta: Los elementos construidos son los siguientes: Definición del problema y objetivos del proyecto, justificación, marco de referencia, modelo de operación propuesto por el proyecto
2.	Acercamiento con 4 unidades académicas que tiene programas virtualizados de acuerdo con priorización establecida por el equipo del proyecto: Especialización en evaluación económica en salud, Maestría en Enseñanza de las Matemáticas, Maestría en políticas publicas alimentarias y nutricionales, Especialización en Extensión Rural.
3.	Aplicación de la encuesta de sondeo: Se envío a 32 Unidades Académicas, de las cuales se recibieron21 respuestas, evidenciando el compromiso de estas con el propósito del fortalecimiento de la virtualización de los programas de posgrado
4.	Identificación de aspectos clave que se convierten en una barrera al momento de virtualizar un programa; por ejemplo: altos costos para virtualizar un programa, poca flexibilidad al momento de establecer los mecanismos de evaluación en las plataformas virtuales; aspectos normativos asociados a la definición de calendarios académicos, requisitos de inscripción y matricula, por ejemplo exigencia de visa del estudiante extranjero, en temas relacionados con las asociaciones interfacultades para ofrecer un programa, barreras relacionadas con la contratación de docentes extranjeros que apoyarán los programas, teniendo en cuenta que estos no se desplazas hasta nuestro país; procesos de mercadeo ineficientes ya que solo se realiza durante el tiempo de la convocatoria; no se usan buscadores especializados para ofertar los programas, alto costo para crear contenidos en una segunda lengua. el desconocimiento por parte de los docentes y personal administrativo en la implementación de los contenidos curriculares en las plataformas virtuales, desconocimiento de la demanda potencial y real de cursos y programas de posgrado virtuales, 
5.	La alianza con Ude@, la cual permitió reconocer que esta dependencia puede apalancar parte de la financiación de la virtualización de un programa de posgrado.</t>
  </si>
  <si>
    <t>Demoras por parte de las unidades académicas en responder la encuesta diseñada, lo que a su vez generó retrasos para el análisis de la información.
Dificultades para definir el método de  reintegro de los recursos entregados para la virtualización de programas de posgrado, para dejarlo definido en el documento técnico de la propuesta</t>
  </si>
  <si>
    <t xml:space="preserve">* Se acordaron y definieron los criterios que soportarán los instrumentos para la selección de la plataforma.
*  Se realizó el contacto con algunos de  los posibles proveedores para obtener la información que permitirá genear el estudio previo del mercado.
* Se generó propuesta de terminos de referencia de la convocatoria que dinamizará los cursos. </t>
  </si>
  <si>
    <t xml:space="preserve">* Fue necesario formatalecer el estudio de viabilidad que dio origen al proyecto, incorporando un un estudio estructurado del mercado en lo referente a la selección de la plataformas de virtualización.  Estó obligó a hacer una reprogramación de los entregables del proyecto.
</t>
  </si>
  <si>
    <t>El proyecto de archivos especiales y digitales, liderado por la Dirección de Comunicaciones, reporta, al 30 de junio de 2022, los siguientes logros:                                1) Firma de Acta de Compromiso con la Escuela Interamericana de Bibliotecología para la gestión de los archivos especiales -impresos y digitales- en formatos audiovisual, fotográfico, de diseño, publicaciones y sonoros. Este documento fue firmado por las partes el 22 de abril de 2022, con una fecha de inicio del 1 de mayo del mismo año. El acta de compromiso incluye el desarrollo de 3 componentes, que son: Componente 1: Curso de Gestión de archivos especiales. Componente 2: Políticas y lineamientos para los archivos especiales de la Universidad de Antioquia.Componente 3: Implementación de políticas y desarrollo de procesos técnicos de gestión documental para los archivos especiales de la Universidad.                                                                                                                                                                   2) Avance del 60% del proceso de capacitación a las personas que administran las colecciones especiales de la Dirección de Comunicaciones, sobre fundamentos de la Gestión de Archivos para la salvaguarda del acervo patrimonial de la Universidad, (en el informe de entregables del componente 1, se precisan los detalles de esta capacitación).                                                                                                                                        3) Cumplimiento del 70%  de la investigación, elaboración y diseño del documento de políticas y lineamientos necesarios para la correcta gestión de los archivos especiales y digitales de la Dirección de Comunicaciones,(en el informe de entregables del componente 2, se precisan los detalles de este documento).</t>
  </si>
  <si>
    <t xml:space="preserve">El cumplimiento de los compromisos adquiridos entre la Dirección de Comunicaciones y la Escuela Interamericana de Bibliotecología ha sido exitoso. Se deja una observación en el componente 1 del Acta de Compromiso, correspondiente al curso de Gestión de archivos especiales. Por acuerdo entre las partes, el 8 de junio de 2022 se decidió suspender temporalmente este componente con el propósito de ajustar el contenido del curso y los docentes, en atención a algunas solicitudes especiales de los asistentes. Lo anterior, teniendo en cuenta que es prioridad del proyecto garantizar que los líderes de los archivos adscritos a la Dirección de Comunicaciones cuenten con información, capacitación y disposición de documentos sobre el tema que faciliten la toma de decisiones en cada uno de los centros de documentación. El curso se retomará en julio de 2022 y finalizará en agosto del mismo año. </t>
  </si>
  <si>
    <t xml:space="preserve">Por favor describa en máximo 500 palabras el principal logro alcanzado en el proyecto durante el semestre. </t>
  </si>
  <si>
    <t>Por favor describa en máximo 500 palabras la principal dificultad alcanzada en el proyecto durante el semestre.</t>
  </si>
  <si>
    <t xml:space="preserve">Teniendo en cuenta los objetivos del proyecto, algunos de los logros alcanzados durante este semestre fueron:
- Revisar el estudio de la caracterización de la oferta y de esta manera obtener unos resultados, los cuales servirán para programar otras actividades que permitirán la ejecución del presente proyecto. 
-Haber podido realizar el análisis de la información suministrada por las respuestas que arroja el formulario de inscripción, cuando a los inscritos a los programas de posgrado se les pregunta  “Cómo se enteró de la oferta".  El análisis se hace con los resultados obtenidos entre los semestres 20151 y 20221. 
- Poder realizar el análisis de los dos puntos anteriores en el mismo rango de fechas, ya que esto permite en un futuro hacer un comparativo y obtener nuevas conclusiones. </t>
  </si>
  <si>
    <t xml:space="preserve">Algunas de las dificultades que hemos podido identificar en la ejecución del proyecto son: 
- Falta de receptividad y apoyo por parte de las unidades académicas para llevar a cabo de manera oportuna la solicitud que se les hizo sobre la actualización de sus micrositios. Se sigue encontrando eque no hay uniformidad   en la forma de presentar la información en cada micrositio, información desactualizada. 
- No contar con un personal de apoyo para la realización de algunas actividades operativas; al igual que no tener un asesor para el proyecto que nos oriente de una manera más acertada en la planeación y ejecución de las actividades. 
- Se hace necesario contar con el tiempo suficiente para la planeación, ejecución y evaluación de las actividades que a lo largo del proyecto se plantean y se deben llevar a cabo, lo cual, por falta de disponibilidad de tiempo para la líder del proyecto no ha sido posible y algunas actividades programadas no se han podido ejecutar. </t>
  </si>
  <si>
    <t>Durante este semestre se avanzó en la ejecución de 4 estrategias para fortalecer el relacionamiento de la Universidad de Antioquia con diferentes actores nacionales e internacionales para la proyección de iniciativas, que permitirán fortalecer la cooperación y el relacionamiento entre profesores, estudiantes y personal administrativo con nuestros aliados, tales como: La formación de investigadores y estudiantes en diplomacia científica; el uso de herramientas tecnológicas que faciliten el relacionamiento; la visibilidad y búsqueda de oportunidades para la investigación; y mecanismos para la apropiación y divulgación del portafolio de capacidades en investigación con los diferentes estamentos de la Universidad de Antioquia, estas estrategias se enmarcan en 12 categorías de relacionamiento estratégico previamente identificadas 
 Es importante aclarar que para este semestre no se tenían metas establecidas en este aspecto, sin embargo el haber podido alcanzar 4 de las 43 estrategias planteadas como indicador para el trienio se asocia a la planeación estratégica de la Dirección de Relaciones Internacionales; Adicionalmente, dada las mejores condiciones epidemiológicas por la pandemia, y las nuevas formas de relacionarnos a través de la virtualidad, hemos encontrado un amplio interés por parte de los socios internacionales, en retomar el relacionamiento con la Universidad de Antioquia.
 Así mismo, se destaca que a partir de la formación de investigadores y estudiantes en diplomacia científica, se logró mejorar las capacidades institucionales para el relacionamiento internacional y el asesoramiento científico en política exterior, especialmente en CTI; en estos procesos de formación se contó con la participación de 43 empleados administrativos, 2 estudiantes de posgrado, 55 profesores y 2 egresados de las 25 unidades académicas. 
 Adicionalmente, se divulgaron de manera estratégica más de 30 oportunidades de movilidad internacional para formación, intercambios y pasantías de investigación a estudiantes de posgrado y pregrado, investigadores y egresados de las 25 unidades académicas. Así como el desarrollo de procesos de apropiación y divulgación del portafolio de capacidades en investigación con diferentes aliados y pares nacionales e internacionales para su conocimiento, utilización y posibilidad de relacionamiento, a la fecha esta herramienta cuenta con el 76% del total de grupos de investigación de la Universidad de Antioquia registardos, distribuidos de acuerdo a la clasificación de MinCiencias de la siguiente manera: Grupos A1 (87%), Grupos A (76%), Grupos B (80%), Grupos C (76%) , Reconocidos (47%) Sin clasificar (69%); se espera para inicios de 2022 contar con una actualización que nos permita llegar al 80% de los grupos.</t>
  </si>
  <si>
    <t>La principal dificultad se relaciona con los procesos presupuestales y de ejecución, esto debido a que al analizar el estado de la ejecución presupuestal del proyecto a 31 de diciembre de 2021, se evidencia que no se cumple con la ejecución planteada para el periodo comprendido entre el 01 de septiembre y el 31 de diciembre de 2021, generado por la demora en la asignación de los recursos del Plan de Fomento a la Calidad 2021- PFC 2021 y a la entrega de los lineamientos necesarios para iniciar la ejecución de los mismos.
 Los lineamientos establecidos para la ejecución de los recursos del PFC 2021 son nuevos para la Dirección de Relaciones Internacionales, principalmente en lo relacionado con la restricción de la gestión por transferencias intrauniversitarias, lo que representa una limitación para el desarrollo de las estrategias que se han creado en el marco de las alianzas entre dependencias. Las estrategias que no se lograron llevar a cabo durante este periodo serán retomadas a partir de 2022.
 Con el fin de garantizar el avance en los objetivos y dar inicio a las actividades planteadas en el proyecto, se inició la gestión presupuestal con recursos de contrapartida (Fondo General), y una vez se recibió la asignación de los recursos por PFC 2021, se procedió con las gestiones que corresponden a esta fuente de financiación y que, por tiempo, eran factibles de ejecución. 
 Por otro lado, si bien paradójicamente se ha logrado con creces el desarrollo de las actividades propuestas, la saturación de actividades académicas y científicas de los actores con quienes interactuamos en las estrategias del proyecto ponen en riesgo una participación efectiva en el mismo, esto se suma a lo agotador que se vienen tornando las actividades virtuales; se espera que tras un retorno gradual a la presencialidad; esperamos que frente a un retorno gradual a actividades presenciales se puedan generar otras dinámicas y mecanismos de interacción que sigan generando los reportes y participaciones efectivas con acciones menos agotadoras y más efectivas de interacción.</t>
  </si>
  <si>
    <t>Durante el semestre 2022-1 se gestionaron, con el liderazgo de la Dirección de Relaciones Internacionales, dos espacios de relacionamiento estratégico con socios internacionales en pro al fortalecimiento de la cooperación científica de la Universidad de Antioquia. El primer espacio en alianza con la embajada de Francia en Colombia (01 de abril del 2022) contó con la participación de 18 investigadores de diferentes instituciones francesas y 18 investigadores de diferentes unidades académicas de la Universidad de Antioquia. Investigadores convocados alrededor del ODS 11: Ciudades y comunidades sostenibles. El segundo espacio fue en alianza con el Ministerio de CTeI de la República Argentina y Colombia (24 de junio del 2022) contó con la participación de 23 investigadores de diferentes instituciones argentinas y 25 investigadores de diferentes unidades académicas de la Universidad de Antioquia. Investigadores convocados alrededor del ODS 2: Hambre Cero.  Ambos espacios contaron con una metodología nunca antes implementada en al Universidad de Antioquia. Está metodología permitió dar seguimiento a los acuerdos o proyecciones resultados del espacio y de articular los esfuerzos que desde los diferentes actores que participaron en la gestión ofrecen a los participantes.  Un ejemplo de lo anterior, es la participación de la Dirección de Relaciones Internacionales y de tres investigadores de la UdeA en una convocatoria que lanzó la embajada de Francia para promover la movilidad de investigadores y staff hacia Francia. Movilidad que propende por continuar y fortalecer alianzas entre los participantes del evento. A la fecha estamos esperando los resultaos de la convocatoria los cuales salen a mediados de agosto del 2022
De igual manera, se fomentó un nuevo relacionamiento estratégico, a partir de la participación en la International Staff Week, con la Universidad de Almería en términos de relacionamiento científico y a nivel de posgrado. A partir de este se logró la invitación a participar en un proyecto europeo con la Agencia Española para la Cooperación y Desarrollo (AECID) para fortalecer capacidades y desarrollo en el área de agricultura en regiones. Adicionalmente, se recibió la visita de un investigador al Instituto de Educación Física y Deporte, con la finalidad de fortalecer la cooperación científica y movilidad de posgrado en esta área. 
Por otro lado, a partir de un espacio de relacionamiento entre investigadores de la Universidad de la Florida y de la UdeA, se concretó la gestión de un convenio de movilidad que involucra a los estudiantes de la Facultad de Medicina, y permitirá que realicen rotaciones en el hospital de la Florida, e intercambios académicos sin pagar matrícula en la Universidad de Florida. Lo anterior se constituye como un logro importante en la medida que muy pocas universidades de Estados Unidos permiten intercambios académicos sin cobro de gastos de matrícula a los estudiantes entrantes.</t>
  </si>
  <si>
    <t>En el primer semestre del 2022, encontramos desafiante la participación masiva de los estamentos convocados a las actividades organizadas desde la DRI. Por un lado, encontramos que la oferta de actividades virtuales y presenciales de la UdeA ha incrementado notablemente luego de la pandemia, lo que ha generado una sobreoferta de actividades en la que los estudiantes, profesores e investigadores pueden participar.  Lo anterior, indiscutiblemente divide la asistencia a los eventos, ya que los horarios por un lado coinciden y la demanda laboral o académica los hace escoger o priorizar a que actividades asistir.  
También es importante reconocer que la comunidad universitaria tanto académica como administrativa, aún desconoce en su mayoría la apuesta estratégica para la internacionalización de la investigación que desde la Dirección de Relaciones Internacionales se lidera. Si bien la DRI propende por los espacios con actores claves del sistema universitarios de investigación (Centros de investigación, Vicerrectorías, Unidades Académicas, entre otros) es una tarea que demanda constancia para lograr que la información sea apropiada y transmitida plenamente.  Lo anterior debido a los cambios administrativos que se implementa al interior de la unidad académica y el volumen de información que desde la DRI podemos compartir. 
Finalmente, aunque el ideal es contar con los principales socios identificados como los más estratégicos para la UdeA, no es posible materializar con todos ellos las actividades propuestas. Por un lado, debido a las agendas que estos socios han priorizado y que no necesariamente nos incluye y, por otro lado, debido a la disponibilidad y capacidad operativa que desde la Dirección de Relaciones Internacionales podemos tener para responder a la demanda desde muchos frentes al mismo tiempo.</t>
  </si>
  <si>
    <t>La iniciativa Academia Glocal, se destaca como el principal logro del proyecto en este semestre; gracias a la realización de 214 actividades, se logró impactar a los diferentes estamentos de la comunidad universitaria con espacios de capacitación, formación y socialización sobre competencias internacionales, interculturales y para la ciudadanía global. 
 Vale la pena resaltar los talleres de diplomacia científica, donde los investigadores lograron acercarse de manera teórica a este concepto y poner en práctica el conocimiento adquirido mediante actividades individuales y grupales. También se destacan las Cátedras Globales DRI, en las que se abordaron algunas de las competencias que conforman la Academia Glocal, como son interculturalidad y plurilingüismo, y se habló sobre habilidades del siglo XXI, responsabilidad social y enfoque de género, permitiéndoles a los asistentes obtener una visión general sobre aquellas capacidades que debe desarrollar un ciudadano global. 
 Así mismo, se avanzó en la sensibilización de algunas unidades académicas sobre los procesos de internacionalización en casa y del currículo, y se comenzó a elaborar la estructura de un documento con definiciones, conceptos y lineamientos administrativos para la internacionalización, el cual le permitirá a las unidades académicas mejorar y optimizar sus gestiones internas en este frente. Por su parte, algunos coordinadores de relaciones internacionales compartieron sus experiencias de internacionalización en casa, como un ejercicio de buenas prácticas, las cuales se sistematizarán en un documento que sirva de material de consulta para toda la Universidad.
 Parchemos con el Porgrama Parcero: diálogos interculturales es otra de las actividades a resaltar, ya que fue organizada por y para estudiantes, con invitados y asistentes de algunas universidades socias en América Latina. Este tipo de espacios les permiten a los estudiantes empoderarse de sus propios procesos de aprendizaje y aportar desde sus conocimientos a las diversas problemáticas del mundo actual. 
 También se destaca la actividad denominada: Be Global: Bootcamp Online para Ciudadanos del Mundo, una iniciativa que nació de la unión entre cuatro universidades (Universidad de Antioquia, Universidad EAFIT y Fundación Universidad de América en Colombia, y Universidad Adolfo Ibáñez en Chile) y que reunió virtualmente a estudiantes, profesores y personal administrativo durante tres días para conocer, comprender e identificar estrategias innovadoras, con el fin de abordar causas personales e institucionales con propósitos sociales, en torno a los Objetivos de Desarrollo Sostenible - ODS. 
 Para 2022 se espera continuar con el desarrollo de estas actividades, pensando en un retorno gradual a la presencialidad, por lo que algunas de estas se desarrollarán en el campus, mientras que otras seguirán siendo virtuales. Vale la pena resaltar que la virtualidad ha permitido que el público de las sedes y seccionales participe de manera más activa en la Academia Glocal.</t>
  </si>
  <si>
    <t>Durante el primer semestre de 2022 se realizaron 176 actividades de la Academia Glocal, entre las que se destacan la ceremonia de graduación de los tres primeros estudiantes en el Certificado de Ciudadanía Intercultural y Global, la realización del primer taller del aula de aprendizaje en internacionalización del currículo y en casa, la creación del Aula de aprendizaje en diplomacia científica y el inicio de la primera cohorte del Curso de formación complementaria en Ciudadanía Intercultural y Global.
También se continuó el trabajo articulado con la Vicerrectoría de Docencia, presentando de manera conjunta los Lineamientos de internacionalización del currículo y creando un Toolbox con herramientas de internacionalización del currículo y en casa para aplicar en el aula. Se han sostenido 7 reuniones con diferentes unidades académicas para tratar de temas relacionados con la internacionalización del currículo y sus diferentes componentes. Se realizaron los primeros talleres de gestión de la internacionalización, con el propósito de capacitar y acompañar a las unidades académicas en el direccionamiento estratégico y programático de la internacionalización, acogiendo las metas planteadas en el actual Plan de Acción Institucional 2021-2024. Las personas que participaron están involucradas en procesos de internacionalización, autoevaluación, acreditación, posgrado y comités de currículo.
Se continuó apoyando a los coordinadores de relaciones internacionales y de posgrados para su participación activa en iniciativas y proyectos de internacionalización, como becas, convocatorias y eventos organizados por socios internacionales.</t>
  </si>
  <si>
    <t xml:space="preserve">El regreso gradual a la presencialidad ha representado un reto para la Academia Glocal, respecto a la modalidad de las actividades, ya que hay personas que prefieren estar de manera presencial y otras de manera virtual, pero el formato híbrido no siempre es posible e implica ciertos desafíos logísticos.
El programa Suelta la lengua, abre tu mente llegó por primera vez a las regiones de manera presencial (Seccionales de Oriente y Urabá) y aunque la asistencia ha sido muy baja, se están explorando nuevas maneras de convocar a los estudiantes. Algunas sesiones de Suelta la lengua, abre tu mente se continuaron realizando de manera presencial, con ciertos inconvenientes ocasionados por las protestas al interior del campus central y por la falta de disponibilidad de aulas en la Escuela de Idiomas. Esta situación también se mejorará para el segundo semestre. </t>
  </si>
  <si>
    <t xml:space="preserve">
Se logró articular 19 programas de pregrado y posgrado de las tres áreas de conocimiento vinculados en la experiencia de articulación territorial de prácticas académicas, con más de 314 estudiantes articulados para diálogos de saberes con 320 reuniones de planificación. Con este apoyo académico, 1404 personas fueron acompañadas por la articulación de prácticas con 320 reuniones de planificación en conjunto con los distintos actores de los territorios; además, 42 profesores estuvieron acompañando el proceso del dialogo de saberes alrededor de las prácticas.
</t>
  </si>
  <si>
    <t xml:space="preserve">
El relacionamiento con los distintos actores se vio con dificultades por la pandemia y sus restricciones en aforos y otros aspectos. 
</t>
  </si>
  <si>
    <t>En el primer semestre de 2022, en el proyecto se logro mantener 19 programas de pregrado articulados alrededor de problemáticas y saberes, con 179 estudiantes en tres territorios, que acompañaron a 115 familias y 654 personas, articulándose con sietes escenarios de prácticas y con tres aliados institucionales, aportando al logro de los ODS, además, se puedo establecer relación con 75 escenarios de prácticas por medio de convenios marco, y retribución a los mismos por medio de la contraprestación, procesos de evaluación de calidad a las condiciones de dichos ambientes de aprendizaje; además, se realizó la convocatoria para promover la evaluación integral de la práctica académicas, donde s recibieron 13 proyectos de las distintas unidades académicas, para financiar seis, además, se avanzó en la propuesta de acompañamiento a los coordinadores y en los estados de la cuestión sobre evaluación. Se continúo con el proceso de apoyo y acompañamiento para fortalecer el proceso de prácticas en las Unidades académicas, revisando además el procedimiento y generando indicadores para el proceso. Adicionalmente, se pudo crear la versión 3 de la propuesta del sistema de información de prácticas y la identificación de brechas.</t>
  </si>
  <si>
    <t xml:space="preserve">Se tuvo dificultad en la contratación de varios profesionales o servicios, durante la ley de garantías lo que hizo que muchos entregables tuvieran retrasos en sus tiempos. </t>
  </si>
  <si>
    <t xml:space="preserve">Se desarrollaron las convocatorias de investigación (CODI) ejecutando 18 proyectos para los territorios, alianza entre la Vicerrectoría de Investigación y la Dirección de Regionalización, se contó con un presupuesto de ($850 millones), la Dirección de Regionalización aportó ($150 millones) y la Vicerrectoría de Investigación ($700 millones). Además, se desarrolló la 17ª Convocatoria Buppe en alianza con la Vicerrectoría de Extensión y la Dirección de Regionalización, la cual financio un total de 12 proyectos de extensión con un presupuesto de $599.994.135; Así mismo, se están ejecutando otros proyectos de incidencia en la regiones de: Suroeste (Una hectárea por el desarrollo humano en articulación con el municipio de Andes y  a través del programa de Extensión solidaria, dirigida a 1000 familias de 7 corregimientos del municipio); en Urabá (CRIIE URABA: ecosistema de innovación y desarrollo sostenible, Plataformas de CTi+E: Para la reconversión económica y productiva de las subregiones que atiendan los efectos actuales y futuros de la emergencia por el COVID -19, y Conexión Urabá - Nueva Colonia - Apartadó a 110kV construido por EPM). Sumando un total de 46 proyectos en ejecución. 
Se consiguió establecer 16 alianzas con atores como: administraciones municipales, empresas públicas y privadas, fundaciones o corporaciones con las cuales se desarrollan diplomados, programas de inducción a la vida universitaria, servicios de consultoría para creación artística y cultural, uso compartido de espacios de desarrollo misional, planes de beneficios para estudiantes de regiones, entre otros. 
Se avanzó en la asignación de una nueva plaza docente para la seccional Urabá mediante la RESOLUCIÓN RECTORAL 48370 del 12 de octubre de 2021, en la cual se traslada la plaza desde la reserva de la rectoría hacia la Dirección de Regionalización.  A la fecha la Dirección de Regionalización cuenta con 58 plazas docentes de tiempo completo y medio tiempo. 
En articulación con el INER, se adelantaron procesos de capacitación en manejo de plataformas virtuales (manejo de CURP-R), de igual modo, se concretaron talleres para el mejoramiento de la organización e intervención de los archivos documentales en regiones, en alianza con la División de Gestión documental de la UdeA 
Las seccionales y sedes participaron activamente durante todo el año en reuniones para formulación de políticas, planes de desarrollo, eventos regionales, ferias educativas, encuentros CUEEs, agendas de investigación y extensión, y mesas de trabajo en diferentes temáticas para el impacto de los territorios. 
Se trabajó de la mano de las Unidades Académicas para avanzar en la creación de los siguientes pregrados/posgrados: Fisioterapia (Instituto de Educación Física), Licenciatura en Inglés (Escuela de Idiomas),Innovación Alimentaria y Tecnológica en Procesamiento de Alimentos (CIFAL), Diseño y Desarrollo de productos enfocado a la Innovación y Emprendimiento (Facultad de Artes) y Tecnología en Atención Prehospitalaria (Facultad de Medicina - por ampliación  de lugar de desarrollo), Maestría en Enfermedades y Salud en el Trópico  (Corporación de Patologías Tropicales), Especialización de Cuidado del Adulto (Facultad de Enfermería), Pedagogía en Ruralidad y Paz (Ya está en el MEN y pertenece a la Facultad de Educación, Ciencias Sociales, INER y Ciencias Agrarias). Estos programas tienen el fin de fortalecer la oferta en las regiones.
</t>
  </si>
  <si>
    <t xml:space="preserve">Algunos porcentajes de los entregables aparecen con un bajo avance por ejemplo debido a que no fueron asignados los recursos por Estampilla para el proyecto, y por tanto, no fue posible ejecutar el Plan de inversiones para la dotación de espacios que se tenía previsto iniciar en este año en las sedes y seccionales. 
Así mismo, dado que en el último semestre del 2021 solo se dedicó tiempo a la selección y priorización de las normas relacionadas con regionalización,  y que deben ser objeto de revisión y actualización como parte de un entregable del proyecto, se decide pasar para el próximo año el proceso de convocatoria a diferentes actores universitarios, mediante grupos focales, con los cuales  se pueda iniciar el análisis, las discusiones y el establecimiento de los cambios pertinentes y deseables en dichas normas. 
El tiempo invertido en los aproximadamente tres meses del proyecto se ha concentrado en el desarrollo de la apuesta comunicacional y difusión de los compromisos en medios como el portal Universitario, en las articulaciones estratégicas que ameritaba el proyecto, en los estudios de contratación y en la planeación de los alcances que debían detallarse para algunos entregables, es decir, se avanzó en la fase preparatoria de la implementación.
</t>
  </si>
  <si>
    <t xml:space="preserve">Durante el presente semestre se aprobó y se realizó un ajuste a la propuesta de gasto de 900 millones que eran la base presupuestal para la creación de nuevas plazas (recursos MEN), se presentó una propuesta a V. Administrativa y a V. Docencia para la creación de las 5 nuevas plazas docentes y 4 plazas de personal administrativas (se está a la espera de la respuesta y asignación). La Dirección continua con 58 plazas docentes, en las cuales se encuentran contratados 58 docentes de tiempo completo y 4 de medio tiempo en las seccionales de Urabá, Bajo Cauca y Suroeste. 
Están ejecución 12 proyectos de extensión y 15 de investigación de las convocatorias BUPPE y CODI regiones del año 2021, respectivamente. Así mismo, se están ejecutando otros proyectos de incidencia en la regiones de: Urabá (CRIIE URABA: ecosistema de innovación y desarrollo sostenible, Plataformas de CTi+E: Para la reconversión económica y productiva de las subregiones que atiendan los efectos actuales y futuros de la emergencia por el COVID -19, y Conexión Urabá - Nueva Colonia - Apartadó a 110kV construido por EPM); Amalfi: "Diplomado para la creación de empresas rurales"; Suroeste: “Aunar esfuerzos entre la Universidad de Antioquia, Seccional Suroeste y el municipio de Andes, para la realización conjunta del programa de extensión solidaria denominado -Seguimiento técnico en el centro de germinadores de café y capacitación a los técnicos y líderes en las buenas prácticas agroecológicas en la producción agrícola”. Sumando un total de 31 proyectos de investigación y extensión en ejecución y con impacto regional. 
Se espera que, en el marco de la "Décima octava convocatoria Banco Universitario de Programas y Proyectos de Extensión –BUPPE–Fortalecimiento de la interacción Universidad - Sociedad, categorías Personas, Planeta y Paz de la Agenda 2030 Objetivos de Desarrollo Sostenible” sean aprobados 12 nuevos proyectos de extensión con financiación de la Vicerrectoría de Extensión y la Dirección de Regionalización, con un monto de $600.000.000 para el desarrollo de los mismos. 
Frente a los eventos académicos, se han realizado Cátedras Abiertas Regionales enfocadas en memoria y paz en las regiones de Urabá, Suroeste, Occidente, Magdalena Medio, con una participación de aproximadamente 200 personas en total, y en articulación con la Unidad de Paz, Dirección de Comunicaciones y la JEP (4 eventos de fortalecimiento de nichos). Así mismo, se están construyendo las agendas de investigación para las seccionales Oriente, Urabá, Suroeste y Bajo Cauca en articulación con la Vicerrectoría de Investigación y el INER (4 agendas en desarrollo). Se han realizado las reuniones programadas de los 9 CUEEs en las regiones con participación activa de los equipos de sedes y seccionales (216 encuentros  aproximadamente en el semestre) y se ha participado activamente en las mesas temáticas y otros espacios de la vida regional. 
En cuanto a los programas de pregrado y posgrado pertinentes y articulados a las regiones: se obtuvo el registro calificado único para el programa Pedagogía en Ruralidad y Paz para ser ofrecido en modalidad a distancia en los municipios: El Carmen de Viboral, Turbo y Amalfi. Además, están en proceso de creación los programas de: Gestión Alimentaria Territorial, Licenciatura en Ingles, Fisioterapia, Innovación en Sistemas Alimentarios, Tecnología en Proceso de Alimentos, Maestría en Enfermedades Tropicales, Maestría en Ciencias del Deporte, Especialización en Salud Física para la Salud, Especialización en Administración Deportiva. 
</t>
  </si>
  <si>
    <t xml:space="preserve">En el presente semestre se presentaron las siguientes dificultadas que han ralentizado algunos de los entregables del proyecto: 
- Demora en la asignación de los recursos de Estampilla para iniciar los trámites de las compras de equipos y elementos de dotación para las sedes y seccionales (fecha de asignación: febrero de 2022 – los procesos de compra requieren tiempos prolongados para la adquisición en estado pagado) 
- Durante este año se presentó una alta volatilidad del dólar lo que incrementa el costo de los equipos de cómputo y otros equipos que se tenían programados adquirir, lo que ha llevado a parar algunos de los equipos y elementos a conseguir para las regiones. 
- La ley de garantías afectó la agilidad en el proceso de contratación.  
- Los tiempos prolongados que implican el proceso de análisis, discusiones, concentración y el establecimiento de los cambios pertinentes o deseables para las normativas, lineamientos y guías de procedimiento de las regiones, y los tramites de aprobación necesarios. 
-  El cambio del decreto 1330 de 2019 del MEN  para la creaciòn y renovaciòn de Registro Calificado para programas de pregrado, implica reprocesos  y demoras en la construcción de los documentos maestros . Así mismo, la obligación de solicitar registro de programa por cada sede a la que se quiera ampliar el mismo
</t>
  </si>
  <si>
    <t>* Diseño de la estegia de comunicación integral de marketing
* Diseño e implmentación de la campaña de promoción de la oferta de educación continua del  primer trimestre de 2022 como prueba piloto
* Definición de líneas base para la revisión de impacto de la prueba piloto.</t>
  </si>
  <si>
    <t>* La dificultad para consolida la información requerida de las unidades académicas para definir la  oferta para el primer trimestre de 2022; lo que evidencia la necesidad de definir unos procedimientos institucionales para implementar este  ejercicio de forma permanente.
* El DRAI de la Facultad de Ingeniería no tenía la capacidad de realizar los ajustes a la aplicación portafolio en el segundo semestre de 2021.</t>
  </si>
  <si>
    <t>* Se generó un estrecho relacionamiento con la Dirección de Comunicaciones que posibilita la proyección de la oferta institucional de educación continua.
* Se realizó un diagnóstico del portafolio de educación continua que permite identificar fortalezas y debilidades de la UdeA con respecto a las tendencias.
* Se gestaron procesos de innovación en la oferta de educación continua a partir de los hallazgos que arrojó la referenciación. Aunque la innovación no fue aspecto contemplado en este PAI, propiciamos iniciativas de gran relevancia para la UdeA como la posibilidad de homologación de cursos de pregrado y posgrado que son ofertados por educación continua, la creación de rutas de aprendizaje y la implementación de insignias digitales.
* Se hizo evidente ante las directivas de la UdeA, la importancia de la educación continua para el presente y el futuro de la educación superior y la necesidad de fortalecer esta línea en la Universidad de Antioquia.
* Se inició un acercamiento y diálogo con las dependencias bastante significativo para el relacionamiento, articulación y logro de los objetivos del proyecto.</t>
  </si>
  <si>
    <t>* Se requiere fortalecer con una investigación de mercado el ejercicio de segmentación.
* Los desarrollos requeridos en Portafolio no se cumplieron dentro del cronograma pactado debido a dificultades de capacidad del operador, justificados principalmente por fuga de talentos.</t>
  </si>
  <si>
    <t>El principal logro alcanzado es la de generación de  condiciones favorables para el desarrollo del proyecto. Entre dichas condiciones, es de resaltar, el identificar los cinco (5) módulos asociados al curso sello profesional, se proyectan necesidades especiales de competencias e identidad para egresados UdeA, tales como: Competencias Pensamiento Glocal, Inmersión I+D, Liderazgo y Trabajo en equipo, Solución negociada de conflictos e 
Historia UdeA 1803 - 2021.</t>
  </si>
  <si>
    <t>La principal dificultad fué la de cerrar un poco lento, la cesión de los derechos de los módulos de sello profesional, relativos al 2021. (Ello, ante el desconocimiento del procedimiento)</t>
  </si>
  <si>
    <t>Diseño y estructura de la campaña Donaciones de Egresados Amigos UdeA</t>
  </si>
  <si>
    <t>Ninguna</t>
  </si>
  <si>
    <t xml:space="preserve">Los logros del avance del proyecto se resumen en tres acciones fundamentales: 
*Se hizo rastreo de información de antecedentes y documentación sobre comunicación pública de la ciencia en loa Universidad de Antioquia para en enero construir los términos de referencia de las contrataciones del objetivo 1.
* Se presentó el proyecto en espacios estrategicos como el CODI para promover acciones de articulación entre actores que es el objetivo 2 del proyecto. En parelelo, se rastrearon posibles alidados externos para sumar a la articulación del proyecto.
*Se repasaron las acciones de visibilidad para tener claro el panorama para la definición del Plan de intervención con el diseño de estrategias, contenidos y productos que está en el objetivo 4.
</t>
  </si>
  <si>
    <t>La principal dificultad a la que nos enfrentamos para el desarrollo de los proyectos PAI es siempre el reto de consilidar equipos de trabajo y que con ellos logremos compaginar el desarrollo de las actividades del día a día, y el avance de las tareas del proyecto.</t>
  </si>
  <si>
    <t xml:space="preserve">Los principales logros de avance del proyecto son: 
• Articulación con el proyecto PAI 2021-2024 de la Vicerrectoría de Investigación. Participamos en el diseño de los instrumentos que están aplicando en encuestas a comunidad relacionada con la investigación en la Universidad.
• Propusimos a la VRI la actualización de un sitio web que habíamos creado para los temas de visibilidad y del tema de ciencia abierta, en reunión con ellos aprobaron la inclusión de los temas de democratización.
• Hicimos un cambio en la destinación de recursos por la necesidad de equipos.
• Diseño de instrumentos para aplicar el primer acercamiento a los directivos para ampliar la información sobre CPC.
• Diagnóstico de la presencia de los grupos de investigación en el portal de la Universidad de Antioquia con el fin de actualizar con ellos la información y crear los espacios que falten. En el rastreo encontramos más de 120 sitios ya creados, muchos de ellos están desactualizados.
• Articulación con grupos de investigación para proyectos especiales. Telenutrición, Pecet, Neurociencias
• Primeros pasos en el diseño de metodología de agenciamiento con medios externos. 
• En abril pusimos en marcha un formulario para recibir papers de parte de los investigadores de la Universidad y programar su publicación en redes sociales. Antes lo hacíamos con filtros en las bases de Scopus pero no era información precisa y los investigadores querían enviarnos directamente sus trabajos.
• Puesta en marcha de nuevas estrategias para hacer CPC.
</t>
  </si>
  <si>
    <t>• Uno de los principales retos siempre será intentar cumplir con los cronogramas del proyecto con el mismo equipo que resolvemos los asuntos de trabajo y las contingencias que se presentan.
• Considerando la ley de garantías fue que los productos del proyecto se trazaron a partir del 2022-2.
• El precio del dólar que afectó los precios de asuntos que habíamos cotizado con otro valor.</t>
  </si>
  <si>
    <t xml:space="preserve"> Identificado  de la existencia de avances en agendas desde los centros de investigación, lo que permitió orientar esfuerzos para hacer un diagnóstico previo de manera participativa </t>
  </si>
  <si>
    <t>Coordinación de las actividades programadas en el marco del proyecto</t>
  </si>
  <si>
    <t>Los actores claves para este proceso están sensibilizados frente al mismo y existe interés para el trabajo en torno a agendas de creación e investigación. A partir de este proyecto se logro articular también las cuatro coordinaciones de regiones y potenciar el trabajo conjunto. Finalmente este proyecto ha logrado impulsar un proceso de mayor envergadura en torno a agendas de creación e investigación para la UdeA, que se está planeando para ser desarrollado durante 2022-2 y 2023-1</t>
  </si>
  <si>
    <t xml:space="preserve">No se ha logrado la participación esperada en los espacios de sensibilización y los formativos, en ocasiones los participantes cancelan o simplemente no asisten. Sin embargo, se realizará un espacio sobre agendas la segunda semana de agosto que permitirá cumplir a cabalidad con el indicador./ No se ha iniciado la búsqueda de opciones de cooperación porque no había claridad sobre los criterios para hacerla, como ya están identificados consideramos que el avance ha sido de un 10% en relación con el 25% esperado, la búsqueda comienza el 2022-2. / No se ha avanzado con el documento con los términos de referencia porque se estaba esperando a concluir los espacios formativos e identificar interés por parte de los investigadores. Se ha dialogado sobre ideas generales para su estructura, por lo tanto consideramos que el avance es de un 10% sobre el 20% esperado; este semestre 2022-2 se redacatrá el documento para dar cuenta del entregable.
</t>
  </si>
  <si>
    <t xml:space="preserve">Avances en la construcción de un nuevo acuerdo superior que reglamente el sistema de investigación
Construcción de documento que expresa la metodología para la elaboración del manual de métricas. 
Consolidación del acuerdo de voluntades de apoyo al proyecto de métricas
Estructuración de la documentación ScienTI - Oracle 11g
Elaboración de un repositorio en GitHub
Capacitaciones para el manejo de la plataforma PIVOT
Levantamiento de requerimientos y mejoras para el sistema SIIU
Liderazgo de la propuesta articulada con el G8+1 y Tecnnova para participar en la "Invitación a presentar propuesta para el diagnóstico de capacidades del país en materia de infraestructuras de investigación y formulación de un modelo de gobernanza y financiación para incrementar su uso y mejorar su gestión y operación" 
</t>
  </si>
  <si>
    <t xml:space="preserve">
Coordinación de agendas para reuniones con diferentes actores que apoyan y asesoran el proyecto
</t>
  </si>
  <si>
    <t xml:space="preserve">Un borrador de Acuerdo Superior para reglamentar el sistema de investigación.  Un reglamento para el funcionamiento del CODI y un reglamento para el funcionamiento de  las áreas que están en revisión de la Dir Juridica.  Se tiene una propuesta de de Estatuto del Investigador.  Se han realizado actividades de formación a diferentes públicos para provechar la herramienta PIVOT (Busqueda de recursos). Identificación  y priorización de las necesidades de mejoras del SIIU. Avance en la construcción del estado del arte de métricas relevantes. Desarrollo del software UkuPacha para la transformación de datos de SIIU a Jason. Avance en la definición de documento científico y producto de apropiación social del conocimiento.  Avance en el levantamiento de historias de usuario de ImpactU por parte de las dependencias UdeA y las universidades externas. Alimentación del repositorio GitHub con los nuevos desarrollos y mejoras </t>
  </si>
  <si>
    <t>Diferentes conceptos para definir el mejor escenario con el que se debe trabajar la estructura de organización de la Vicerrectoría de Investigación. Las fallas continuas del sistema SIIU que no han permitido realizar validaciones para las historias de usuario. El proceso de contratación lento, esto para el caso de las contrataciones con recursos propios.  Alta cantidad de indicadores en el estado del arte, lo que implica mayor tiempo de dedicación a su estudio, comparación y selección en el componente de métricas. Los retrasos en lo técnico no han permitido avanzar con algunas de las contrataciones requeridas. Otras contrataciones ya se hicieron pero quedan para reporte en el segundo semestre pues el proceso se logró concluir en julio.</t>
  </si>
  <si>
    <t xml:space="preserve"> Se capacitaron más de 50 personas en relación a las nuevas características en la gestión editorial dentro de la plataforma OJS . 
Creación del perfil del profesional para realizar el proceso de sistematización de experiencias. </t>
  </si>
  <si>
    <t xml:space="preserve">La alineación de agendas de todos los actores involucrados en ell proyecto para las reuniones; se tienen representastes de tres vicerrectorías, una dirección y una comisión. </t>
  </si>
  <si>
    <t>Encontrar 25 practicantes de las diversas unidades académicas para llevar a cabo la sistematización de experiencias. Se realizó la actualización de la plataforma OJS 3,2.  Se hizo una instalación y configuración del sofware SOLR, que permite una mejor indexación de la información existente.</t>
  </si>
  <si>
    <t>Retrasos en la contratación de personal con recursos propios, ocasionados por los tiempos que toman procesos financieros de asignación del CDP, avales del Comité de Transitorios y legalización de los contratos. Superar la novedad que representa la migración de Drive a One Drive. Obtener alguna información y apoyo de las Unidades Académicas para la sistematización. Posibilidad de descargar bases de datos consolidadas de los productos. Unificar conceptos base y clave para la recolección de la información. Formalizar la vinculación de practicantes: proceso que toma tiempo, estudiantes que ya se han vinculado y luego renuncian, por lo que se ha hecho necesario su reemplazo y reiniciar los procesos. Los retrasos en lo técnico en ocasiones retrasan lo financiero y viceversa. La ejecución de Fondos Generales está acorde con lo programado (50%).</t>
  </si>
  <si>
    <t>El proyecto Definición de Estrategias para la Permenencia de Estudiantes de Posgrados  tiene por objetivo definir e implementar estrategias que permitan la permanencia de los estudiantes a partir del análisis de los factores asociados a ella y al rastreo de posibles fuentes de financiación externa.
Para desarrollar este objetivo en este primer periodo octubre - diciembre del 2021  se trabajó en dos temáticas paralelamente, un estudio de deserción de estudiantes de posgrado para el periodo 2017-2021 y la identificación de fuentes de financiación externas. Para ambas temáticas el trabajo se centró en definir la metodología y la organización de información
El mayor avance del proyecto fue definir la metodología de trabajo para los dos temáticas que se estan desarrollando, para el estudio de deserción se organizó la base de datos de estudiantes de todo el periodo de análisis 2017-2021 que permite identificar exactamente la población objeto de estudio, aunque se tiene la base para todo el periodo el análisis se avanzó específicamente en el periodo académico afectado por la contingenicia sanitaria semestres 20201-20202-202011 y 20212. Para la identificación de fuentes de financiación externa se definieron las variables a tener en cuenta en la caracterizacion de las fuentes de financiación y se caracterizaron las fuentes de financiación que se conocen en la Universidad actualmente.</t>
  </si>
  <si>
    <t>Mas que dificultad lo que mas generó demora y dudas para su realización fue la contrucción de la base de datos estudiantil y la identificación de estudiantes objeto de análisis frente a su posible deserción del programa. Para los semestres de contingencia sanitaria por covid 19 la Universidad definió una serie de garantías académicas que generaron particularidades en la situación académica de los estudiantes que no es posible identificar directamente desde los sistemas de matrícula de la Universidad y se requiere un rastreo muy particular de ellos para poder identificarlos y entenderlos.</t>
  </si>
  <si>
    <t xml:space="preserve">El proyecto Definición de Estrategias para la Permanencia de Estudiantes de Posgrados tiene por objetivo definir e implementar estrategias que permitan la permanencia de los estudiantes a partir del análisis de los factores asociados a ella y al rastreo de posibles fuentes de financiación externa.
Se continúa avanzando en dos temáticas paralelamente, el estudio de deserción de estudiantes de posgrado para el periodo 2017-2021 y la identificación de fuentes de financiación externas. 
Durante el 2021 se realizó la identificación de los estudiantes posibles desertores durante el periodo de pandemia, en este el primer semestre del 2022 se identificaron los posibles desertores en el periodo previo a la pandemia es decir 2017-2019, teniendo así la base completa para todo el periodo de análisis. 
Con esta información se inició con las Unidades Académicas el rastreo de las posibles causas de deserción de los estudiantes, aunque apenas se avanza en este proceso se ha podido identificar que muchos de los estudiantes que se tenían como posibles desertores no lo son, estos estudiantes simplemente no matricularon continuamente sus semestres, aprovechando las garantías académicas generadas en la Universidad debido a la contingencia sanitaria, ampliaron durante uno o varios semestres su calendario lo cual les evitó nuevas matrículas o se retiraron transitoriamente del programa pero ya regresaron.
En cuanto al avance en la segunda temática del proyecto, identificación de fuentes de financiación externa, se caracterizaron nuevas fuentes de financiación identificadas en la Universidad y se inició el rastreo de nuevas fuentes externas. 
</t>
  </si>
  <si>
    <t xml:space="preserve">Con el fin de obtener mayor precisión en la información, se decidió que el rastreo de las causas de deserción con las Unidades Académicas se hiciera muy personalizado lo cual, aunque ha generado muy buena información, implica mayores tiempos, se esperaba para este mes de junio haber iniciado con la identificación de estrategias de permanencia, pero sin avanzar un poco más en la identificación de las causas esto no es posible, se espera en agosto iniciar esta segunda etapa.
En cuanto al tema de la identificación de fuentes de financiación, la principal dificultad que se ha presentado es en el rastreo de fuentes externas, lo que se ha encontrado es que las fuentes externas financian estudiantes para hacer su formación en el exterior, pero la financiación para estudios en Colombia es muy escasa. Desde la Dirección de Relaciones Internacionales que se esperaba fuera una fuente de información importante para este tema al parecer no se cuenta con información.
</t>
  </si>
  <si>
    <t>En conjunto con el ingeniero se ha logrado determinar que se puede utilizar el código fuente (estructura y configuración) de la encuesta de Caracterización de Estudiantes para ser aplicada dentro del diseño de la encuesta que se desarrollará para Empleados, lo que reduce los costos. Se concluyó, a su vez, que es posible aplicar la encuesta a contratistas y empleados CIS, lo que significa una ampliación en la cobertura del instrumento. Con Talento Humano se validó que no existe otro tipo de instrumento que capture información en componentes como la salud mental y los ámbitos socioeconómicos, sexuales, deportivos, artísticos, nutricionales y familiares, los cuales busca caracterizar la encuesta, por lo tanto es pertinente la aplicación del instrumento, para lo cual se adelantó un estudio de mercado preliminar que comprende el desarrollo del módulo de Caracterización para empleados, que soporte la conexión con diversos sistemas, además de su mantenimiento, por un valor que oscila entre $120.000.000 y $145.000.000.
Se ha prestado el servicio de alimentación mediante la modalidad de bonos a 2.719 estudiantes de Medellín, Carepa, Apartadó, Santa Fe de Antioquia, Caucausia, Andes, Yarumal y Carmen de Viboral. Se montó la convocatoria para el servicio de alimentación para el año 2022, en la modalidad “bonos”, para los estudiantes que presenten una necesidad socioeconómica y/o alimentaria de las seccionales que aún no cuentan con este servicio, como son: Segovia, Sonsón, Turbo, Puerto Berrío y Amalfi; la cual quedó habilitada desde el 16 de noviembre de 2021 y hasta marzo de 2022. Y finalmente se dejó perfeccionada el acta de compromiso con la Escuela de Nutrición y Dietética para la interventoría del servicio de alimentación del año 2022.
Se otorgó apoyo económico a 11 estudiantes para movilidad regional y nacional de Medellín y Regiones, para participación en dos eventos culturales y artísticos: Festival Universitario de la Canción y Concurso Nacional del Bambuco.
Dado que persisten las restricciones de presencialidad debido a la pandemia por COVID-19, se realizó la capacitación regional de forma virtual, en la que se contó con la participación de todos los promotores deportivos y monitores que apoyan el Departamento de Deportes, y de algunos estudiantes de la Licenciatura en Educación Física. El festival de la Canción se realizó de manera presencial el 2 de noviembre de 2021, para lo cual se contrató la producción musical y audiovisual y los jurados, además se adquirieron para la premiación, placas y suvenires para cada uno de los participantes. Se contrataron 8 gestores culturales para las sedes y seccionales, con lo que se propició la ejecución de 116 actividades artísticas y culturales en durante el semestre 2021-2. Y en el marco del plan integral para las actividades de arte y cultura para el año 2022, se formalizó acta de compromiso con la Facultad de Artes para dictar cinco (5) talleres dirigidos a estudiantes, docentes y empleados de Medellín y Regiones. De igual manera se formalizaron los contratos de los promotores deportivos para el año 2022, de manera que se inicie el año con el personal para implementar la oferta de servicios y actividades de Bienestar.
Se superó el % de cobertura previsto para el semestre de estudiantes, profesores y empleados beneficiarios de programas y servicios de BU por sede o seccional, que se planteó en un 10% para el segundo semestre del año, alcanzándose una participación del 30,7%.</t>
  </si>
  <si>
    <t xml:space="preserve">De acuerdo a la disposición de tiempo por parte de Talento Humano y el SIBU, fue difícil concretar un último espacio para el 2021 en conjunto con el equipo de Cultura de Talento Humano, lo que retrasa brevemente el diseño del instrumento de caracterización de empleados.
Para obtener el dato del indicador: % de estudiantes de pregrado y posgrado beneficiarios de los programas y servicios de bienestar que permanecen o se gradúan, se requiere 1. Contar con la base de datos definitiva del semestre 2021-1, asunto que solo es posible hasta el día 17 de diciembre dado que las actividades y servicios funcionan hasta el último día de actividades académicas y laborales. Y 2. Revisar y depurar la base de datos previo a los análisis estadísticos que deben hacerse. Por lo anterior este indicador apenas inicia procesamiento para ser establecido.
</t>
  </si>
  <si>
    <t>El informe del proceso de planeación estratégica participativa con regiones, está desarrollado en un 28 % y contiene en su totalidad la información asociada a la oferta de arte, cultura y el servicio de alimentación en regiones. Y se ha han realiza encuentros con los coordinadores de Bienestar de todas las sedes y seccionales para dialogar sobre procesos de los Dpto de deportes y PyP, sus necesidades, el alcance que se podría lograr y de forma colaborativa se planteó elaborar un plan de trabajo que impacte significativamente el área de psicopedagogía.
Durante 2022-2 se continuó con las convocatorias del servicio de alimentación para estudiantes en todas las sedes y seccionales de la universidad, así como el proceso de selección de beneficiarios. Se ha venido ejecutando debidamente el servicio con la entrega de los bonos de alimentación de Sodexo por valor de $80.000 cada uno durante enero y febrero, y por valor de $120.000 en marzo, abril, mayo y junio. Desde el mes de abril se inició el retorno gradual al servicio de alimentación en modalidad de almuerzo diario servido en: Caucasia, Andes, Apartadó, Carepa, Oriente, en la Facultad de Salud Pública y en la Sede principal de Medellín (ciudad Universitaria); y se ha mantenido la modalidad temporal de bonos Sodexo en aquellas sedes donde no se ha retornado a las clases presenciales en el 100%, como Facultad de Medicina, Odontología, Enfermería y Ciudadela Robledo, en las cuales se tiene programado el retorno del almuerzo servicio a partir del mes de julio. Se mantendrá definitivamente la modalidad de bono Sodexo en las sedes regionales donde no se cuenta con la logística e infraestructura para ofrecer un almuerzo servido como son: Yarumal, Santafé de Antioquia, Segovia, Amalfi, Sonsón, Turbo y Puerto Berrio. El total de estudiantes beneficiados con el servicio de alimentación en todas las sedes y seccionales es de 2.576.
Frente a la ampliación de cobertura de la base social y de los servicios de créditos, se avanzó en lo siguiente: 
PRODUCTO: Creación de la línea para segunda vivienda.
SERVICIO: Disminución del plazo para el acceso a los créditos hipotecarios de los temporales y profesores ocasionales de a 24 meses.
Se eximió la presentación del codeudor para créditos hipotecarios, siempre y cuando el monto a solicitar, sea respaldado por la garantía hipotecaria hasta el 60% del avalúo comercial para los temporales y profesores ocasionales. Se pueden aceptar los codeudores independientes para los créditos hipotecarios de los temporales y profesores.
BASE SOCIAL (Línea base antes de afiliaciones temporales y ocasionales: 3.433), Total afiliados FBU: 3.834
# de afiliaciones desde la apertura de nueva base social: 661 
# de retiros desde la apertura de nueva base social: 260
% crecimiento de la base social del semestre: 11,32%.
Se otorgó apoyo económico a 12 estudiantes y 1 empleado para movilidad regional, nacional e internacional como apoyo para su participación en diferentes eventos artísticos y culturales por un valor total de $6.820.000. (recursos externos).
Como parte del Plan integral para las actividades de formación en regiones: (1) se realizaron 80 talleres de arte y cultura con la participación de 1200 personas entre empleados, estudiantes y docentes (el 8 de abril se presentó la muestra de resultados de los talleres del primer trimestre, en junio se realizó la muestra de los talleres del segundo trimestre), adicionalmente ya se encuentra lista la programación y convocatoria de 45 talleres de arte y cultura que se ofertarán durante el tercer trimestre del año, los cuales iniciarán su ejecución la primera semana de agosto. y (2) se han venido implementando estrategias recreativas y deportivas para la reapropiación de los escenarios deportivos y de los espacios de encuentro presenciales. En este sentido a la fecha se han realizado: ciclismo, billar y atletismo (1° parada); además de los deportes de conjunto, que se encuentran en ejecución. Del presupuesto asignado para el año 2022 ($49.000.000) se encuentra en ejecución el 82,31% ($40.331.100)
Se ha logrado fortalecer la oferta gracias a: (1) la contratación de los gestores culturales los cuales se encuentran ejecutando los diferentes componentes del proyecto en las sedes Amalfi, Urabá, Sonsón, Oriente, Occidente, Suroeste, Segovia, Magdalena Medio y Sede Norte. (2) la contratación de los promotores deportivos en las distintas sedes y seccionales, lo que ha permitido realizar los juegos deportivos internos en la Seccional Urabá, y en agosto de 2022 se  inicia con los juegos de Bajo Cauca y Suroeste. (3) se doto con uniforme y el pago de inscripción al equipo representativo de fútbol de la sede Sonsón para participar en torneo del municipio. Y (4) se realizaron paradas para el evento Actívate en cada una de las sedes y seccionales, teniendo muy buena acogida de la comunidad universitaria. Es así como en lo que va corrido de este año se ha alcanzado una cobertura de 3653 personas, en las diferentes actividades deportivas realizadas por la estrategia Deporte en tu Región.
Se realizó la capacitación regional, por primera vez en la historia de Deporte en tu Región por fuera de la ciudad de Medellín, en esta ocasión la capacitación regional, estuvo enfocada en el deporte universitario y se llevó a cabo en la Sede Sonsón. 
En lo concerniente al desarrollo de la caracterización de empleados se avanzó 1. En la contratación del ingeniero que desarrollará la herramienta que permitirá la implementación de la caracterización, 2. En la construcción de las variables y del diccionario de datos, en articulación con los Departamentos de la Dirección, Talento Humano, Salud Ocupacional y ahora se adelantan acuerdos con el Programa de Salud para que se vincule al proceso. 3. Se realizó una validación con el apoyo de Jurídica, donde se determinaron los aspectos legales importantes a tener en cuenta para la construcción y el consentimiento informado, además de la sensibilidad de los datos. Y 4. Se está avanzando en el desarrollo de las nuevas variables y cruces de datos de acuerdo a los aportes de los diferentes actores. 
Y Finalmente, Frente al entregable Diversificación de la oferta de actividades formativas y de las jornadas de salud para estudiantes, profesores y empleados de regiones, se realizaron 3 binestareas, una en Urabá (Turbo, Carepa y Apartadó), una en Occidente y una en Medellín; se desarrollaron 2 actividades de salud aportando de manera directa a una Universidad solidaria y comprometida con la vida, la equidad y la diversidad, en conjunción con Programa de Salud de la UdeA y la Alcaldía de Medellín, con un alcance de 1268 personas, y se contribuyó a mantener y mejorar el estado de salud y nutrición de la comunidad universitaria mediante el acompañamiento a Bienestar en las diferentes estrategias de información, comunicación y educación alrededor de la alimentación y nutrición con la realización de 2 ciclos educativos, 3 sesiones de coca saludable, asesorías nutricionales individuales y el acompañamiento en la sala de lactancia, con un impacto de 265 personas.</t>
  </si>
  <si>
    <t>Debido a situiacione de orden publico el cumplimiento del cronograma de ejecución de las bienestareas en sedes y seccionales no se cumplio a cabalidad, pues se debió posponer la realización en sedes como Segovia que estaban agendadas para el primer semetre del año.</t>
  </si>
  <si>
    <t xml:space="preserve">
Trabajo con la Comisión de Carrera Administrativa de la Institución en la revisión de normativa nacional para la viabilidad de concurso de ascenso </t>
  </si>
  <si>
    <t>Dificultad para establecer definitivamente las plazas que deberán salir a concurso. Existen observaciones que en algunos casos provienen de las mismas dependencias a las cuales están adscritas las plazas, y  en otros, de diferentes instancias universitarias. Se encuentra resistencia en algunos casos a asignar la plaza mediante concurso, dado que a veces por facilidad se prefieren opciones que suplan la necesidad a través de vnculaciones transitorias.</t>
  </si>
  <si>
    <t>Aprobación por la comisión de carrera administrativa de los perfiles y plazas para concurso ascenso nivel técnico y profesional. Se está trabajando en la contratación de los operadores del concurso.</t>
  </si>
  <si>
    <t xml:space="preserve">Fortalecimiento del equipo de trabajo para avanzar en la ejecución de la iniciativa y ley de garantías </t>
  </si>
  <si>
    <t>Se realizaron articulaciones estratégicas importantes para concepción real de las necesidades institucionales en la identificación de los registros documentales normativos que requieren ser revisados, para para obtener el insumo necesario para la compilación  y depuración de normas.</t>
  </si>
  <si>
    <t>No se tenían datos exactos por parte de la División de Gestión Documental del número de registros existentes de normas de los principales órganos de gobierno (Consejo Superior, Consejo Directivo y Consejo Académico) y de la Rectoría, lo que modificó el alcance de la articulación con la EIB. Tuvimos que posponer la revisión de los registros que se encuentran en el Archivo Histórico de Antioquia. Igualmente, el cambio en la fuente de financiación retrasó el inicio de las actividades por parte de la EIB.</t>
  </si>
  <si>
    <t>Se ha avanzado en la sistematización de 54,700 registros de actos académicos y administrativos de un total de 201.343 que se identificaron por parte de la División de Gestión Documental.</t>
  </si>
  <si>
    <t>La falta de técnica normativa en la elaboración de algunos actos adminitrativos y académicos, dificulta la identificación del objeto del mismo, generando retrasos en el análisis del cuerpo normativo y su adecuada clasificación y sistematización.</t>
  </si>
  <si>
    <t>Se realizaron articulaciones estratégicas importantes para concepción real de las necesidades institucionales en la identificación de los temas normativos que requieren ser revisados y actualizados.</t>
  </si>
  <si>
    <t>La actualización de temas requiere del conocimiento de normas previas relacionadas  con el tema. Sin embargo, al no contar con un registro completo que permita identificarlas, dado que se ha retrazado  el inicio de actividades por parte de la EIB, se han ido cambiando los temas a priorizar.</t>
  </si>
  <si>
    <t>Las sinergias generadas en las articulaciones estratégicas con las demás dependencias, han permitido un acercamiento más real y directo a la identificación de las necesidades institucionales, lo que ha facilitado la gestión y análisis de los procesos de cambio y actualización normativa en los temas de interés general, especialmente en la reglamentación de los premios a la investigación, la nueva estructura disciplinaria, distinciones y premios en el marco del Día Clásico, la Política de Cultura y Patrimonio, el Sistema Interno de Aseguramiento a la Calidad Académica y el Fondo de Becas de Maestría.</t>
  </si>
  <si>
    <t xml:space="preserve">Se tiene un Observatorio de Participación de la Universidad de Antioquia (ORPUDEA) que cuenta con tableros, en ellos hay información sobre la participación en los últimos diez años en la Universidad de Antioquia (2010-2020).
Se realizaron 56 eventos electorales con participación de los diferentes estamentos en las diferentes unidades académicas y administrativas
</t>
  </si>
  <si>
    <t>Faltan recursos para seguir alimentando el Observatorio de Participación de la Universidad de Antioquia (ORPUDEA) y así mantener la base de datos actualizada. 
El abstencionismo en los eventos electorales que se evidencia en elegir y ser elgeido por los bajos indices de participación de votantes y postulados a cargos.</t>
  </si>
  <si>
    <t xml:space="preserve">Se logró concertar entre el Instituto de Estudios Políticos y la Secretaría General un acta de compromiso que impactan los componentes. Se realizó una reunión con la División de Gestión de la Informática para implementar mejoras en el aplicativo de consultas/elecciones, las sugerencias hechas fueron bien recibidas. Se realizaron 53 eventos electorales y están en curso cuatro eventos más. Se avanzó en la mejora de la página de participación. </t>
  </si>
  <si>
    <t>Concertar y concretar los términos del acta de compromiso con el Instituto de Estudios Políticos.</t>
  </si>
  <si>
    <t>Por favor describa en máximo 500 palabras el principal logro alcanzado en el proyecto durante el semestre: Se ha realizado en este periodo de tiempo una planeación de actividades para poder cumplir con los compromisos del proyecto.  El proyecto está previsto para ser ejecutado en los años 2022 y 2023.</t>
  </si>
  <si>
    <t>Por favor describa en máximo 500 palabras la principal dificultad alcanzada en el proyecto durante el semestre: Ninguna.  El proyecto fue formulado para ser ejecutado en los años 2022 y 2023.</t>
  </si>
  <si>
    <t>Se llevó a cabo el 3 de junio de 2022 de manera virtual, el primer evento de divulgación sobre resolución de conflictos cuyo tema central fue los retos y posibilidades en torno a la convivencia en la Universidad de Antioquia, contó con invitados del ámbito universitario relacionados con estas temáticas. Se publicó el primer material didáctico denominado "Los conflictos: hacia su transformación positiva".</t>
  </si>
  <si>
    <t>La principal dificultad fue relacionada con la baja asistencia al evento.  Estamos buscando estrategias para que los próximos eventos puedan tener mayor acogida.</t>
  </si>
  <si>
    <t>A diciembre 31 de 2021 el proyecto Innovación de procesos académicos y administrativos continúa en ejecución de acuerdo con su cronograma. Al momento, en el proyecto se ha ejecutado el 16% de las actividades programadas, sin presentar retrasos en su ejecución, y muy importante, precisar que en la ejecución de los primeros componentes del proyecto no se tendrá impactos a los miembros de la comunidad universitaria, se tiene planeado, desde el perfil del proyecto, que a partir del segundo semestre del 2022, podrá impactar a los profesores y estudiantes de la Universidad.</t>
  </si>
  <si>
    <t>Ninguna.</t>
  </si>
  <si>
    <t>La entrega del informe de valoración del proceso de reporte de la cuenta a las plataformas SECOPII y SIA observa e inicio de la implementación de la solución tecnológica basada en una fuerza digital [Robot] que realizará el reporte incrementando la eficiencia y minimizará el incumplimiento de los tiempos establecidos por la ley, a partir del 1 de agosto de 2022. 
Adicionalmente, se avanzó en un 80% de los informes de valoración de los procesos de asignación de categoría y puntaje a profesores, evaluación de profesores y contratación de profesores ocasionales conforme a la priorización definida por el Consejo Académico de la Universidad.</t>
  </si>
  <si>
    <t>La contratación durante la ley de garantías por la elecciones programadas en el primer semestre de 2022, por lo cual se reprogramaron la fechas de implementación de las soluciones tecnológicas a los procesos  y las fechas de la capacitación en las nuevas técnicas y metodologías de innovación de procesos al equipo de la división de arquitectura de procesos.</t>
  </si>
  <si>
    <t xml:space="preserve">Se llevó a cabo la fase preparatoria para la ejecución del proyecto (documentos base como la presentación guía, el cronograma de trabajo, las necesidades de contratación de personal, servicios y compras y las necesidades comunicacionales). Se estableció la agenda de lanzamiento y articulación del proyecto con otras dependencias, se realizó la publicación oficial del proyecto en Portal Universitario/micrositio para difundir los avances. 
Capacitación en convenios, en articulación con la Dirección Jurídica se llevó a cabo un nuevo proceso de formación al personal de la dirección (directores, coordinadoras de bienestar, coordinadores de extensión y administradores de planta) con el fin de mejorar las cualificación de los equipos encargados de la gestión, trámite y dinamización de convenios y proyectos con actores regionales; lo anterior, buscando su correcta realización y así evitar reprocesos  y para cumplir  de forma efectiva con la normativa dispuesta por la institución. 
En articulación con el INER, se adelantaron procesos de capacitación en el manejo de plataformas virtuales (Criterios y Rutas UdeA Pregrados y Posgrados - Regiones - CRUP-R), de igual modo, se concretaron talleres para el mejoramiento de la organización e intervención de la información documental en regiones, en alianza con la División de Gestión Documental de la UdeA; se establecieron 6 talleres en modalidad virtual y presencial con el fin de asesorar o acompañar las sedes y seccionales en la organización archivos. 
Se revisaron las diferentes normas asociadas a la regionalización universitaria, de las cuales se identificó la necesidad de realizar un proceso de actualización para las siguientes: RA 1470 de 16 de octubre de 2002, AS 156 de 18 de febrero de 1999, AA 133 del 14 de julio de 1998 y R.R 41581 del 23 de junio de 2016. Con relación a esta última Resolución se avanzó en el análisis por parte del Comité Técnico de Regionalización dado que los ingresos por el uso de espacios en regiones están siendo dirigidos a la Dirección de Posgrados y no a la Dirección de Regionalización, a pesar de corresponderle  la logística, la planeación de usos, administración y mantenimiento de las sedes; se construyó un documento borrador donde se actualizaron al año 2021 las tarifas de cada espacio en regiones, este borrador será puesto en consideración de la oficina jurídica y de la Secretaria General para su revisión y/o aprobación, y posterior emisión de una nueva Resolución. 
Con el fin de contribuir al proceso de gestión documental, se construyó un instrumento para la cancelación de materias o de semestres por parte de los estudiantes de regiones, el cual fue avalado por la Vicerrectoría de Docencia. Dicho formato fue diseñado por el coordinador de sistemas de la seccional Suroeste y será acogido y aplicado en el resto de seccionales y sedes; con este se espera contribuir a la reducción de impresiones, de los tiempos de trámite de este proceso y aportar a la estrategia de cero papel. Se han realizado dos capacitaciones para coordinadores de sistemas, una de ellas con directores y enlace de comunicaciones en regiones.
</t>
  </si>
  <si>
    <t xml:space="preserve">Frente a las necesidades de contratación del proyecto, se procedió a realizar el estudio previo del personal requerido y dirigirlo al Comité de Asuntos Transitorios quien aprobó las solicitudes. Sin embargo, dichas contrataciones no pudieron llevarse a cabo debido a que, por parte de la Vicerrectoría Administrativa, se notificó que no se contaba con la posibilidad de hacer uso de este personal para el presente año, lo que implicó retrasos en la ejecución presupuestal que ya se había planeado para el 2021 y en el avance de algunos entregables que estan sujetos  a las labores y tiempos del personal de apoyo a contratar.   
En lo que corresponde al cumplimiento en el gasto del recursos de estampilla (indicador financiero) nos vimos en la necesidad de trasladar la ejecución de dicho recurso para el próximo año (2022), debido a que corresponde a compra de equipamiento necesario para el personal de apoyo del proyecto, y al no tener estas contrataciones durante el 2021 y estar pendiente de la disponibilidad para el 2022, no era pertinente hacer dichas compras de equipos que no iban a ser utilizados. 
Así mismo, dado que en el último semestre del 2021 solo se dedicó tiempo a la selección y priorización de las normas relacionadas con regionalización  y que deben ser objeto de revisión y actualización como parte de un entregable del proyecto, se decide pasar para el próximo año el proceso de convocatoria a diferentes actores universitarios, mediante grupos focales, con los cuales  se pueda iniciar el análisis, las discusiones y el establecimiento de los cambios pertinentes y deseables en dichas normas o guias. 
El tiempo invertido en los aproximadamente tres meses del proyecto se ha concentrado en el desarrollo de la apuesta comunicacional y difusión de los compromisos en medios como el portal Universitario, en las articulaciones estratégicas que ameritaba el proyecto, en los estudios de contratación y en la planeación de los alcances que debian detallarse para algunos entregables, es decir, se avanzó en la fase preparatoria de la implementación. </t>
  </si>
  <si>
    <t xml:space="preserve">- La priorización de los nuevos procesos a desconcentrar, descentralizar o mejorar en articulación con los directores de las 3 seccionales implicadas (Urabá, Bajo Cauca y Oriente), de los cuales se estableció intervenir los relacionados con la gestión administrativa de compras, el mantenimiento, los procesos de extensión y algunas acciones de investigación. 
- La actualización de la Guía para la contratación de menor cuantía en sedes y seccionales, la cual se puso a disposición de la Dirección de Jurídica para actualización y oficialización, con el fin de mejorar y orientar el proceso de descentralización en compras y delegación del gasto. 
- Capacitación en el proceso de gestión documental para las sedes y seccionales de: Oriente, Amalfí, Magdalena Medio, Segovia, Yarumal y Urabá (en articulación con el area de Gestión Documental UdeA - Se tienen programadas ecuentros para Bajo Cauca, Suroeste, Occidente y Sonsón entre julio, asgosto y septiembre del presente año), y en la creación de expediente contractual en OnBase (liderada por Talento Humano). 
- Realización de capacitaciones que estaban pendientes de desarrollar en la seccional Urabá en temas de estatuto contractual, gestión transparente y SECOP2, como un compromiso pendiente en el trienio anterior.
- Análisis de normativas, guías o procedimientos y propuestas de actualización que se adapten a las actuales demandas de las regiones. 
- Gestión de solicitud de licencias SAP para las regiones que las necesitan y análisis de uso de las que se tienen, con el fin de poner en marcha la delegación del gasto en las nuevas seccionales a descentralizar o mejorar procesos. 
</t>
  </si>
  <si>
    <t xml:space="preserve">Las principales dificultades que se han tenido durante el presente semestre y que han ralentizado el desarrollo del proyecto son: 
- La necesidad de implementar los procesos que habían quedado pendientes para la seccional Urabá, como parte de los compromisos no desarrollados en el anterior PAI 2018 -2021 y por el cambio de Director en dicha seccional. Lo cual implica destinar tiempos, esfuerzos y recursos que no corresponden exclusivamente a este proyecto pero que hacen parte de la Descentralización administrativa y que se deben realizar. 
- Los tiempos de análisis, planeación y concertación que implican los nuevos procesos a intervenir en las seccionales Oriente y Bajo Cauca. 
- Los tiempos que implican el proceso de análisis, discusiones, concentración y el establecimiento de los cambios pertinentes y deseables para las normativas, lineamientos y guías de procedimiento de las regiones, y los tramites de aprobación necesarios. 
</t>
  </si>
  <si>
    <t>Durante este primer semestre de ejecución del proyecto, se resalta el convenio establecido con la Facultad de Comunicaciones y Filología para el desarrollo del proyecto Diagnóstico de Cultura Institucional y Estrategia Integral de Comunicaciones para el Cambio y la Transformación Cultural en el marco del Proyecto PAI “Fomento de una Cultura Institucional en torno al Sistema de Control Interno”. Además de la firma del convenio, se estan llevando a cabo los procedimientos para contratar la empresa externa que realizará el Diagnostico inicial sobre cultura de control en la UdeA. La empresa seleccionada es Change America.  Se adjunta soporte "S12021_ControlInterno_ActaCompromiso".</t>
  </si>
  <si>
    <t>Durante este segundo semestre de ejecución del proyecto, se resalta el cumplimiento de las siguientes actividades, según lo planeado:
• A través del convenio establecido con el CIEC, se contrata al proveedor Change Americans para llevar a cabo la planeación y desarrollo del diagnostico sobre cultura del SCI en la UdeA.
• Se realiza entrega final por parte del proveedor del informe detallado del diagnostico, presentaciones tipo resumen e infografia.
• Se comienza etapa de planeación para la implementación de la estrategía donde el diagnostico es un insumo principal.
• Financieramente se realizan dos transferencia intrauniversitarias al CIEC, dando cumplimiento a lo pactado en el convenio.
• Semanalmente se realizan reuniones de seguimiento con el equipo de trabajo del proyecto, estas quedan grabadas y en actas.
*Los indicadores estan programados para comenzar a medirse a partir del año 2023.</t>
  </si>
  <si>
    <t>Se puede establecer que el principal logro para la meta que tiene propuesta el proceso, es haber construído en conjunto con la Dirección de Planeación, la ruta del modelo de transición del informe de Responsabilidad Social y Sostenibilidad 2021, que comienza a dar insumos importantes para el informes a partir del año 2022.</t>
  </si>
  <si>
    <t>La fecha de la disposición de los recursos financieros, que impidió que se desarrollara oportunamente la contratación técnica con el ICONTEC, y la contratación de personal de apoyo que será vital para el desarrollo del proyecto a partir de enero del 2022. La no aprobación aún del Comité de Responsabilidad Social Universitaria.</t>
  </si>
  <si>
    <t>El reconocimiento del avance de la Responsabilidad Social desde la gestión de la Universidad, por parte del ORSO Ascun y el ORSAL en el marco de la mesa de trabajo conjunto</t>
  </si>
  <si>
    <t xml:space="preserve">La baja asistencia a las sesiones del Comité de RSU y se requiere esa información que ellos producen. Se corrigió la cifra del reporte 2021-2 en el indicador (pasó de 15 a 10) y es la que se mantiene para el periodo 2022-1 </t>
  </si>
  <si>
    <t>La virtualidad se ha convertido ultimamente en una condición importante o en algunos casos para la sociedad, lo que ha implicado la adaptación de diferentes procesos a este entorno con el fin de garantizar su éxito. En ese sentido, Bienestar en Línea ha permitido potenciar y desarrollar diferentes estrategias virtuales cuya finalidad es mantener el acceso a la oferta formativa y el acompañamiento que la Dirección de Bienestar Universitario pone a disposición de su comunidad universitaria. Dicho esto, el proyecto ha adelantado los estudios de mercado y solicitudes financieras necesarias, con el fin de  comprometer recursos de forma anticipada. Se logró realizar el levantamiento técnico de requisitos para la aplicación móvil, que surgió de un proceso amplio de construcción. Se realizaron pruebas exitosas de la plataforma de agendamiento de citas. Se diseño una encuesta con el fin de conocer la perceción que los usuarios tienen actualmente sobre el acceso a los servicios virutales de Bienestar. Se adelantaron diferentes cotizaciones con el fin de identificar los posibles proveedores de los servicios. Se firmó el contrato para la  implementación  del  módulo  SAP  CML  (Transactional  Banking  y SAP Receivable  Management)  y  desarrollos  adicionales, para  la  administración de la  gestión de afiliaciones,  préstamos,  cartera,  garantías,  seguros  y  retiros  de  los  usuarios  de  los  Fondos  de Bienestar  Universitario</t>
  </si>
  <si>
    <t>Garantizar un ambiente de pruebas para el desarrollo de la plataforma de agendamiento de citas dentro del Sistema de Información de Bienestar Universitario no fue posible en un principio, debido a las restricciones que la Universidad tiene impuestas a externos para acceder a sus sistemas. En ese sentido se entregaron URL de prueba que permitieron verificar de una forma alternativa que las citas asignadas a través de la plataforma eran efectivas. Tambien hubo dificultades en el tiempo de ejecución para poder firmar los contratos tanto de la compra de licencias como de la implementación, lo que alargo este proceso imposibilitando su inicio durante este año. Con el fin de realizar la capacitación en el uso de las TIC se hace nesario contar primero con los resultados de la encuesta de percepcción de acceso a los servicios virtuales de Bienestar, la cual será desplegada a comienzos del 2022, por lo tanto no se registran avances de ese entregable para este año.</t>
  </si>
  <si>
    <t>Para Bienestar Universitario es indispensable que todas sus actividades y servicios generen gran impacto y alcance en términos de cobertura. Con base en esto ha venido acercando cada vez más sus actividades y servicios a la Comunidad a través de un enfoque diferencial y modelos incluyentes que aprovechan los recursos virtuales. En consecuencia, por ejemplo, el curso desarrollado por el Departamento de Promoción de la Salud y Prevención de la Enfermedad que contó con el apoyo de Ude@, significó un logro importante, pues el Departamento construyó el curso denominado "Maletín SEAMOS”, que consta de 5 módulos dónde los estudiantes podrán adquirir recursos para el amor, la sexualidad y la no violencia. Cada uno de sus recursos cuenta con traducción a lengua de señas, lo que garantizaría el acceso al material educativo para personas sordo señantes. El Fondo de Bienestar además ha realizado un trabajo constante en el desarrollo del aplicativo "Gestión de Prestamos" que les permitirá administrar de forma más eficiente las afiliaciones, préstamos, cartera, garantías, seguros y retiros de sus usuarios mejorando la atención que les brindan. Por su parte el Departamento de Desarrollo Humano ha avanzado a pesar de las dificultades en el proceso de la convocatoria con el esquema del Sistema Integrado de Estímulos Académicos, que representa un bosquejo de la arquitectura del aplicativo. El Departamento de Deportes a través de los coordinadores de los programas de Hábitos PRO, PROSA, Deporte en tu Región y Deporte Formativo, determinó que requiere primordialmente la implementación de un curso que permita la capacitación virtual y permanente de monitores y usuarios de los programas ofertados por el Departamento, permitiendo agilidad en los procesos de inducción y mejorando la calidad de la formación.</t>
  </si>
  <si>
    <t xml:space="preserve">El 20 de mayo se publicó en el portal Universitario la invitación pública a cotizar para el desarrollo de la primera fase del software “Sistema integrado de Estímulos Académicos, Becas y Apoyos Socioeconómicos”, a la cual no se presentaron propuestas dentro del plazo establecido y en consecuencia, el 7 de julio se tomo la decisión de declarar desierta la invitación pública. A esto podrían sumarse algunas dificultades mínimas generadas por los procesos de aprobación o revisión de contratos, que acarrearon retrasos adicionales en los tiempos presupuestados. Con base en lo anterior, se tomó la decisión de realizar un estudio previo para la contratación de un técnico de la gestión de historias de usuario para el desarrollo del producto digital y así cubrir la necesidad del Sistema Integrado de Estímulos Académicos, Becas y Apoyos Socioeconómicos. Estos retrasos generados en los procesos de aprobación o revisión de contratos también afectaron los comienzos de otros entregables relacionados con desarrollos tecnológicos. Convertido en oportunidad, se puede mencionar la dificultad experimentada por el Fondo de Bienestar durante la fase de exploración del desarrollo del aplicativo “Gestión de Prestamos”, pues se identificaron 57 desarrollos que representan 3504 horas y en la propuesta inicial se contemplaban 17 desarrollos para un total estimado de 923 horas. No obstante, se analizaron 3 alternativas para viabilizar los desarrollos entre las que se seleccionó la que mayor equilibrio genera entre el proveedor y el FBU. </t>
  </si>
  <si>
    <t>Se realiza la base de la formulación del proyecto para obtener recursos desde Regalías que cubre todos los componentes del proyecto.
Componente de infraestructura de hardware y software
*Se genera borrador del RFI para la contratación de la infraestructura de hardware y software.
*Se encuentra en proceso el Análisis y diagnóstico de la infraestructura de hardware, software, bases de datos y virtualización institucional.
*Se inicia la validación y costeo de alternativas de migración de las aplicaciones cliente/ servidor, necesaria para la actualización de la bases de datos.
Centro de cómputo
*Se construye el RFI para la construcción del centro de datos Institucional, y se encuentra en revisión por expertos (Infraestructura física y un revisor externo), y se solicita una validación de un revisor estructural externo para obtener la licencia de construcción.</t>
  </si>
  <si>
    <t xml:space="preserve">Aún no se cuenta con los recursos necesarios para la implementación de recursos.
Los recursos asignados al proyecto se encuentran atendiendo tanto la operación como los proyectos e iniciativas que se tienen planteadas dentro del PAI.
</t>
  </si>
  <si>
    <t>Componente de infraestructura de hardware y software
*Se realiza la primera versión del estudio previo, incluyendo un estado del arte detallado de la tecnología actual, análisis financiero de proponentes con el apoyo de la Vicerrectoría administrativa​. 
*Se realiza análisis de riesgos y derivado de esta actividad se solicitan cotizaciones para adquirir e instalar los discos y la garantía de los discos.
Componente de Centro de cómputo
*Debido a que se requiere la licencia de construcción para el centro de datos, se gestiona con infraestructura física para que se realice desde esta área la contratación de la modelación de la carga física horizontal. La fecha de entrega propuesta es el 1/08/2022​.
*​Se inicia la gestión para llevar a cabo la construcción de las canalizaciones de fibra óptica entre ciudad universitaria y la SIU</t>
  </si>
  <si>
    <t>Componente de infraestructura de hardware y software
*Debido a la variabilidad de la TRM fue necesario realizar una adición presupuestal para cubrir el valor del proyecto, lo que generó reprocesos en la construcción del estudio previo y por tanto una segunda revisión por parte del área jurídica.. 
Componente: Construcción de centro de cómputo
*Aún no se cuenta con disponibilidad presupuestal para realizar la ejecución del contrato.​
*Los reprocesos generados por el cambio de administración del contrato de la modelación de la carga física horizontal</t>
  </si>
  <si>
    <t>Componente: Implementar  capacidades de infraestructura de red LAN para  la prestación de los servicios telemáticos.
Con recursos propios (fondos generales), se inicia la construcción del estudio de necesidad y conveniencia y se realiza la solicitud de información técnica detallada a proveedores (estudio de mercado) que se encuentra especificado en él, el cual garantizará que el proceso contractual cubra las necesidades institucionales actuales y a futuro.  Se alcanza un 70% de avance en esta actividad,, que corresponde a un 11% para el componente.
Protocolo Ipv6 adoptado
El estudio del protocolo IPv6 se inició en el PAI 2018-2021 y tuvo como resultados el plan general de adopción del protocolo y el plan de numeración a nivel institucional. En este trimestre con este nuevo proyecto enmarcado dentro del PAI 2021- 2024, con recursos propios (fondos generales), se inicia el inventario de los activos de la infraestructura tecnológica que son la base del desarrollo del proyecto resumido de la siguiente manera:Infraestructura de telecomunicaciones 100%,Contratos de Servicio 30% Equipos de Cómputo 40%,Equipos de seguridad 70%,,Periféricos en red 10%,Sistemas de información 10%,Sistemas de almacenamiento 100%.
Lo que en general representa un avance del 51% de esta actividad.
Adicionalmente,  con recursos propios (fondos generales), se inició el diagnóstico de IPv6 de la infraestructura de telecomunicaciones, representando el 25% de avance de esta actividad, que corresponde a 11% para el componente. Adicionalmente se realizó la validación del plan de numeración con la consultoría externa contratada.</t>
  </si>
  <si>
    <t xml:space="preserve">Para los componentes de
- La Actualización de tecnología LAN Institucional: aún no se tienen los recursos financieros completos para realizar su implementación
- El Inventario de equipos de cómputo relacionado con el componente de Adopción de protocolo IPv6: ha presentado retrasis por la necesidad de presencialidad que aún no se tiene al 100%
-Implementar capacidades de monitoreo de la  plataforma informática y Implementar mecanismos de control y  monitoreo de seguridad: aún no se tienen recursos financieros.
-Implementar capacidades de monitoreo de la  plataforma informática y Implementar mecanismos de control y  monitoreo de seguridad para garantizar la integridad, confidencialidad y disponibilidad de la información: aún no se tienen recursos para llevar a cabo la implementación.
</t>
  </si>
  <si>
    <t>Componente: Implementar capacidades de infraestructura de red LAN para  la prestación de los servicios telemáticos.
Con recursos propios (fondos generales), se inicia la construcción del estudio de necesidad y conveniencia y se realiza la solicitud de información técnica detallada a proveedores (estudio de mercado) que se encuentra especificado en él, el cual garantizará que el proceso contractual cubra las necesidades institucionales actuales y a futuro. 
Con recursos propios se finaliza el estudio de mercado, se alcanza el 80% del avance en el informe de análisis técnico requerido para la ejecución del proyecto y se logra un avance del 30% en el estudio de oportunidad y conveniencia.
Componente: Implementar capacidades de monitoreo de la  plataforma informática.
Se asignaron recursos para iniciar la ejecución del componente, derivados de proyectos PAI del trienio anterior.  Se finaliza el estudio de mercado y el análisis y selección de la herramienta. Se solicitan las precotizaciones y se inicia el estudio de oportunidad y conveniencia.
Componente: IPv6 adoptado
Se realiza la certificación GOLD de 3 los ingenieros de Telecomunicaciones para especializarse técnicamente en IPv6 y con esta la transferencia de conocimiento por parte de IPV6 Technology, con el fin de fortalecer esta línea de conocimiento a nivel institucional. Esta transferencia de conocimiento se cubrió con fondos especiales de la división ya que en el momento de la contratación (15/09/2021) no se habían asignado recursos.</t>
  </si>
  <si>
    <t>Componente: Implementar  capacidades de infraestructura de red LAN para  la prestación de los servicios telemáticos.
No se cuenta con los recursos inicialmente presupuestados para dar cumplimiento a la totalidad del alcance del componente.
Componente: Protocolo IPv6 adoptado
En este semestre no se le asignó prioridad a la ejecución de este componente, con el fin de realizar la ejecución del componente de Implementación de capacidades de infraestructura de red LAN.
Componente: Implementar capacidades de monitoreo de la  plataforma informática.
El proveedor que había apoyado el proceso de análisis decidió no continuar con los servicios asociados a la herramienta seleccionada, por lo que los costos inicialmente validados pueden cambiar.
Componente: Implementar mecanismos de control y  monitoreo de seguridad para garantizar la integridad, confidencialidad y disponibilidad de la información
Aún no se cuenta con recursos para realizar la implementación.</t>
  </si>
  <si>
    <t xml:space="preserve">La publicación del tablero de egresados de la Universidad de Antioquia desde el año 1897 hasta la fecha, gracias al trabajo conjunto con la dirección de egresados se pudo unificar las dos fuentes de información existentes del registro de egresados; MARES que contiene información desde el año 1996 y los registros documentales de la dirección; logrando así visualizar en el portal de Data UdeA el número total de egresados de la universidad que asciende en toda su historia a más de 134.000 grados los cuales pueden filtrarse por unidad y programa académico.
</t>
  </si>
  <si>
    <t>La principal dificultad ha sido el trabajar en paralelo con cierre de actividades del proyecto anterior y planificación y ejecución del este proyecto.</t>
  </si>
  <si>
    <t xml:space="preserve">Realizar la publicación del primer tablero con información de la caracterización de estudiantes proveniente de las encuestas que realiza la Dirección de Bienestar Universitario y que permite a las unidades y programas académicos tener información de un corte más cualitativo sobre el tipo de estudiantes que tienen. </t>
  </si>
  <si>
    <t>La principal dificultad ha sido la demora en la consecución del reemplazo de la persona que se dedicaba al mantenimiento de la infraestructura tecnológica, conseguir a la persona y capacitarla supone un tiempo importante que retrasa los compromisos y entregables planeados en el proyecto para este semestre.</t>
  </si>
  <si>
    <t>El presupuesto para el proyecto esta programado para entrega en la vigencia 2022, por lo tanto a la fecha no se ha ejecutado recursos ni se han cumplido entregables.</t>
  </si>
  <si>
    <t>Se ha avanzado en un 70% en el proceso previo a la migración a Koha, en cuanto a la depuración de la base de datos Olib. Se han hecho pruebas de migración a Koha para identificar inconsistencias o no correspondencias en los campos de datos y hacer los correctivos previos a la migración. Se han identificado varios posibles proveedores para contratar el acompañamiento en la migración y se han contactado para identificar condiciones, tiempos y costos del proceso de migración.</t>
  </si>
  <si>
    <t>Las dificultades principales han sido la falta de contratación del soporte de OLIB en el primer semestre, lo que implicó que no se pudiera avanzar en modificaciones de la base de datos para probar la migración a Koha; y por otra parte, la ley de garantías que retrasó la compra de equipos y de las antenas de seguridad.</t>
  </si>
  <si>
    <t>En junio se firma el acta de compromiso celebrada entre la División de Gestión Documental adscrita a la Secretaría General y la Escuela Interamericana de Bibliotecología - EIB, de la Universidad de Antioquia, para asesoría y acompañamiento en la formulación del Sistema Integrado de Conservación-SIC, tal acta se hace con el fin de dar cumplimiento a la orden perentoria del Archivo General de la Nación en tal sentido. A la fecha se tiene definido el Sistema Integrado de Conservación Institucional con el Diagnóstico integral de archivo, el Plan de Preservación a largo plazo y Plan de Conservación y sus 9 programas de conservación preventiva con sus respectivos anexos (instructivos y registros), los cuales stán pendientes de aprobación por parte del Comité Interno de Archivo. Sin embargo, este es un insumo para para la implementación del PAI.</t>
  </si>
  <si>
    <t>No se pudo realizar el diagnóstico en su totalidad debido a la situación de pandemia y que algunas unidades académicas y administrativas no se encontraban laborando en presencialidad.</t>
  </si>
  <si>
    <t>El 16 de junio del 2022 se formalizó el acta de compromiso No. 10210012-01-2022 para dar inicio a la Implementación del Plan de preservación digital a largo plazo, derivado del Sistema Integrado de Conservación - SIC de la Universidad de Antioquia Fase 1, la cual contempla los siguientes componentes: Definición de la política de preservación digital; formulación del programa de preservación digital; conformación del equipo interdisciplinario universitario para la preservación digital y Diplomado en modalidad virtual en Gestión de Documentos Electrónicos de Archivo, Gestión de Datos y Preservación Digital con una intensidad de 120 horas, certificado para quienes asistan al 80% del mismo por la EIB. Actividades que se pueden evidenciar detalladamente en el cronograma de actividades y el acta de compromiso adjuntas.</t>
  </si>
  <si>
    <t xml:space="preserve">Concertación y concreción en los términos y alcance del acta de compromiso con la Escuela Interamericana de Bibliotecología y la Secretaría General, División Gestión Documental. </t>
  </si>
  <si>
    <t>Durante el segundo semestre del año se realizó una búsqueda y exploración de plataformas y softwares que nos pudieran ofrecer una solución para la venta de ebooks y mejora de nuestra página web. Se realizaron reuniones y pruebas gratuitas con varios proveedores, después de analizar varias opciones con ayuda del ingeniero Andrés López de la División de Gestión Informática de la Universidad, encargado del diseño y mantenimiento de la página de la Editorial, llegamos a la conclusión de que el software Edition Guard cumple con las características que buscamos tanto de seguridad para los ebooks como de facilidad de compra para los usuarios finales de nuestra página. Con esta solución podremos implementar la venta directa de ebooks y la entrega de cortesías a autores de la Editorial, además podremos recibir un mayor retorno por la comercialización de los libros digitales que siempre había estado tercerizada.</t>
  </si>
  <si>
    <t>La mayor dificultad fue encontrar una solución que nos permitiera comercializar los libros digitales con protección de derechos de autor (DRM Digital Rights Management) y que, a la vez, la pudiéramos ensamblar con la página web que ya tenemos en funcionamiento.</t>
  </si>
  <si>
    <t>Se continuo con el trabajo de pruebas para la integración de las Api del software Edition Guard con la página web de la Universidad y la pasarela de pagos de la misma. Se realizó un análisis inicial de cómo aparecerán los libros electrónicos en la página de la Editorial para tener una experiencia de usuario interesante y fácil tanto para la búsqueda de los libros como para la compra de los mismos. Se llevó  a cabo una reunión con la persona encargada del proceso de suscripción al software en Compras Internacionales de la Universidad, nos dio todas las indicaciones del caso y se tramitó la creación del proveedor.</t>
  </si>
  <si>
    <t>Se instaló una versión de prueba del software que se utilizará y el Ingeniero Andrés López realizó la integración con la página de la Universidad. Se realizaron varias pruebas simulando el envío del libro después de la compra y, por ahora, tenemos inconveniente con el email template, que es el correo que recibe el usuario después de realizar el proceso de compra o cuando se entrega el libro como cortesía, ese correo no ha sido posible personalizarlo con la información de la Universidad, por lo que se  solicitó una nueva reunión con Edition Guard para realizar dicha tarea.</t>
  </si>
  <si>
    <t xml:space="preserve">Se logor contratar el personal solicitado para la ejecuciòn del proyecto, se realizo la capacitación de la plataforma On Base para el desarrollo del proyecto y se inició con el escaneo e indexación de los Documentos. </t>
  </si>
  <si>
    <t>No se presentaron dificultades.</t>
  </si>
  <si>
    <t xml:space="preserve">El trabajo compacto y ágil ha llevado a que el proyecto tenga un buen ritmo de ejecución, logrando cumplir las metas propuestas. Los documentos se han trabajado de una forma correcta lo que lleva a que se tenga un buen producto para la conservación de la información y por ende un buen trato a los soportes que contienen la información. </t>
  </si>
  <si>
    <t xml:space="preserve">Algunas fallas muy puntuales en On Base han retrazado en breves momentos el trabajo, pero esto ha llevado a mejoras de la plataforma que es la que sirve para conservar y guardar las las imágenes y la informaciòn del proyecto. </t>
  </si>
  <si>
    <t xml:space="preserve">Durante el segundo semestre de 2021 se logró la aprobación por parte del Comité Técnico de Contratación, la CAAF y posteriormente del Consejo Superior Universitario, lo cual permitió dar inicio a la licitación pública para la contratación de esta importante obra de nueva infraestructura física para la Institución. Se realizó la evaluación y adjudicación de la obra, sin embargo esta ultima no ha sido publicada, pues por orientacion de la Oficina Jurídica se debía esperar a tener contratada la interventoría. Se espera iniciar obra en la segunda semana de enero de 2021. </t>
  </si>
  <si>
    <t xml:space="preserve">De acuerdo al cronograma estimado, se esperaba iniciar ejecución de la obra en el segundo semestre de 2021, sin embargo no era posible iniciar la obra sin tener contratada la interventoría, y el proceso precontractual para ésta última se declaró desierto, por lo cual fue necesario sacarlo nuevamente a licitación. Actualmente la interventoría se encuentra en proceso de adjudicación.  </t>
  </si>
  <si>
    <t>El principal logro del proyecto fue cumplir con todo el proceso de licitación y  celebrarar los contratos de obra, interventoría y concretos, para dar inicio a la construcción del bloque 49. El acta de inicio de la obra se firmó el 28 de febrero de 2022 y el acta de la interventoría el 16 de febrero de 2022.</t>
  </si>
  <si>
    <t>La principal dificultad ha sido el invierno,además de la dureza del material a excavar, sin embargo, el cumplimiento a la programación se mantiene estable. Los porcentajes de avance programados en el PAI no corresponden con el avance real, ya que la licitación se declaró desierta en dos ocasiones y esto retrasó el  inicio de obra, las cuales estaba proyectadas para iniciar en el 2021, sin embargo, el inicio se dió en febrero de 2022. Con relación a la ejecución financiera, se aclara que en el 2021 no se ejecutaron los recursos proyectados por 3.723 millones y solo en el 2022, con la firma del acta de incio se han ejecutado 4.323 millones, que corresponden  al 38% del total ($11.244.000.000). Lo ejecutado corresponde a lo facturado del avance de obra y al 20% de anticipo al contrato de obra y 50% de anticipo al contrato de suministro de concreto.</t>
  </si>
  <si>
    <t xml:space="preserve">Durante el segundo semestre de 2021 se logró la aprobación por parte del Comité Técnico de Contratación, la CAAF y posteriormente del Consejo Superior Universitario, lo cual permitió dar inicio a la licitación pública para la contratación de esta importante obra de nueva infraestructura física para la Institución. Actualmente el proceso precontractual se encuenra en etapa de Evaluación de Propuestas y se espera dejar adjudicado antes del 31 de dic de 2021. </t>
  </si>
  <si>
    <t xml:space="preserve">Debido a la incidencia de la Pandemia por COVID 19 en el sector de la construcción, los precios de algunos materiales subieron alarmantemente, lo cual estuvo cerca de inviabilizar el proyecto. Sin embargo se logró hacer los ajustes pertinentes para solucionar dicho inconveniente. </t>
  </si>
  <si>
    <t>El principal logro del proyecto fue cumplir con todo el proceso de licitación y  celebrarar los contratos de obra, interventoría y concretos, para dar inicio a la construcción de la Nueva Sede de Salud Pública. El acta de inicio de la obra se firmó el 10 de marzo de 2022 y el acta de la interventoría el 16 de febrero de 2022.</t>
  </si>
  <si>
    <t>La principal dificultad fue la demolición controlada de la estructura existente, ya que al estar rodeada de otras edificaciones, dicha actividad debió ejecutarse con mayor cuidado, sin embargo, el cumplimiento a la programación se mantiene estable. Los porcentajes de avance programados en el PAI no corresponden con el avance real, ya que la licitación se declaró desierta en dos ocasiones, y esto retrasó el inicio de la obra. Con relación a la ejecución financiera, se aclara que solo en el 2022 se inició la ejecución de recursos. Con la firma del acta de incio se destinaron 19.946 millones de recursos externos y propios, que  corresponden  al 26% del total ($76.749 millones). Lo ejecutado soporta  lo facturado del avance de obra y el 20% de anticipo al contrato de obra y 50% de anticipo al contrato de suministro de concretos.</t>
  </si>
  <si>
    <t xml:space="preserve">En el presente periodo se lograron ejecutar 5.365 m2 de la bolsa de adecuaciones y obras de nueva infraestructura que representan el 37% de la meta frente a este componente. De igual manera, de acuerdo a lo previsto, se logró dar inicio a importantes obras como la Sala de Resonancia Magnética de la Facultad de Medicina. Adicionalmente se logró finalizar la etapa de estudios y diseños para la adecuación del piso 1, 3 y 4 del bloque 10, la etapa tres del proyecto Ambientes de Aprendizaje, el Laboratorio de Farmacognosia, los Laboratorios de Ciencias Exactas y el Laboratorio de Microbiología. Estos iniciarán etapa contractual en enero de 2022. </t>
  </si>
  <si>
    <t xml:space="preserve">La meta total de la bolsa de adecuación para el presnete periodo era de 7.600 m2, pues se esperaba finalizar algunas obras que se encuentran en ejecución, como es el caso del Laboratorio de Incocuidad y Calidad de Leches, el Laboratorio LICAFDE, BLoque 2 de Aulas en Tulenapa, la Sala de artes performativas Bloque 17, Ambientes de Aprendizaje etapa 2 y Sala de Resonancia magnética. Sin embargo todas estas obras han presentado algún tipo de novedad que impidió su finalización dentro del plazo previsto (Quiebra del contratista en los dos primeros casos,  solicitud de prórroga en los dos siguientes y cesión del contrato en el ultimo caso). Se espera que en el primer trimestre de 2022 se finalicen y se pueda dar cumplimiento a la meta estimada. </t>
  </si>
  <si>
    <t>En el presente periodo se lograron ejecutar 3.468 m2, que sumados a los 5.365 m2 reportados en el 2021, dan un total de 9.159 m2 de la bolsa de adecuaciones y obras de nueva infraestructura, que representan el 31% del total de la meta (30.000 m2) y 28% del objetivo "Diseñar y contruir las adecuacione sy la nueva infraestructura..."que sumados al 37% que se ejecutó en el 2021, suman 65% . De igual manera y de acuerdo a lo previsto se han ejecutado algunos proyectos de restauración en la Facultad de Medicina,  y otros se encuentran en etapa precontractual, tales como el Lab de Microbilogía B5-129, Centro integrado de Lab Bloque 10, tres laboratorios en la Fac. de Ciencias Excatas,  Ambientes de Aprendizaje Eatpa 3 - Fac. de Educación, Zonas Deportivas Caucasia, Ampliación Sonsón E1 y el Lab de Farmacognosia. Además se encuentran en su etapa final de ejecución la Sala de Resonancia Magnética y el Lab de Ictiología. Entre otros poryectos importantes que se ejecutaron y se entregaron a satisfacción, se encuentra la Sala Performativa Teresita Gómez, Lab BSL3, Lab de Osteología, Auditorio Odontología, oficinas en Andes, Ambientes de Aprendizaje Etapa 2, Lab de Suelos y Larpeali, Restauración Cubierta de Bioquímica, Restauración de las puertas y ventanas del ed. de Biquímica, cajeros eléctrónicos en el B22, entre otros proyectos.</t>
  </si>
  <si>
    <t>La meta total de la bolsa de adecuación para el presente período fue alcanzada y superada, sin embargo, hay algunos proyectos que se esperaba finalizar, pero debido a algunos incovenientes no fue posible entregarlos a satisafacción. Se espera que en lo que resta del año 2022 se finalicen.</t>
  </si>
  <si>
    <t xml:space="preserve"> Se llevó a cabo la fase preparatoria para la ejecución del proyecto, se establecieron documentos base como la presentación guía, el cronograma de trabajo, los formatos para informes de avance, las necesidades de contratación de personal, servicios y compras y las necesidades comunicacionales; se definieron los alcances de los entregables y las acciones a desarrollar para la finalización de cada uno. Se estableció la agenda de lanzamiento y articulación del proyecto con otras dependencias y con el equipo interno de la Dirección, en temáticas relacionadas y complementarias, algunas de las dependencias convocadas fueron la Dirección de Bienestar Universitario y la División de Cultura y patrimonio de la Vicerrectoría de Extensión. Se realizó la publicación oficial del proyecto en Portal Universitario/micrositio para difundir los avances.
</t>
  </si>
  <si>
    <t xml:space="preserve">Frente a las necesidades de contratación del proyecto, se procedió a realizar el estudio previo del personal requerido y dirigirlo al Comité de Asuntos Transitorios quien aprobó las solicitudes. Sin embrago, dichas contrataciones no pudieron llevarse a cabo debido a que por parte de la Vicerrectoría Administrativa se notificó que no se contaba con la posibilidad de hacer uso de este personal para el presente año, lo que implicó retrasos en la ejecución presupuestal que ya se había planeado para el 2021. 
Cabe señalar que esto no ha afectado (todavía) el cumplimiento de los objetivos del proyecto ni del desarrollo de los entregables, puesto que hemos encontrado alternativas de solución con las capacidades instaladas del equipo y se ha avanzado en otras tareas de preparación y articulación. No obstante, esta falta de contratación si puede conllevar a dificultades en el futuro para el proyecto, ya que algunos entregables están sujetos a las labores y tiempos del personal de apoyo a contratar.   
Por otra parte, en lo concerniente al gasto de recursos de estampilla, se decide trasladar la inversión o uso del mismo para el próximo año, debido a que corresponde a compra de equipamiento necesario para el personal de apoyo del proyecto, y al no tener estas contrataciones durante el 2021 y estar pendiente de la disponibilidad para el 2022, no era pertinente hacer dichas compras de equipos que no serían utilizados. </t>
  </si>
  <si>
    <t xml:space="preserve">Durante el 1er semestre de 2022 el proyecto ha tenido una serie de avances significativos relacionados con: 
- Rastreo, reconocimiento y articulación con las dependencias Universitarias que tienen experiencia en el desarrollo de acciones relacionadas con Pluridiversidad (inclusión en capacidades especiales, educación rural, equidad de género, diversidades sexuales y expresiones culturales), como parte de la implementación de la ruta de interacción propuesta para llegar a las regiones. 
- Articulación con los equipos de las sedes y seccionales focos del proyecto: Coordinadores de extensión de Magdalena Medio, Bajo Cauca, Segovia, Amalfí y Occidente (a través de talleres interactivos que permitieran avanzar en las propuestas) y como parte de la implementación de la ruta de interacción para desarrollar acciones pluridiversas en las regiones.
- Diagnostico de capacidades de las dependencias aliadas en el cual se identificaron los activos de conocimiento, metodologías, propuestas de formación, asesoría y servicios relacionados con pluridiversidad para desarrollar en las regiones priorizadas. 
- Caracterización de iniciativas en las regiones (tanto comunidad universitaria como externa) para implementar procesos de fortalecimiento a través del programa de intervención (10 iniciativas o experiencias territoriales caracterizadas relacionadas con las temáticas foco del proyecto).
- La coordinadora del proyecto PAI fue integrada al Comité y Subcomité de Inclusión Universitaria en el cual se analizan y planean estrategias para el fortalecimiento de las diversidades, en y para, la comunidad Universitaria (temas de género, acceso de sordoseñantes, diversidades étnicas, culturales, geográficas, de discapacidades, entre otras). 
</t>
  </si>
  <si>
    <t xml:space="preserve">Debido a que en el semestre pasado no se pudo realizar la contratación del personal proyectado, la metodología de trabajo y el ritmo del mismo se ha ido ajustando a la capacidad de respuesta de los profesionales que asumimos labores del proyecto. Lo que ha implicado un avance menos acelerado de lo que se había programado frente a los entregables. 
Esta situación pone de manifiesto unos valores menores en los indicadores y entregables, pese a que se han puesto a disposición del proyecto todas las capacidades instaladas de los profesionales asociados al proyecto en el nivel central, en sedes y seccionales y que hemos contado con la colaboración de muchas dependencias para generar articulación y sinergia entre los PAI, los entregables y tiempos se han tenido que ir ajustando a esta nueva dinámica y posibilidades de acción. 
En lo concerniente al gasto de recursos de Estampilla, se decide trasladar una parte de la inversión para el próximo semestre, debido a que las acciones en territorio que requerirán de dicho rubro, dependen de los desarrollos iniciales que se están consolidando en este momento en un programa de intervención para fortalecer la pluridiversidad.
Por otra parte, el recuso inicialmente proyectado para la compra de equipos de cómputo que estaban destinados al personal a contratar (que no pudo ser contratado) se decidió destinarlos a fortalecer las acciones en los territorios que tendrán lugar a partir del segundo semestre, cuando se tengan mayores avances en los entregables relacionados con el modelo y plan de acción. 
</t>
  </si>
  <si>
    <t xml:space="preserve">Potenciando la Diversidad ha buscado promover la incorporación de enfoques, perspectivas y metodologías inclusivas, de diversidad, interculturales e interseccionales en la estructura de los diferentes servicios que tienen los departamentos de BU. Para esto, se ha logrado consolidar un proceso de capacitación, educomunicación y formación, que acerca a los diversos empleados y comunidad universitaria a las preguntas por la diversidad, la equidad, la interculturalidad, entre otras, en el marco de la educación superior. Generando a su vez, material educomunicativo que pueda ser retransmitido, y brindando especial atención al acercamiento a todas las sedes y seccionales de la Universidad en este proceso. 
Así mismo, se han logrado establecer vínculos y articulaciones con dependencias universitarias como: la emisora universitaria, la dirección de comunicaciones y permanencia universitaria; con esta última, en la que se logran sinergias desde varias aristas, pero resaltando el nicho de accesibilidad. En este participan también dependencias de toda la universidad, como: infraestructura, el MUUA, el sistema de bibliotecas, entre otros; además, de colectivos sociales y el Pacto por la productividad.  Por otra parte, se han dado algunos acercamientos a externos, pero con propuestas cercanas a nuestra población, como con la gerencia de PCD de la Gobernación de Antioquia y la Gerencia de Diversidades Sexuales e Identidades de Género de la Alcaldía de Medellín. 
Se considera un logro la cohesión del equipo de bienestar, quienes identifican las necesidades y manifiestan su disposición para reconocer, mapear y probar experiencias de interseccionalidad, inclusión y diversidad en sus procesos internos. Por ejemplo, el identificar la importancia de la información y de contar con datos que permitan mayor acercamiento a la comunidad y proyectar un sistema de información de esta manera. También el proceso de comunicaciones como un eje transversal a la hora de visibilizar nuevas iniciativas y fomentar no sólo participación, sino también el aprendizaje con cada interacción. 
Finalmente, todo lo anterior se ve reflejado en la consolidación de los cimientos y avances hacia la construcción de una oferta inclusiva que sea coherente con los principios de bienestar universitario y con las perspectivas inclusivas e interseccionales. 
</t>
  </si>
  <si>
    <t>Inicialmente se había proyectado el comienzo de la ejecución del proyecto para el mes de septiembre, pero debido a los tiempos de los procesos de contratación y la asignación presupuestal, se priorizó el uso del recurso externo para ejecución de las actividades; por lo que el dinero asignado por Estampilla no se ejecutó en este periodo, pero se proyecta para el próximo año.  
Debido a los calendarios de fin de año, y del examen de admisión; dos actividades que se proyectaban realizar este semestre se reprogramaron para el próximo año.  
La modalidad de la virtualidad puede ser desafiante a la hora de pensar metodologías coherentes epistemológicamente y participativas, además de haber sido manifestada cierta fatiga por los participantes, especialmente a esta altura del año, por lo que se vislumbra un reto de multimodalidad, que permita el mantenimiento de cercanía con las regiones, pero ofrecer actividades alternativas.</t>
  </si>
  <si>
    <t>Potenciando la Diversidad en este semestre ha logrado mantener y fortalecer procesos como el de la capacitación, formación y educomunicación. Pudiendo consolidar un proceso de sistematización del proyecto Nana Ñue Iyano, la diversidad que somos; el cual hace parte de su componente 1. En este mismo componente se han iniciado procesos de capacitación en Lengua de Señas Colombiana a diferentes empleados de la DBU, especialmente en el Departamento de Deportes. Se han consolidado ofertas inclusivas en aspectos culturales, deportivos y de promoción de la salud. Se han logrado tejidos con procesos de otras dependencias, lo cual nos han permito fortalecer los acompañamientos específicos a estudiantes y comenzar a trazar el componente de accesibilidad de forma articulada a procesos universitarios similares,</t>
  </si>
  <si>
    <t>Durante este semestre en el proyecto se tuvieron algunas situaciones para considerar. Al inicio del semestre, la líder del proyecto tuvo una incapacidad médica durante un mes, por otra parte, algunos procesos de contratación se tardaron más semanas de las proyectadas inicialmente. En algunos componentes, los cambios de enlaces con otras dependencias universitarias, en conjunto con las curvas de aprendizaje esperables por los cambios y los reajustes de acuerdos, impactaron el desarrollo de algunos aspectos. Finalmente, la compra de elementos que favorecen el desarrollo de actividades deportivas adaptadas se vio afectada por los costos y los tiempos de entrega que se han incrementado recientemente.</t>
  </si>
  <si>
    <t xml:space="preserve">Estos tres meses ha sido posible posicionar al equipo del PAI y familiarizarlo con la dinámica interna de la UdeA, se ha ganado articulación del trabajo colectivo por los componentes que hemos organizado, se ha trabajado de manera colectiva inter y transdisciplinaria la propuesta y la construcción de los informes parciales de esta primera fase; cada componente ha podido desarrollar su propuesta y acompañar a los demás. Es otro nivel de conocimiento el que se adquiere en el proceso y se valora positivamente lo hecho hasta ahora. Ha habido avances en la articulación con las sedes y regionales definidas previamente, gracias a la articulación permanente al interior del equipo y los aportes colectivos para mejorar los procesos y desarrollo subjetivo. Se ha podido avanzar en la construcción de los cursos auto dirigidos, la imagen del PAI y el diseño del instrumento de identificación y caracterización de la discriminación y las Violencias Basadas en Género en la UdeA. Como PAI hemos logrado acompañar a las organizaciones de base que tiene la Universidad de Antioquia ya que en estos tiempos de pandemia las condiciones han dispersado a los grupos y las propuestas de estudiantes que buscan a través de proyectos universitarios hacerles frente a las violencias basadas en género diversidades y etnicidades en el ámbito académico universitario activista. Se ha participado en la articulación externa con mesas de ciudad de la Secretaría de las Mujeres, Comités de Género de otras IES y la organización del III Coloquio Nacional de Estudios Feministas y de Género que se llevará a cabo en octubre del próximo año. </t>
  </si>
  <si>
    <t>Hemos empezado dos meses más tarde y ello ha afectado la planeación que se había hecho inicialmente, para el equipo ha sido difícil entender los tiempos institucionales, especialmente de algunas dependencias, percibimos que hay poco personal en algunas labores lo que dificulta en últimas las articulaciones; algunas relaciones son estrictamente jerarquizadas, lo que demora el avance de las gestiones de cada componente Estos atrasos en los comienzos tienen una dificultad añadida dado que la burocracia ralentiza y pone en aprietos el cumplimiento de objetivos específicos.
Otras dificultades por señalar tienen que ver con lo relacionado a los procesos de conformación de grupos coequiperos y de colaboración interinstitucional esto se debe en gran medida a la incertidumbre generada por el COVID-19 que nos ha obligado a generar condiciones tecnológicas que nos permitan trabajar articuladamente por la articulación y participativamente por la participación. Es decir que hemos sido capaces de dar pasos seguros pero inestables dado que en cualquier momento las condiciones pueden cambiar.</t>
  </si>
  <si>
    <t>Este semestre hemos podido articular al equipo entre sus componentes y acercarnos más a los estamentos universitarios y a la dinámica institucional. Se ha avanzado en la presencia en sedes regionales, se está posicionando el proyecto con imagen propia, personajes y piezas que nos identifican para avanzar en la propuesta de formación con UdeA@ y con educación continua de la FNSP. De otra parte, es alentador saber que, gracias al apoyo y al esfuerzo combinado con la FNSP, el diseño del sistema avanza a la par del instrumento, lo cual da consistencia interna de constructo y de contenido desde ya a la propuesta de medición que estamos elaborando para la realidad universitaria. El equipo entra en período de formación interna para fortalecer habilidades y manejo de técnicas de trabajo y abordaje de la problemática de las VBG en la UdeA y se abre a su vez, para compartir parte de esos espacios en una propuesta de diálogo universitario a varias voces. La interacción con las regiones se ha intensificado, hay demanda efectiva de atención y acción en el tema de prevención de las VBG y en derechos sexuales y derechos reproductivos, mientras podamos aportar a fortalecer la respuesta institucional, ganar en interacción con los estamentos y posesionar la propuesta de medición de las VBG la disposición del equipo es total.  El trabajo colaborativo con Permanencia UdeA de la Vicerrectoría de Docencia muestra posibilidades de articulación fuertes para los próximos meses en materia de violencias epistémicas, educación sexista e interseccionalidad. El acercamiento a los estamentos activos de la universidad ha complejizado la agenda y ha fortalecido los espacios de articulación dentro y fuera de la Alma Mater. La programación de encuentros periódicos de formación en el tema ya mencionados servirá sin duda para ello.  Estamos preparando en total siete propuestas de formación, inicialmente virtuales con encuentros sincrónicos y auto diligenciados, tres de estas propuestas para todos los estamentos universitarios y cuatro para personal de los tres estamentos que trabaja directamente la problemática; entendemos que al momento de empezar a conocerse el instrumento de medición de la discriminación y las VBG en la UdeA.  UdeA y la información empiece a llegar, vendrá una demanda importante de atención que tendremos que atender, para ello, los cuatro cursos restantes están dirigidos a personal de la UdeA que tiene a su cargo la atención, el apoyo y seguimiento de casos de VBG, discriminación y otras situaciones relacionadas, tanto en la sede central como en las regionales.</t>
  </si>
  <si>
    <t>Los procesos internos institucionales lentifican procesos para el logro de objetivos y del cumplimiento de las actividades, son tiempos que nos atrasan de los propósitos trazados y que no logramos afectar positivamente; caso por ejemplo con la compra de materiales y contratación de algunos servicios, como la gestión y aprobación de piezas comunicativas. Los tiempos de respuesta de algunas dependencias universitarias y los problemas de acceso directo a alguna información también lentifica el trabajo. Los costos han aumentado y el presupuesto disponible se ha reducido, en el terreno, nos hemos dado cuenta de que es necesario reforzar presencia en las regiones, pero hacerlo va en detrimento del presupuesto disponible, lo que nos ubica frente al dilema de costear ahora y cancelar actividades posteriores, porque no está garantizado el apoyo para llevarlas a cabo. El equipo básico está conformado por contratistas, si bien egresadxs la mayoría de ellxs, han tenido problemas con sus cuentas institucionales para acceder a la plataforma y al sistema de servicios de la UdeA, incluso la gestión misma de su cuenta.</t>
  </si>
  <si>
    <t>El diseño de la propuesta de ruta de Adulto Mayor y el  desarrollo de los primeros talleres de interlocución para la conformación de las mesas técnicas para el desarrollo del proyecto. Así mismo la vinculación de nuevos aliados y la articulación de proyectos conexos al proyecto como proyecto de Salud Mental desarrollado por la Facultad de Nacional de Salud Pública y la Universidad de Liverpool, lo que llevó a conformar el primer voluntariado basado en comunidad con adultos mayores, lideres y liderezas y miembros de la asociación Asomupaz. La exploración de aliados inversionistas para el componente de Aula Infantil, que se materializarán a partir del 2022.</t>
  </si>
  <si>
    <t>La definición real del componente de Aula Infantil de desarrollo, derivado de las expectivas del corresponsable directo Dirección de Bienestar Universitario, así como del alcance del mismo proyecto, lo que no ha permitido avanzar en dicho componente.</t>
  </si>
  <si>
    <t>la construcción colectiva e interés que sobre el tema están generando las acciones desarrolladas desde el PAI, en las dependencias académicas y administrativas lo que ha hecho que se vinculen tanto aliados internos y externos.</t>
  </si>
  <si>
    <t>Este proyecto involucra muchos actores y en ocasiones los ritmos de algunos aliados, que impiden un desarrollo al ritmo planeado</t>
  </si>
  <si>
    <t xml:space="preserve">Se dio inicio a la Implementación de estrategias para la consolidación de la universidad como territorio de paz con sentido de pertenencia, respeto, pluralidad, diversidad y convivencia a través de las siguientes acciones: 1. Se avanzó en la articulación con el CAG [Centro de atención en Género y Diversidades] para analizar el documento previo de la política de violencias de género y sexual. De allí se desprendió la gestión de unas reuniones con una asesora técnica para refinar el documento. Y 2. Se realizaron de forma virtual de los Juegos Deportivos Interregionales, como escenario inicial que invita a la comunidad universitaria a trabajar por la construcción de paz, a través de enfoque de e-Sports.
De igual manera se avanzó en la generación de espacios para la vinculación de la comunidad universitaria en la determinación de estrategias que propicien la autogestión del bienestar, la cultura del cuidado, la interiorización de los principios y valores institucionales y la construcción de un pacto por la paz, en los que han participado las Unidades de Paz y Resolución de Conflictos el colectivo Hacemos Memoria con propuestas pedagógicas que se implementarán en el año 2022 y los coordinadores de bienestar de Medellín y regiones. También se concretó el contrato para Implementar en 2022 un programa basado en el yoga, la meditación y la expresión, la atención plena (mindfulness), el juego, el arte y la comunicación, en las modalidades presencial y virtual, para aportar al fortalecimiento del ser, de la consciencia física, mental y emocional de estudiantes, administrativos y profesores de la Universidad de Antioquia, como alternativas estratégicas y creativas orientadas al bienestar. Y finalmente se elaboró un plan de comunicaciones, una imagen y mensajes diseñados para el micrositio donde se aloje el proyecto y de una propuesta para la implementación de los espacios de conversación y reflexión, que cuenta incluso con alternativas de expertos temáticos que orientes los espacios.
En cuanto al objetivo “Generar estrategias para fortalecer y visibilizar las redes de apoyo familiares, sociales y académicas”, se desarrolló el concurso UdeAmiga 2021 pensado para contribuir al fortalecimiento de los vínculos afectivos entre amigos y amigas, entre el 1 y el 7 de diciembre en el marco del evento de cierre de la semana de la amistad.  Y para fortalecer las articulaciones con otras instancias universitarias, se comenzó a trabajar, con el apoyo del Servicio Estudiar a lo Bien, en: (1) el diseño acciones para el apoyo a tutores y mentores de las Unidades académicas y de las sedes y seccionales. (2) se han realizado varias reuniones con coordinadores de bienestar de Medellín y Regiones para realizar una exploración sobre temas de interés para realizar el plan de trabajo del año 2022. (3) se comenzó a diseñar un plan para estudiantes becados en temas de orientación para la vida y ciclos académicos. (4) con el apoyo del CLEO se realizó un plan de capacitación de tres talleres sobre aspectos relacionados con el lenguaje matemático, el uso de bases de datos y utilización de normas APA. (5) con el apoyo de udea@ se realizó una propuesta conformada por cuatro talleres sobre el uso de aplicaciones, rastreo de datos, uso de normas APA. (6) se continúa participando en el Programa de permanencia de la Vicerrectoría de Docencia y se asiste a las capacitaciones para el manejo del ecosistema para la permanencia y el bienestar en la plataforma Colombia Aprende. (7) se planteó el proyecto del conversatorio Docentes Artífices del Bienestar con la temática “Buen retiro laboral” para desarrollar durante el año 2022. (8) con la División de Talento Humano se busca elaborar un plan de trabajo para abordar con los empleados temas de salud mental que deban ser abordados e integrados a plan de capacitación y acompañamiento a factores protectores relacionados con los riesgos laborales. Está pendiente definir temáticas a abordar en el año2022. Y (9) se elaboró Un plan de trabajo para realizar 8 visitas guiadas presenciales con docentes y empleados, y la realización de un ciclo de 3 talleres sobre alimentación y retorno.
 </t>
  </si>
  <si>
    <t>No se cuenta con avances considerables a la fecha para atender el entregable “Escuela de Género”, debido a la congestión de compromisos del equipo de SEAMOS; sin embargo, se tienen previstas 4 reuniones con el equipo SEAMOS y una trabajadora social que se vincula a la iniciativa para darle cuerpo a la propuesta.</t>
  </si>
  <si>
    <t>La Universidad de Antioquia cuenta con la Ruta Violeta que consta de unconjunto de acciones articuladas para garantizar la atención y protección de las víctimas, su recuperación y la restitución de los derechos. Para formalizar  ruta, así como otras acciones relacionadas con la prevención y seguimiento de los casos, y dotar de herramientas adecuadas y suficientes a la universidad que le permitan prestar una atención integral a las víctimas, actualmente se trabaja en dos proyectos de actos administrativos: (1)Proyecto de Acuerdo Superior por el cual se tipifican como faltas disciplinarias los actos relacionados con violencias basadas en género y violencias sexuales, el cual ya cuenta con el aval del Consejo de Académico y está en proceso de consulta pública con la comunidad universitaria para que siga su curso en el Consejo Superior Universitario. Y (2) Proyecto de Acuerdo Superior por el cual se estable la política institucional de prevención y atención de las violencias basadas en género en la Universidad de Antioquia, el cual está en proceso de retroalimentación por parte de la comunidad universitaria.
Se adelanta la construcción con Ude@ de 5 cursos virtuales que conforman el entregable “Escuela de Género”, y se espera que para el semestre 2022-2 se tengan listos 2 de ellos.
Se fortalecieron las articulaciones con el Instituto de Estudios Políticos, la Unidad Especial para la Paz, la Unidad de Resolución de Conflictos, Hacemos memoria, el Semillero de estudiantes de comunicación, cambio social y construcción de paz, para plantear y desarrollar estrategias de convivencia y construcción de paz. Se trabajó con la Comisión para el Esclarecimiento de la Verdad y, en el marco de la estrategia Ruta Universitaria por la Paz, se presentaron los resultados del informe en el Suroeste y Medellín donde se abordan no solo los asuntos que el informe contiene para cada región visitada, sino que se apuntaba a cuestionar las violencias naturalizadas, como una invitación a repensarlas y desmontarlas, a fin de construir una cultura de paz en nuestros campus, se programó y organizó la presentación del informe del nodo académico en la Universidad para el día 28 de julio con la participación del Rector de la UdeA y representantes de la Comisión de la Verdad Territorial Antioquia. Se vienen abordando temáticas enmarcadas en el conflicto armado colombiano (que la Universidad ha vivido), pero también de los conflictos cotidianos e interpersonales. Se han realizado 6 recorridos con Hacemos memoria por los murales y pintas que representan lugares de memoria de una línea de tiempo sobre los hechos de violencia y acciones de resistencia que ha vivido la Universidad desde el año 1968, como punto de partida de un proceso pedagógico para tener viva la memoria y como una forma de contribuir a la no repetición de las violencias al interior de la Universidad y generar consciencia de lo que ha ocurrido con el conflicto armado en el país y las consecuencias para la vida universitaria. Se han realizado 3 exposiciones itinerantes ¿Qué sabes del conflicto armado en tu Alma Máter?, y se han realizado 3 activaciones artísticas con dibujos en tiza realizados por una estudiante de artes plásticas convocando a la comunidad para que participe de los espacios de diálogo.
Se avanza en la creación de un documental que busca poner en conversación el pasado violento ejercido dentro de la Universidad de Antioquia con un presente en el que se está trabajando desde diferentes frentes por crear y preservar una memoria colectiva.
Como parte de las estrategias "UdeAmiga" se realizó un concurso virtual (en el instagram @Bienestarudea) con el objetivo de contribuir al fortalecimiento de las redes de apoyo y los vínculos afectivos entreamigues de quienes integran la comunidad universitaria. Contó con la participación de 15 equipos conformados por 56 integrantes de la comunidad universitaria (estudiantes, docentes y personal administrativo), el ganador tuvo 3.538 me gusta. También se desarrollaron 3 actividades presenciales con metodologías experienciales, las cuales contaron con participación de 45 integrantes de la comunidad universitaria, específicamente estudiantes, docentes y 2 egresados. Dichas acciones estuvieron enfocadas en el fortalecimiento de los vínculos afectivos que se generan desde las relaciones de amistad, teniendo en cuenta su influencia en el proyecto de vida universitario, en el bienestar y en la salud de quienes hacen parte de la comunidad universitaria.
Se realizaron 7 conversatorios con la participación de 21 docentes, como parte de la estrategia Juntos cuidamos, acciones enfocadas al bienestar personal y familiar para de los profesores.
Y finalmente se realizaron en total 10 actividades formativas, sensibilizaciones, acompañamientos individuales y/o jornadas de intercambio de saberes, estas acciones se enfocaron en el fortalecimiento de los vínculos afectivos que se generan desde las relaciones de amistad, teniendo en cuenta su influencia en el proyecto de vida universitario, en el bienestar y en la salud de quienes integran la comunidad universitaria. Las actividades se implementaron en la modalidad virtual y presencial y contaron con la participación de 180 personas (estudiantes, padres de familia y cuidadores). Además se generó la articulación con los Centros Integrales de Familia de la Alcaldía de Medellín, programa que ha facilitado la atención de estudiantes y familias, en aras de contribuir a su bienestar. La población ha evaluado de forma satisfactoria los procesos, expresando que se han abordado temáticas que contribuyen a la salud mental y física, el bienestar y el fortalecimiento de las redes de apoyo de quienes integran la comunidad universitaria.</t>
  </si>
  <si>
    <t>Se ha identificado que el reintegro a las actividades presenciales y/o de alternancia, ha dificultado la participación de las/los estudiantes, debido a que se encuentran en el proceso de adaptación y reconocimiento de las dinámicas de la vida universitaria, por lo que, no disponen de mucho tiempo para acceder a la amplia oferta de bienestar universitario, ante esta situación, se han tomado medidas replanteando metodologías y acercando las acciones a la comunidad universitaria por medio de estrategias diferentes.Frente al indicador 1 donde se registra el % de participación de la comunidad universitaria en los espacios de formación, reflexión y cocreación, se reporta un porcentaje inferior al real debido a la perdida de uno de los archivos de registro (perdida de información del drive en el proceso de migración de archivos al onedrive), por lo que no tendríamos forma de justificar actualmente un dato de cumplimiento del 15% que era la meta planteada.</t>
  </si>
  <si>
    <t xml:space="preserve">El trabajo llevado a cabo por la Unidad Especial de Paz en articulación con la Facultad de Educación y la Facultad de Artes en la Casa de Reincorporación de Belén, durante el año 2021, se constituye en una labor trascendental en cuanto al desarrollo de acciones concretas y soporte para avanzar en la construcción de la paz en Medellín. 
Configurar dicha Casa como espacio cultural y social para la reincorporación de firmantes y la reconciliación es un proceso sui generis en términos de la paz urbana. Este objetivo y gran logro, se describe ampliamente: primero, a través de la construcción y configuración del Aula Lúdica Infantil, primer espacio de esta índole para los y las firmantes de paz a nivel nacional, en sus palabras, “modelo para otros espacios de reincorporación”, el Aula se configura además como un espacio de encuentro y de procesos pedagógicos de educación para la paz desde el concepto de familias en proceso de reincorporación, acciones en las que los hijos, hijas de firmantes ocupan un lugar central. Con estas acciones comprometidas con el proceso de paz, la comunidad de la Casa de Belén abrió las puertas a la Universidad de Antioquia depositando toda su confianza para que esta se convierta en un centro de prácticas para estudiantes interesados en la construcción de la paz.
La Casa, además, es ahora un espacio de encuentro cultural y artístico, las prácticas llevadas a cabo por estudiantes de la Facultad de Artes, permitieron transformar ambientalmente el espacio, dándole una dimensión estética a través del diseño artístico, pintura de sus muros, y distribución del espacio, en ambientes acogedores e identitarios con la paz. Exposiciones artísticas y talleres de reconciliación con líderes barriales, los cuales fueron desarrollados por la UEP y la alcaldía de Medellín, han comenzado a convertir este espacio en algo más que una casa de reincorporación, en un espacio abierto a la comunidad aledaña y otras de la ciudad.  Finalmente, dichas acciones convocaron la articulación entusiasmada de diferentes Instituciones (Alcaldía de Medellín, Naciones Unidas, ARN) al trabajo con la UEP.
</t>
  </si>
  <si>
    <t xml:space="preserve">Las dificultades que se sortearon para este importante logro no se hicieron esperar con la llegada de la pandemia a causa del COVID-19; lo que impidió desarrollar muchas otras actividades que nos habíamos propuesto; así las cosas, fue necesario realizar estrategias de trabajo creativas a tiempos distintos de los planeados, pues se hizo fundamental el cuidado de todos y todas. Se desarrollaron jornadas según las necesidades de la comunidad de firmantes y fue necesario la gestión articulada de dineros para transportes de las familias, cuya capacidad económica, a causa también de la pandemia, se vio altamente perjudicada; fue así que su participación en distintas actividades planeadas previamente, no fue posible; la gestión entonces y la flexibilidad de la cuarentena nos permitieron, finalmente, adecuar el proceso y cumplir nuestras metas satisfactoriamente para unos y otros. </t>
  </si>
  <si>
    <t xml:space="preserve">El principal logro alcanzado este primer semestre ha sido poder instalar en la comunidad universitaria (en las regiones donde la UdeA tiene sedes), la importancia de la JEP como el mecanismo de justicia transicional fundamental en la construcción de la paz, debate que ha permitido la participación de las directivas universitarias, la comunidad de las regiones, funcionarios de la JEP, coordinados y articulados por la Unidad Especial de Paz. Igualmente la Ruta Universitaria por la Paz, que articuló a las direcciones de Bienestar y Regionalización y al Instituto de Estudios Políticos, ha permitido conversar y reflexionar sobre los impactos del conflicto armado al interior de la Universidad, avanzar en las comprensiones de este y acercarnos a la importancia que tiene para la construcción social de la paz el informe de la Comisión de la Verdad y el rol que como comunidad universitaria debemos asumir para la no repetición.
</t>
  </si>
  <si>
    <t>Nuestra principal dificultad esta representada en la disponibilidad insuficiente de recursos económicos, que nos permitieran tener una presencia con mayor sostenibilidad y periodicidad en los territorios, y a su vez acompañar a otras comunidades que solicitan permanentemente nuestro apoyo y acompañamiento, y que por falta de recursos debemos decirles que no.</t>
  </si>
  <si>
    <t>Haber posibilitado la concurrencia del màs amplio espectro de la sociedad y de la academia, en las discusiones para el diseño de una polìtica pùblica de construcciòn de paz, que se constituya en una propuesta que desde la Universidad de Antiquia haremos a la estrategia "Plias con el Futuro", en la que particpan 16 universidades del paìs, entre pùblicas y privadas.</t>
  </si>
  <si>
    <t>El uso ded las herramientas virtuales de trabajo colaborativo, para implementar los espacios de discusión e interacción, contemplados en la propuesta metodológica de la Semana Universitaria por la Paz</t>
  </si>
  <si>
    <t xml:space="preserve">La aprobación en los dos debates del Consejo Académico de la UdeA del documento maestro de la Maestría en Conflictos, Paces y Derechos Humanos, en articulación con la Facultad de Derecho y Ciencias Políticas, la Facultad de Educación, la Facultad de Artes y la Unidad Especial de Paz.
Esta Maestría se adhiere a los propósitos institucionales de contribuir a la transformación positiva de los conflictos, mejorar las relaciones entre los miembros de la comunidad universitaria, fortalecer la confianza y generar una convivencia enmarcada en el respeto y el reconocimiento del otro. De esta forma, la Unidad Especial de Paz favorece los objetivos formativos y de ampliación y profundización del conocimiento sobre la construcción de paz para el país y nuestra Universidad.
Dirigida a litigantes, docentes, investigadores, líderes sociales y funcionarios públicos, quienes deben intervenir para mediar en conflictos de heterogénea naturaleza y escala. Esta Maestría les permitirá conocer aspectos teóricos, axiológicos, pedagógicos, normativos y metódicos, para tratar los conflictos desde la perspectiva democrática y de derechos humanos. Comprensión que pasa por el cuerpo, y no solo por el entendimiento, que brinda un horizonte de sentido y que aporta a la construcción de una convivencia pacífica y democrática para nuestra sociedad.
Las diversas violencias por las que ha pasado, y continua pasando la configuración de la vida de esta nación, nos aboca a la profundización del estudio del tema de paz y al desarrollo formativo de una cultura de paz desde diversos enfoques disciplinares, los cuales podrán ser abordados por los estudiantes según sus intereses formativos y en coherencia con el análisis de las necesidades de nuestros territorios. Desde esta Maestría se abre el camino hacia otras y nuevas agendas de investigación como un conocimiento hecho práctica y acción que contribuya a nuestros propios procesos de construcción de paz en Colombia. En la actualidad, disciplinas como la filosofía se abren al diálogo con otras en los estudios de paz, y hace explícito un compromiso público con las nuevas realidades planetarias del ser humano. </t>
  </si>
  <si>
    <t>Díseño de una propuesta de trabajo (investigativa y político-social) para la promoción de la solución negociada del conflicto y la construcción de instrumentos técnicos para el desarrollo de negociaciones de paz. La propuesta inicial permitirá movilizar escenarios de articulación y alianzas para su implementación.</t>
  </si>
  <si>
    <t>Dado que apenas comienza este preoceso, que es de largo aliento y que va implicar poner en marcha en los años siguientes la propuesta de trabajo diseñada (inestigativa y politico-social), aun no se presentan dificulatades, por lo tanto en este momento no aplica reportar aqui ninguna.</t>
  </si>
  <si>
    <t>El principal logro consiste en la dinamización que la UdeA desarrolla en la actual coyuntura política del país, para posicionar la necesidad de la busqueda de la paz negociada con los diversos actores armados y contribuir de esa manera al logro de la paz total, la paz completa del país.
En esa dirección, en el mes de marzo de 2022 desarrollamos un evento académico en donde un grupo plural de 24 pensadores colombianos, vinculados con la academia y con
la generación de opinión, desprovistos de ánimos partidistas y de proselitismo, nos dimos a la tarea de responder una pregunta que nos
hiciera de consuno la Unidad Especial de Paz de la Universidad de Antioquia y
la Asociación ABCPAZ, lo cual permitió con suficiente antelación pensar las
respuestas, que de conjunto se convierten en un compendio potente de ideas, que
podrán inspirar a diferentes actores gubernamentales y de la sociedad civil, para diseñar las estrategias con el magno fin de cerrar el conflicto armado y superar las violencias
generadas por el crimen organizado.</t>
  </si>
  <si>
    <t>Nuestra principal dificultad esta representada en la disponibilidad insuficiente de recursos económicos, que no permitieron garantizar los traslados aéreos y los gastos de estadía en la ciudad de algunas personalidades expertas en estos temas.</t>
  </si>
  <si>
    <t>Se partió de la ruta formativa de emprendimiento e incorporan componentes técnicos para el sector agropecuario y se continua con el intercambio de conocimiento y validación de la apropiación con comunidades productoras de cacao, algunos productores de leche, carne y aguacate. Más de 1000 productores han participado en estos procesos, en seís subregiones del Departamento. Se busca que de manera autónoma, a través de los cuarenta y nueve (49) recursos didácticos diseñados y validados (vídeos, inforgráficos, trovas, talleres, etc), los productores y comunidad en general, fortalezcan sus iniciativas agroemprendedoras.
Se diseñó una plataforma de networking desarrollada por la División de Innovación, que favorece la interacción de los grupos de investigación con diferentes agentes del sector agropecuario. Gracias a este avance, hoy se tiene acercamiento al Centro de la Cuarta Revolución Industrial y al SENA de Urabá, para desarrollar iniciativas conjuntas para el 2022.</t>
  </si>
  <si>
    <t>Ha resultado complejo el diseño de la invitación pública para el desarrollo de la plataforma tecnológica del sistema experto. A pesar de esto, la fecha ya se encuentra publicada en el portal web de la Universidad.</t>
  </si>
  <si>
    <t>la articulación de diversas unidades académicas y administrativas en la implementación del plan de acción Semillas de conocimiento y además, se obtuvo unos recursos del proyecto con Corantioquia que posibilitará la entrega de material vegetal a las comunidades como estímulo para el reconocimiento de la plataforma tecnológica y la apropiación de sus contenidos formativos.</t>
  </si>
  <si>
    <t xml:space="preserve">El PAI, tiene asociados diversas iniciativas del CEDAIT, que depende de la capacidad administrativa y las disposiciones normativas de recursos del SGR. </t>
  </si>
  <si>
    <t xml:space="preserve">El proyecto Buen Vivir para la construcción de paz y la convivencia universitaria continúa en ejecución de acuerdo con su cronograma. Al momento, en el proyecto se ha ejecutado el 18% de las actividades planeadas, consistentes en la propuesta de una hoja de ruta  por parte del equipo de trabajo, que ha dado lugar a la construcción colectiva de las estrategias a desarrollar para el trienio. </t>
  </si>
  <si>
    <t xml:space="preserve">Aunque se han cumplido con las actividades propuestas para este semestre, estás han obedecido más a la ideación del proyecto, en tanto, la ejecución del mismo se encuentra sujeto a la asignación de los recursos y la contratación del personal que ayudará a su ejecución. </t>
  </si>
  <si>
    <t xml:space="preserve">Los procesos de formación propiciados por el proyecto: los dirigidos a la comunidad educativa extendida y los procesos al interior del equipo que lidera. La organización de un trabajo colaborativo y la proyección de una metodología para el desarrollo de cada uno de los entregables del proyecto.                                </t>
  </si>
  <si>
    <t xml:space="preserve">Por el tipo de proyecto (el tipo de voces que quiere vincular), la ejecución de estrategias como los palabreos se hacían largas y  complejas en periodo de Ley de Garantías. De otro lado, aunque la Universidad cuenta estudiantes, administrativos y docentes (personas a quienes destinamos el proyecto), la convocatoria y participación  de los públicos es ardua. Por último, es un reto pensar en la multiplicación de las estrategias de cara a las Regiones. </t>
  </si>
  <si>
    <t xml:space="preserve"> 
Se llevó a cabo la fase preparatoria para la ejecución del proyecto, se establecieron documentos base como la presentación guía, el cronograma de trabajo, los formatos para informes de avance, las necesidades de contratación de personal, servicios y compras y las necesidades comunicacionales; se definieron los alcances de los entregables y las acciones a desarrollar para la finalización de cada uno. Se estableció la agenda de lanzamiento y articulación del proyecto con otras dependencias y con el equipo interno de la Dirección, se realizó la publicación oficial del proyecto en Portal Universitario/micrositio para difundir los avances. 
En la fase de ejecución, se inició con él proceso de articulación con la Vicerrectoría Administrativa para unir esfuerzos en el planteamiento de la política de gestión ambiental, entregable en el que coinciden las dos dependencias, con el fin de aportar mutuamente en el planteamiento, implementación y evaluación, e involucrar, específicamente, la voz de las sedes y seccionales. Esta articulación se convierte en el primer paso para el diagnóstico de políticas ambientales en los territorios propuesto en el presente proyecto. 
Así mismo, se realizaron los primeros procesos de capacitación en temas de: generalidades de la sostenibilidad, seguridad alimentaria, huerta agroecológica y manejo de los recursos naturales, los talleres se desarrollaron con el personal técnico agropecuario de la alcaldía de Andes, líderes de las juntas de acción comunal (40 personas aprox), comunidades en campo de las veredas (100 personas aprox) y con grupos de estudiantes de los programas de la Especialización en Café (25 estudiantes aprox) e Ingeniería Agropecuaria (41 estudiantes aprox), como forma de comenzar a fortalecer los saberes y la cultura sobre la relevancia de la sostenibilidad y la seguridad alimentaria, la salud y  el cuidado de los recursos naturales, tanto para la institución como en los territorios y en pro del buen vivir en la región del Suroeste. 
Por otra parte, se realizó el proceso de articulación con la Dirección de Comunicaciones para el desarrollo de las campañas de la sostenibilidad en sus cuatro dimensiones: 1) Social, 2) Ambiental, 3) Económica y 4) Tecnológica; como apuesta principal para la virtualidad a la cual nos trasladamos por la actual pandemia. Se elaboraron cuatro cartillas digitales bajo la modalidad paso a paso en las temáticas de: sostenibilidad, manejo agroecológico de suelo, establecimiento de la huerta, manejo de control de plagas y enfermedades. Además, se crearon cinco podcast y videos de apoyo como herramientas de fortalecimiento a los públicos que están iniciando su incursión en la virtualidad (algunos de estos estan en proceso de ser lanzados). Estrategias que se implementaron para avanzar en la tarea de apropiación de contenidos en la sostenibilidad y sus diferentes dimensiones. 
De igual manera, se adelantaron gestiones de importancia para lograr establecer la declaratoria del bosque primario Tulenapa ubicado en la sede de Carepa de la UdeA; entre las gestiones o avances se encuentran los estudios de caracterización y documentos maestros construidos en articulación con docentes de la Facultad de Ciencias Exactas y Naturales. </t>
  </si>
  <si>
    <t xml:space="preserve">Debido a que no fue posible contar con la contratación del personal de apoyo para el proyecto, aunado a que a los tiempos  de las comunidades rurales con las que se  pretendía articular el proyecto en la región del suroeste (región de inicio en la implementación) estuvieron interrumpidos por la época de cosecha  en la que se encontraban las poblaciones en los últimos meses del año, lo que ocasionó imposibilidad de  trabajo conjunto en la huerta agroecológica que se pensaban construir, se decide trasladar la inversión del recurso de estampilla destinado a la compra de equipos de uso en dichas huertas, para el próximo año. Decisión que, se reitera, está unida a la aprobación de contratación y a contar con la asignación total del recurso de estampilla. 
Sin embargo, es importante aclarar que dicho traslado de ejecución del recurso para las fechas del año entrante (2022) no han implicado incumplimientos de los objetivos o de las acciones en las cuales se pretendía avanzar durante las semanas del 2021, ya que se han generado estrategias alternativas para el adelanto delos componentes teóricos, comunicacionales y de capacitación con la comunidad universitaria y en la región. Lo que está pendiente se refiere puntualmente a una compra de equipamiento.  </t>
  </si>
  <si>
    <t xml:space="preserve">Durante el presente semestre se han presentado una serie de logros significativos para el proyecto, los cuales corresponden a: 
- El diseño y construcción del plan de campañas comunicacionales, el cual contiene: público objetivo de las acciones, propuestas de piezas gráficas, sondeos sobre sostenibilidad en la comunidad universitaria, trivias sobre huellas, cambio climático, manejo de residuos, seguridad alimentaria y establecimiento de huertas en las redes sociales universitarias, proyección de Cátedras Abiertas Regionales en temáticas de sostenibilidad integral, rediseño de cartillas para capacitación de la comunidad universitaria y extendida (caja de herramientas). 
- La realización de capacitaciones e inicio de los ejercicios teórico -prácticos en las seccionales Suroeste y Oriente: se llevó a cabo la 1era capacitación de inducción en la región de Oriente con el acompañamiento de la profesora Claudia Marcela Castaño y los estudiantes de Ingeniería Agropecuaria, además, con articulación de docentes del programa de Ciencias Culinarias. Se compartieron algunos insumos y suministros para que los participantes pudieran iniciar el proceso de la huerta y cuidado de los paisajes vivos de la seccional. Así mismo, se desarrollaron una serie de capacitaciones en la región de Suroeste, donde participo un grupo de estudiantes y docentes de la seccional enfocados en las orientaciones para el establecimiento de huertas, se logró contar con 3 grupos de Ingeniería Agropecuaria. Finalmente, se ejecutaron capacitaciones con la comunidad rural La Cedrona donde se les asesoró y se compartieron conocimientos en elaboración de abonos orgánicos, establecimiento huertas, y manejo de recursos. 
- La elaboración de la ruta y metodología para el desarrollo de los encuentros de investigación y extensión en temas de sostenibilidad integral: se establecieron los públicos con los que espera trabajar los encuentros, incluyendo grupos de investigación y docentes extensionistas, se identificaron las regiones en las cuales se van a llevar a cabo siendo: Occidente, Norte y Magdalena Medio, y las necesidades o compromisos pendientes para ejecutarlos (elaborar una guía de procedimiento donde identifiquemos la temática a desarrollar en cada región y el grupo de investigación a invitar, realizar un flujo grama con temas claves, establecer las empresas del sector público y sector privado a invitar, los representante de las ciudadanía, el sector educativo y las mesas para dirigir la comunicación, realizar las invitaciones, recordatorios, E-card, entre otras tareas). 
</t>
  </si>
  <si>
    <t xml:space="preserve">Las principales dificultades presentadas en el desarrollo del proyecto durante el 1er semestre de 2022 fueron: 
- Los retrasos en la elaboración de los documentos y cotizaciones por parte de los proveedores de insumos y suministros en las regiones, los cuales eran necesarios para agilizar el desarrollo de las capacitaciones y, por ende, el establecimiento o dotación de las huertas. Aunado a esto, los tiempos de tramites universitarios relacionados con el proceso de compras y adquisiciones son extensos, lo que ha ralentizado tanto el cumplimiento del entregable, como el gasto o uso del recurso de Estampilla asignado. 
- Los tiempos de implementación y puesta en marcha de los proyectos PAI de otras dependencias que son líderes del programa y que están articuladas fuertemente con entregables del presente proyecto, lo cual ha generado que no se pueda avanzar significativamente en algunos diagnósticos u objetivos (algunas metas del proyecto están amarrados a una apuesta de mayor talante como lo es la política de sostenibilidad ambiental universitaria, la cual hasta la fecha no ha iniciado su desarrollo). 
- Las demandas de tiempo para la implementación que le implica el proyecto a los integrantes del equipo, unido a las responsabilidades o compromisos que se debieron asumir en las regiones durante el 1er semestre del año relacionadas con el proceso de acreditación universitaria han ocupado la mayor parte de disponibilidad de los ejecutores. 
</t>
  </si>
  <si>
    <t>Desde Universidad Saludable se logró cumplir con el objetivo de Fortalecer las estrategias para la promoción de la  salud y la conservación del medio ambiente como condicionantes del bienestar de los integrantes de la comunidad a través de diferentes acciones que promueven la salud física y mental, enmarcadas en actividades virtuales y presenciales (desde agosto 2021) estas ultimas con gran aceptación; se retomó presencial la valoración de la condición para los usuarios del programa PROSA y se abrió el servicio de piscina para bañistas libres; además se realizaron las acciones respectivas desde la coordinación de Fomento Artístico y Cultural para la consolidación de la propuesta  de los talleres formativos en el desarrollo de hábitos y estilos de vida saludables con enfoque multimodal; se realizan reuniones de acompañamiento con cada una de las regiones para asesorarlas en la realización del diagnóstico en conductas adictivas, que  constituyen el plan operativo, para luego hacer el trabajo de recolección de información. Tuvieron gran  asistencia los conversatorios donde se abordan temas relacionados con la salud mental y física dirigidos a la comunidad universitaria, con reflexiones importantes para el estilo de vida de los   asistentes, finalmente frente a los puntos comerciales saludables y la estrategia del "Recicle vaso de papel" se ha avanzado en el diseño de la propuesta y articulación con Infraestructura y logistica e Ingenieria Ambiental, con acuerdos para su implementación en 2022.</t>
  </si>
  <si>
    <t>Las principales dificultades del proyecto en este semestre se enmarcan en el tiempo que se demoraron los recursos de estampilla en estar disponibles para gestionar su ejecución, lo que demoró el inicio de actividades Artisticas y Culturales y tramites para  las estrategias comerciales de los puntos saludables y Recicle vaso de papel, como conseguencia de ello se deberán ejecutar parte de estos recursos el próximo año. Las actividades presenciales se siguen viendo afectadas tanto en su programación como en el número de asistentes, como consecuencia al  aforo controlado debido a que continúa la Declaratoria de emergencia por parte del gobierno nacional debido al Covid-19.</t>
  </si>
  <si>
    <t>Se destacan actividades formativas virtuales y presenciales, que buscan el mejoramiento de la salud física y mental de los integrantes de la Comunidad Universitaria, con ofertas desde PROSA Actividad Física, Seguimiento y Hábitos PRO (Gimnasios, Bañista libre, clases grupales) 3794 usuarios se beneficiaron; 71 actividades desde el servicio ANIMO-Salud mental, el cual se ha ido adaptando a la situación pospandemia. Se han identificado estrategias alternativas a los espacios formativos, ejemplo, la creación de una red social propia de Bienestar Universitario: Instagram, que ha permitido fortalecer la estrategia educomunicativa, incrementando interacciones constantes con estudiantes, al igual que la identificación de necesidades y respuesta oportuna a sus dudas, 5 talleres nutricionales de arte y cultura con gran acogida, y desde la escuela de hábitos y habilidades financieras se has realizado 3 talleres, estas 2 ultimas estrategias se consolidan como prácticas importantes entre la Comunidad Universitaria. Se diseñó además un plan de análisis para reconocer la salud mental de los y las estudiantes de la Universidad, que diligenciaron la ficha de caracterización entre 2018-1 y 2021-2. Se inició el proceso de construcción de convocatoria para el profesional encargado del análisis cuantitativo de la información y se estableció el perfil de dicho profesional. Se ha hecho difusión de la estrategia de Zona de Orientación Universitaria con estudiantes de sedes y Seccionales como Yarumal, Urabá y Oriente, para motivar su participación en el proyecto. Se tienen contratos y diseños para los autoservicios saludables, de los cuales uno ya está en operación en la Facultad de Enfermería y 2 módulos están instalados en Ciudad Universitaria(Biblioteca y Bloque 12). También se realizó el montaje de los DOMOS Saludables en bloques 25,14,1 y 19, y se cuenta con portafolio saludable y abierto al público. Se destaca la aceptación de los diferentes actores para hacer el prototipado del Vaso Recicle, el cual es una iniciativa nueva en la universidad y se instalará próximamente en 20 sitios dentro y fuera de ciudad universitaria</t>
  </si>
  <si>
    <t xml:space="preserve">Durante este semestre se dificultó el avance en la recolección de información sobre conductas adictivas en algunas regiones debido a dinámicas propias de cada región como mantenimiento de la virtualidad en las clases en regiones (Amalfi, algunas de Urabá), debido al conflicto armado;  y cambio de profesionales responsables del proyecto, en otras. Debido a las dificultades en la recolección de la información, fue necesario cambiar la estrategia del diagnóstico, y se realizará como prueba piloto en las 3 sedes y seccionales más grandes y con problemáticas más pronunciadas en el tema de las adicciones. 
No todos los estudiantes han regresado a la presencialidad, generando inasistencia a muchas actividades formativas.
Dificultad para la contratación de las personas que van a operar los autoservicios saludables, debido a ha sido la dificil contratar, dado el perfil especifico que se requiere para quienes van a operar estos.
Dificultad de consecución de proveedores para los Domos saludables, debido a lo limitado de estos, que presente variedad en alimentos que cumplan los requisitos para considerarse saludables, además estos productos son más costosos que los convencionales.
Son muy limitados los espacios o laboratorios de cocina para los talleres de Arte y Cultura Nutricionales, lo cual no posibilita un número amplio de cupos que participen, no hay posibilidad de hacer más de un grupo de estos
</t>
  </si>
  <si>
    <t xml:space="preserve">De acuerdo a lo programado, durante el presente periodo el proyecto se encuentra en una etapa de diagnóstico, estudio del arte y conformación del equipo que desarrollará las diferentes actividades previstas con el fin de alcanzar las metas previstas. Sin embargo, en términos de sostenibilidad y responsabilidad ambiental, durante el segundo semestre de 2021 el proceso de Gestión Ambiental lideró varias iniciativas que arrrojaron resultados muy positivos como es el caso del reconocimiento de la máxima categoría en el Sello Ecouniversidades. Categoría AAA de Corantioquia y el primer lugar a nivel departamental en el escalafón Green Metric que mide la sostenibilidad de las Universidades a nivel mundial. Estos logros aportan a la construcción del sistema de gestión ambiental correspondiente al presente proyecto. </t>
  </si>
  <si>
    <t xml:space="preserve">Dado que el proyecto según su programación aun no está en etapa de entrega de resultados parciales ni finales, no se han presentado dificultades significativas en el desarrollo del mismo. </t>
  </si>
  <si>
    <t xml:space="preserve">A pesar de las dificultades en la contratación de los profesionales que apoyarán la formulación de los proyectos, ya se logró la contratación inicial de los profesionales que apoyarán la coordinación y el plan de comunicaciones. También se hicieron 19 reuniones virtuales y presenciales de planeación, sensibilización y socialización, entre enero y junio de 2022.
Desde el mes de agosto de 2021, se realizaron reuniones con el equipo de trabajo Base (conformado por los profesores Lina Claudia Giraldo Buitrago, Rubén Agudelo García y Ana Mercedes Montoya Restrepo, líder del proceso de Gestión Ambiental),  frecuencia semanal dos veces. El objeto de estas reuniones ha sido el siguiente:
• Planificación de actividades
• Revisión metodología de trabajo
• Elaboración del Plan Operativo De Inversiones-POI
• Elaboración y revisión de formatos para solicitud a comité de transitorios de contratación del personal
• Elaboración de perfiles, revisión de hojas de vidas y selección del equipo de trabajo coordinador y la comunicadora
• Entrevistas con el equipo de trabajo
• Justificación de contratación proyecto PAI
• Elaboración de informes
• Planeación y ejecución de reuniones con diferentes estamentos universitarios
• Planeación y realización de talleres con el equipo base del proceso de Gestión Ambiental 
</t>
  </si>
  <si>
    <t xml:space="preserve">la ejecución del proyecto está en una etapa avanzada de planeación y propuesta de la estructura y metodológica, pero la contratación del personal por prestación de servicios implica trámites internos que demandan tiempo y ha afectado la ejecución del Proyecto; desde el 07 de abril de 2022, se hizo la primera solicitud al Comité de transitorios para la contratación del personal y luego para el proceso de contratación  se han debido hacer varias consuntas administrativas, por disponibilidad de recursos. Lo anterior, implica que el proyecto tenga un retraso aproximado de seis (6) meses.
Igualmente, una vez se incorpore el equipo de trabajo y expertos en los temas que se van a formular los proyectos, se hará mayor precisión con la metodología de trabajo.
</t>
  </si>
  <si>
    <t>El proyecto avanzó en las tareas de aprestamiento que se materializan en la definición del plan global 2021-2024, en la identificación de referentes de espacios análogos el Centro de Pensamiento y Creación Actual en el mundo (plan museológico preliminar) y en la terminación de la Ficha de Perfilamiento del Centro de Ciencia MUUA.</t>
  </si>
  <si>
    <t>La pricipal dificultad que asumió el proyecto para el segundo semestre del 2021-2 fue el aplazamiento en el inicio de la ejecución de los recursos de estampilla para el primer trimestre del 2022. Sin embargo esto no  representa un riesgo para la integridad general del proyecto.
La escasa documentación existente sobre el edificio, no es un problema como tal, pero sería mejor acceder a algo más completo.</t>
  </si>
  <si>
    <t>La elaboración de los antecedentes y la documentación base del proyecto, entre estos el PLAN MAESTRO DE PLANTA FÍSICA, Vicerrectoría Administrativa, Departamento de Sostenimiento - Documento Técnico de Soporte, Planteamiento Urbanístico Integral Z1_API_6</t>
  </si>
  <si>
    <t>Para el 2022-1 se proyectó un avance del 10% en cada uno de los indicadores, con lo cual se acumula en conjunto un avance de 20%, con el cual se responde a la ejecución total proyectada para este semestre.</t>
  </si>
  <si>
    <t xml:space="preserve">El proyecto avanzó en las tareas de aprestamiento que se materializan en el desarrollo del plan de trabajo para el proyecto y el desarrollo de la propuesta integral de intervención del MUUA, el cual derivó en una socialización con la División de Infraestructura y un acuerdo colaborativo con el dicha área.
</t>
  </si>
  <si>
    <t xml:space="preserve">La principal dificultad que asumió el proyecto para el segundo semestre del 2021 fue la Incertidumbre derivada del devenir de la Ley de Garantías y sus efectos en los procesos de contratación.
</t>
  </si>
  <si>
    <t>Constituir el equipo de trabajo de la coordinadora de restauración y el técnico para el laboratorio de restauración</t>
  </si>
  <si>
    <t>Teniendo en cuenta la ejecución a la fecha tanto de recursos destinados a insumos, equipos, etc., más la asignación mensual del equipo humano con corte al 30 de junio, se reportan $41.726.830. Es importante aclarar que este valor puede variar una vez que se haga efectivo el pago de los equipos que se está adelantado en la actualidad, acorde a la TRM, del momento en que se facture. Teniendo en cuenta entonces la ejecución efectiva y proyectada frente a los recursos asignados al proyecto para el 2022, para el final del año se tendrá un saldo general de $43.398.560 aproximadamente; de este saldo $19.408.305 corresponden al salario del equipo humano de los 3 primeros meses del año, que no fue posible ejecutar; los otros $23.990.225 son los recursos que aún no tienen una destinación definida. Como se aclaró en su momento, la inversión representada en el equipo humano, correspondiente a los 3 primeros meses del año, no se ejecutó debido al tiempo que tomó la expedición de la resolución rectoral No. 48645 que asignó recursos al proyecto. Se deben tener en cuenta estos recursos, pues en el debido momento será necesario adelantar el traslado para su ejecución en 2023.</t>
  </si>
  <si>
    <t>Durante este semestre se ha logrado a través del proyecto Modalidades Educativas:         La sensibilización a profesores, administrativos y estudiantes frente a la importancia de las modalidades educativas para el logro de los propósitos académicos, a través de las estrategias de ambientes protegidos de aprendizajes para habitar la UdeA biosegura.      El diseño y la implementación de la  estrategia de formación Volver a Habitar la U, que forma a los profesores y estudiantes para explorar otras formas de enseñar y aprender.   La realización de un evento académico llamado IntegraTIC donde se abordó el tema de modalidades educativas y se contó con la participación de 350 asistentes nacionales y latinoamericanos, así como con ponentes nacionales e internacionales.                                         Se ha enriquecido la oferta académica a través de la construcción de un conjunto de cursos en diferentes modalidades.</t>
  </si>
  <si>
    <t>La falta de flujo de recursos financieros para ampliar la ejecución del proyecto y cumplir con todos los entregables del período estipulado.</t>
  </si>
  <si>
    <t xml:space="preserve">Durante este semestre hemos acompañado a las unidades académicas a transformar algunos de sus cursos presenciales a otras modalidades, hemos dinamizado y acompañado cursos en diversas modalidades, específicamente en el componente de interacciones de los estudiantes en los diversos medios. Así mismo hemos fortalecido la campaña educomunicativa para que la comunidad universitaria reconozca las potencialidades de las modalidades educativas.
En educación dual, se hizo un amplio rastreo documental sobre la modalidad en el mundo y en Colombia, se viene contryendo una ruta para la implementación en la UdeA y se hacen realizado algunos avances con CIFAL y Facultad de ingeniería. </t>
  </si>
  <si>
    <t>La mayor dificultad del proyecto ha sido la contratación de los profesionales debido a la ley de garantías. A nivel del componente de modalidades educativas no se han presentado dificultades en cuanto al desarrollo académico del proyecto.</t>
  </si>
  <si>
    <t>Como resultado del trabajo realizado por cada una de las líneas se impactó sobre un total de 5789 personas en 373 actividades de sensibilización, formación, gestión de saberes, perfilamiento (acá es necesario aclarar que en el archivo soporte que se adjunta de esta actividad hay 17,828 registros, esto obedece a que una misma persona participa en varias acciones de formación, no obstante, el indicador busca medir el número de personas formadas o sensibilizadas, por lo que solo se toma un registro por persona). Igualmente, se trabajó con 151 retos provenientes de organizaciones públicas y privadas a los que se por medio de ejercicios de innovación abierta se generaron soluciones con potencial de implementación.  Dentro de las actividades se destacan: 
•	Plataforma de innovación abierta UdeA: de la mano de un equipo de trabajo de la Universidad, se diseñó y puso en marcha plataforma de Innovación Abierta UdeA como una estrategia de la Vicerrectoría de Extensión de la Universidad de Antioquia, coordinada por la División de Innovación que busca conectar y articular las oportunidades, problemas o necesidades del sector público y privado con potenciales solucionadores de la academia y múltiples sectores.
•	Estrategia de Innovación Abierta CUEE Regiones: Innovación Abierta CUEE fue una estrategia de la Universidad de Antioquia, la Gobernación de Antioquia, el Comité Universidad Empresa Estado y coordinada por la División de Innovación que busca conectar y articular las oportunidades, problemas o necesidades del sector público y privado con potenciales solucionadores de la academia y múltiples sectores.
•	Permanentemente Innovando: La división de innovación establece diferentes estrategias que favorecen el proceso creativo para dar soluciones a situaciones problemáticas, necesidades sociales o empresariales; o a la capitalización de oportunidades configurados por medio de retos, donde se involucra el conocimiento generado en los procesos de docencia-investigación de la Universidad y la participación de organizaciones y comunidades. 
•	Innovación abierta para la inserción laboral: En el marco de la estrategia de Innovación Abierta dirigida al Valle de Aburrá se contó con la participación de 776 solucionadores.</t>
  </si>
  <si>
    <t>Los tiempos de gestión Administrativa de la Universidad dificultan la gestión de las actividades y la administración de los recursos que están gestionados desde fuentes externas. 
La falta de personal ha sido un factor que dificulta la gestión del proyecto, pues la capacidad humana con la que cuenta la división actualmente, se encuentra sobrecargada en actividades y urge reforzar el equipo.</t>
  </si>
  <si>
    <t>Como resultado del trabajo realizado por cada una de las líneas se impactó sobre un total de 5789 personas en 373 actividades de sensibilización, formación, gestión de saberes, perfilamiento (acá es necesario aclarar que en el archivo soporte que se adjunta de esta actividad hay 17,828 registros, esto obedece a que una misma persona participa en varias acciones de formación, no obstante, el indicador busca medir el número de personas formadas o sensibilizadas, por lo que solo se toma un registro por persona). Igualmente, se trabajó con 151 retos provenientes de organizaciones públicas y privadas a los que se por medio de ejercicios de innovación abierta se generaron soluciones con potencial de implementación.  Dentro de las actividades se destacan:
• Plataforma de innovación abierta UdeA: de la mano de un equipo de trabajo de la Universidad, se diseñó y puso en marcha plataforma de Innovación Abierta UdeA como una estrategia de la Vicerrectoría de Extensión de la Universidad de Antioquia, coordinada por la División de Innovación que busca conectar y articular las oportunidades, problemas o necesidades del sector público y privado con potenciales solucionadores de la academia y múltiples sectores.
• Estrategia de Innovación Abierta CUEE Regiones: Innovación Abierta CUEE fue una estrategia de la Universidad de Antioquia, la Gobernación de Antioquia, el Comité Universidad Empresa Estado y coordinada por la División de Innovación que busca conectar y articular las oportunidades, problemas o necesidades del sector público y privado con potenciales solucionadores de la academia y múltiples sectores.
• Permanentemente Innovando: La división de innovación establece diferentes estrategias que favorecen el proceso creativo para dar soluciones a situaciones problemáticas, necesidades sociales o empresariales; o a la capitalización de oportunidades configurados por medio de retos, donde se involucra el conocimiento generado en los procesos de docencia-investigación de la Universidad y la participación de organizaciones y comunidades.
• Innovación abierta para la inserción laboral: En el marco de la estrategia de Innovación Abierta dirigida al Valle de Aburrá se contó con la participación de 776 solucionadores.</t>
  </si>
  <si>
    <t>Hubo algunas dificultades relacionadas con la retención de parte del equipo, lo cual retrasó algunas actividades, especialmente las del plan de comunicaciones. De igual forma, el modelo de sistema de información para el emprendimiento se realizó en el marco de un trabajo de grado de la maestría CTi, que tuvo retrasos por parte de los estudiantes. Sin embargo, ya se cuenta con el planteamiento y esto permitirá avanzar con la definición de requerimientos. El resto de las actividades avanzan sin novedad</t>
  </si>
  <si>
    <t xml:space="preserve">Como un ejercicio de justicia epistémica y en coherencia con una apuesta institucional de cara a la diversidad y pluralidad hemos logrado configurar el primer examen de admisión formulado en Lengua de Señas Colombiana para la Universidad y para el país. Este primer examen ha sido aplicado a 16 aspirantes sordos señantes que se presentaron a 9 de los 12 programas ofrecidos por 4 unidades académicas. 
Se instala una mesa de diálogo con las comunidades sordas para hacerle seguimiento y acompañamiento a la implementación del Acuerdo Académico 577 de 2021. 
Creación de un espacio institucional de servicios de interpretación y traducción integrado por 4 intérpretes de Lengua de Señas Colombiana que trabajan por la revitalización de la lengua y la accesibilización de escenarios informativos y curriculares universitarios. 
Co-construcción de un Seminario de Formación en Lectura, Escritura y Oralidad para aspirantes y estudiantes de comunidades étnicas. 
Perfilamiento de ruta de configuración de una política universitaria de permanencia e inclusión. 
Perfilamiento de una propuesta de retorno para estudiantes que han abandonado su proyecto académico durante la pandemia. 
Diseño e implementación de ajustes razonables para estudiantes con discapacidad visual, física y sordos oralizados presentes en distintos programas académicos tanto de regiones como de ciudad universitaria. 
Virtualización de estrategias de acompañamiento durante la pandemia que permitieron el sostenimiento del proyecto académico de algunos estudiantes. 
Instalación de red universitaria por la accesibilidad que reúne a actores y actrices cuyos esfuerzos se dirigen a la accesibilidad de procesos, proyectos, programas y estrategias para que lleguen a las comunidades de estudiantes, profesores y administrativos. 
Participación en el Programa Nacional de Mentorías el cual tiene como objetivo promover la adaptación a la vida universitaria y la inserción laboral. 
Fortalecimiento de la red de tutorías universitaria que reúne a profesores de distintas unidades académicas en torno a la formación, la investigación y el acompañamiento tutorial para contribuir al éxito académico de estudiantes. </t>
  </si>
  <si>
    <t xml:space="preserve">Actitudes de algunas Unidades Académicas que no permiten la continuidad y el nacimiento de procesos de cara a la permanencia y la inclusividad. 
La corresponsabilidad es un elemento que debe trabajarse dado que la permanencia y la inclusividad son elementos transversales a toda la estructura universitarias y que atraviesa los ejes misionales de docencia, extensión e investigación. 
Faltan comprensiones más robustas y consensuadas de los asuntos que sustentan la Permanencia y la Inclusión, entre los actores institucionales que participan o tienen que ver con ella.
Insuficiente comprensión y aplicabilidad de criterios de asequibilidad, accesibilidad, adaptabilidad y aceptabilidad, como principios de buenas prácticas en equidad y educación inclusiva, por lo que la garantía del derecho a la educación se ve restringida por barreras pedagógicas, de bienestar, de formación, comunicacionales, actitudinales y de los espacios universitarios.
Tensiones con las comunidades sordas ante la oferta académica dispuesta la cuál era considera por ellas como insuficiente y excluyente. 
Un reto desafiante durante este periodo fue la consolidación del equipo que integraría la comisión de examen en LSC, a parte de la poca presencia en el medio de expertos y expertas en el tema algunos no tenía la suficiente capacidad de trabajo en equipo, la habilidad de escucha y respecto por el otro lo que complejizó el trabajo implicando la renovación de un equipo que finalmente logra consolidarse y disponerse para un ejercicio riguroso y coherente con un apuesta universitaria de diversidad, pluralidad y reconocimiento del otro. </t>
  </si>
  <si>
    <t xml:space="preserve">Constituir una base de grupos de confianza para la construcción de la política universitaria de permanencia, inclusividad y equidad. 
Articulación de rutas de acompañamiento para los trayectos del ciclo de vida académica 
Diseño y puesta en marcha de una Plan para el Retorno Estudiantil (PARES)
Accesibilidad como principio institucional. 
Juntanzas institucionales por la accesibilidad que configuran una red de distintos procesos universitarios. 
Configuración de SETI: Servicios de interpretación y traducción en lengua de señas colombiana
Alianzas con Secretarías de Educación municipal para el acompañamiento de docentes y estudiantes de educación media. 
Reactivación de apuestas conjuntas con colectivos y organizaciones (grupos étnicos y género)
Consolidación de rutas orientadas al acompañamiento de la comunidad universitaria y allegadas a la Universidad, mediante acciones de fortalecimiento académico y estrategias para fortalecer la permanencia, inclusión y accesibilidad de estudiantes (precedente, pregrado y posgrado) y profesores (precedente y pregrado).
el diseño, planeación y ejecución de rutas de formación en diversidades para grupos y comunidades;  lectura, escritura y oralidad para el mejoramiento académico y la vinculación a la universidad, y en acompañamiento tutorial con la comunidad universitaria, en la cual participan estudiantes, profesores y comunidad externa. Esto se traduce en la realización de 8 cursos de formación en diversidades, 2 cursos en alianza con la DBU, dos seminarios de formación, un diplomado de formación docente, y un curso para docentes tutores que acompañan a sus pares que se vincularon a través del concurso docente, y la articulación de estas acciones en dos propuestas de cátedras sobre la tercerización y el género.
</t>
  </si>
  <si>
    <t xml:space="preserve">Durante el primer semestre del año 2022 nuestros procesos interactuaron con la ley de garantías lo que dificultó o retrasó la contratación de algunos procesos. Adicionalmente, los procesos administrativos, en algunas ocasiones, exigen unos requisitos que sobre pasan las condiciones de las comunidades con las que trabajamos, generando incoherencias con las apuestas por la justicia epistémica y el reconocimiento de los saberes, sabedores y territorios. 
Falta de recursos dirigidos a las sostenibilidades para acciones en sedes y seccionales. 
Las exenciones de títulos de posgrados  para sabedores y sabedoras de cursos en diversidades. 
Falta de cooperación y articulación entre actores/actrices y procesos universitarios.
Falta de una política institucional de permanencia, equidad e inclusividad. 
Falta de instrumento para el registro, recuperación y gestión de datos para la toma de decisiones relacionadas con la permanencia
Restricciones administrativas para la gestión de recursos distintos a nuestra fuente de financiación (PFC)
Falta de articulación con la propuesta institucional de comunicaciones   
Falta divulgación de las apuestas de permanencia universitaria en escenarios de representación. </t>
  </si>
  <si>
    <t xml:space="preserve">Avance en la inclusión de la mayoría de unidades académicas y administrativas en la estrategia de teletrabajo. Finalizando el segundo semestre de 2021 se logró formalizar 123 servidores como teletrabajadores y contar con 650 mas que tienen las condiciones necesarias que se requieren para la modalidad de teletabajo. </t>
  </si>
  <si>
    <t>El cumplimiento de las metas depende, en parte, de la disposición y participación de los servidores y la toma de decisiones por parte de las unidades, lo cual, en algunas oportunidades, puede retrazar los tiempos proyectados.</t>
  </si>
  <si>
    <t xml:space="preserve">*Respecto a Teletrabajo, se formalizaron 750 servidores en teletrabajo, luego de haber sido postulados por sus unidades y de realizar el proceso de preparación y verificación de condiciones. Se cumplió el 100%, más de lo programado inicialmente, dado el retorno a las labores presenciales y la finalización del trabajo en casa con ocasión de la pandemia, se debió ampliar la capacidad para preparar y formalizar a los servidores en la modalidad de teletrabajo. Lo que hizo que se lograra cumplir con el objetivo antes de los proyectado.                                                                                                                                                                                                                         *Con la estrategia de aplicación de la batería de riesgo psicosocial, el principal logro fue la definición de criterios y condiciones técnicas para la selección de un proveedor que facilite la aplicación de la batería y garantice la confiabilidad, disponibilidad y custodia de la información.                                                                                                                                                *Planificación y retroalimentación de la labor: porcentaje de personal administrativo de carrera que realiza la concertación de objetivos equivalente a un 94%. Se identifica que además de hacer el ejercicio de utilización de la plataforma, algunas personas se preguntan por el cómo hacer una conversación adecuada y manifiestan esto como aporte al desempeño del rol. Otro asunto importante en este proceso, es la interiorización del proceso de retroalimentación para los servidores que lograron pasar satisfactoriamente el periodo de prueba, desde ellos se viene haciendo un ejercicio de conversación juicioso, además, de concebir la plataforma como un medio para plasmar lo que surge en conversación. </t>
  </si>
  <si>
    <t xml:space="preserve">*Teletrabajo: la permanencia de la figura de trabajo en casa como posibilidad el primer semestre del 2022 generó dificultades en la apropiación del teletrabajo y resistencias en algunos casos en la adopción del mismo dado que la situación de trabajo en casa puede resultar más atractiva a algunos servidores. *Aplicación de batería: el retorno paulatino a la presencialidad durante los dos últimos semestre generó alta demanda de trabajo al equipo de Riesgos Ocupacionales para atender el cumplimiento de las condiciones normativas que semana a semana se emitieron por el Ministerio de Salud. Esta situación generó dificultad para el abordaje y dedicación de tiempo a la aplicación de la batería de riesgo psicosocial. * Se debe continuar con la divulgación de la conversación como eje fundamental del proceso, con el fin de seguir fortaleciendo los principios mismos de la retroalimentación. En términos logísticos se debe de generar estrategia de actualización de la plataforma, por renuncias, cambios de jefe y demás novedades importantes dentro del proceso. </t>
  </si>
  <si>
    <t xml:space="preserve">En este semestre logramos trazar una ruta clara sobre cómo desarrollaremos el proyecto, cuál será el enfoque y las prioridades. Adicionalmente, logramos hacer una indagación con posibles proveedores para el acompañamiento en la creación del sistema de medición y evaluación de la comunicación, así como el estudio de audiencias del SRU y una versión prelimiar de estudio de mercado y de términos de referencia para ambos casos. Esto facilitará que en el 2022 podamos adelantar el proceso contractual de una forma mucho más ágil y oportuna lo que nos permitirá dar cumplimiendo a los componentes planteados en el proyecto.
</t>
  </si>
  <si>
    <t>La mayor dificultad que se ha tenido es acotar los alcances del proyecto al estar planificado por fases. Adicionalmente, al hacer la indagación de posibles proveedores para el acompañamiento fue retador poder definir los términos de referencia y el anexo técnico que se ajuste a las necesidades que tiene la institución y poder tener precotizaciones comparables tanto para el ejercicio de medición y evaluación como para el de las audiencias del Sistema de Radio Universitario.</t>
  </si>
  <si>
    <t>Establecimos un acuerdo con la Facultad de Comunicaciones y Filología para la asesoría y acompañamiento en la ejecución del proyecto Implementación de un sistema de evaluación y medición de la comunicación institucional para la Universidad de Antioquia (fase 1).
La Facultad de Comunicaciones y Filología llevará a cabo la metodología por componentes de la siguiente manera:
Componente 1. Prácticas institucionales para la evaluación y medición de la
comunicación.
Se formularán las prácticas institucionales necesarias para la medición y evaluación de la Comunicación que consiste en la elaboración del documento base con el marco conceptual y normativo, la caracterización del proceso, los lineamientos, las orientaciones y la definición de flujos de trabajo. Así mismo, la elaboración de la guía metodológica que contenga la matriz de indicadores para la evaluación de la comunicación institucional y los procedimientos y formatos para llevarla a cabo.
Componente 2. Levantamiento de línea base de la evaluación y medición de la comunicación institucional.
Se realizará el levantamiento de la línea base de la evaluación y medición de la comunicación institucional, la cual contempla diferentes herramientas y metodologías para la construcción de la misma. De igual manera contendrá las fichas de indicadores y se implementará una primera evaluación y medición de la comunicación institucional.
Componente 3. Curso de evaluación y medición de la comunicación.
Este curso pretende brindar herramientas tanto teóricas como prácticas, conceptuales y técnicas, en la evaluación y medición de la comunicación que faciliten la toma de decisiones. El curso será dictado a un máximo de 40 participantes, quienes deberán asistir, mínimo, al 80% de las sesiones para obtener la certificación. Así mismo, se tendrá la elaboración de un curso autogestionable de 40 horas que podrán hacer los diferentes comunicadores que hacen parte de la Universidad.
El sistema o plataforma donde se consolidará la información se abordará a finales de 2023 para que con la línea base pueda evaluarse la posibilidad de tener un tablero dentro de PlanView.
Para el estudio de audiencias ya contamos con el proceso precontractual adelantado y se procederá a continuar el proceso de contratación.</t>
  </si>
  <si>
    <t xml:space="preserve">En el proyecto encontramos algunas dificultades como:
Hay muy poca oferta de consultores nacionales para los asuntos de medición y evaluación de la comunicación. 
Hallamos proveedores internacionales sin embargo, la contratación con ellos se hacía compleja por asuntos de documentación así como por el precio del dólar. 
Tuvimos dificultades para adelantar la contratación durante el primer semestre del 2022 dada la ley de garantías. 
Intentar cumplir con los cronogramas del proyecto con el mismo equipo que resolvemos los asuntos de trabajo y las contingencias que se presentan. </t>
  </si>
  <si>
    <t xml:space="preserve">Componente: Sistema de información de la planeación universitaria implementado e integrado con otros sistemas institucionales
Se realizó un minucioso estudio de los productos existentes en el mercado para la planeación universitaria, se encontraron 4 productos, se seleccionó uno llamado Plan View, se inició el proceso contractual con la elaboración del estudio de conveniencia, este fue revisado y aprobado por la oficina Jurídica, se tiene el CDP aprobado, al igual que la aprobación del CTC. Se inicia la construcción de la minuta del contrato.
Componente:Módulos web actualizados, personal de desarrollo y soporte de software capacitado en tecnologías actuales y requeridas, proceso de desarrollo de software integrado a través de tecnologías Devops
Se dejó un módulo de sipe antiguo para el reporte de horas cátedra, reconstruido con la nueva arquitectura de software. También se actualizó el formulario de contratación de cátedra de la misma forma. Esto fue implementado con recursos internos de la División de Gestión Informática.
Se inició con la consulta de posibles valores de terceros para contratación por outsourcing.
Con respecto a capacitaciones y Devops se iniciará el próximo año.
Componentes: Modernización de sistemas de información de Talento Humano y Gestión Académica (70% de la funcionalidad actual).
Se realizó la formulación del proyecto con el fin de buscar recursos externos que permitan la ejecución de estos entregables. (Regalías) y posteriormente se envió a la División de planes y proyectos para su revisión y gestión.
</t>
  </si>
  <si>
    <t>Los entregables asociados a la implementación de los sistemas de información para la gestión académica y para la gestión del talento humano, estarán sujetos a la gestión de recursos internos y externos, por un valor total de 14.501 millones de pesos.                                                                                                                                                                                                                                                        Con la  no ejecución de estos entregables se pone en riesgo la continuidad de la operación en los procesos académico-administrativos (MOISES, FAMA, FACART, MARES y SIPE).</t>
  </si>
  <si>
    <t>Componente: Sistema de información de la planeación universitaria implementado e integrado con otros sistemas institucionales
Se finaliza el proceso de contratación con Exceltis, el proveedor de Planview seleccionado. Se realiza la planeación del proyecto: Plan de comunicaciones y gestión del cambio, Plan de gestión de riesgos, Proceso de control de cambios, Definición detallada de flujo de caja, Especificación de cronograma de trabajo. Se inicia el diseño específico de la aplicación para las necesidades específicas de la UdeA y se aprueba el 66% de éste. Se inicia la definición de integraciones con SIIU y SAP. Y se realiza la planeación de las pruebas con el equipo piloto. 
Componente:Módulos web actualizados, personal de desarrollo y soporte de software capacitado en tecnologías actuales y requeridas, proceso de desarrollo de software integrado a través de tecnologías Devops
Se realiza la migración de la funcionalidad de reporte de pagos (Implementado con recursos internos de la División de Gestión Informática).
Se realiza la selección del proveedor de outsorcing para llevar a cabo la migración.
Se decide en conjunto con la gerencia del proyecto de Consolidación del portal de la Universidad como el punto de acceso a la información, a los servicios y a los trámites institucionales unir esfuerzos a nivel contractual para cumplir el objetivo de capacitación definido para los dos proyectos.
Se inicia la solicitud de cotizaciones para la implementación de los procesos de Devops en la UdeA
Componente: Modernización de sistemas de información de Talento Humano y Gestión Académica (70% de la funcionalidad actual).
Se reciben los recursos necesarios para iniciar con la modernización de los sistemas de información de Talento Humano y Gestión académica.
A partir de ese momento se decide adicionar al alcance del proyecto, la modernización de la base de datos institucional y se inicia el análisis de alternativas para la implementación y el licenciamiento. Se realiza el análisis técnico- financiero para la migración. Se han gestionado demos del modelo de migración de aplicaciones propuesto por ORACLE. Derivado de las actividades mencionadas se logra recopilar información importante para la elaboración del estudio previo</t>
  </si>
  <si>
    <t>*La diversidad de casuisticas jurídicas y la duración del proceso contractual para los servicios de outsourcing debido a la ley de garantías
*La complejidad del proceso de análisis técnico que se está realizando, el cual ha tomado más tiempo del programado.
*La baja disponibilidad de tiempo de la oficina de proyectos para iniciar la definición de entregables que se tiene planteada dentro del proyecto</t>
  </si>
  <si>
    <t xml:space="preserve">Componente:Normativa de acceso y publicación de contenidos
No se tiene ningún avance ya que para este punto se definió avanzar en los entregables a medida que avancen las adecuaciones del portal. 
Componente: Portal y aplicaciones institucionales que cumplan con lo estándares de accesibilidad web para la gestión de información institucional, información noticiosa y de productos y servicios
Empleando horas de la bolsa contratada para el portal por medio de la empresa Dacartec para nuevas funcionalidades del portal, se programó el uso de 223 horas en 2021 para desarrollar los primeros 4 cambios sobre el portal, hasta el momento se encuentran en pruebas 2 cambios y se han realizado dos capacitaciones. 
De este componente se ha avanzado 25%
Cómo siguientes pasos se debe realizar otro si y una adición presupuestal al contrato de bolsa de horas para reponer las horas consumidas por el proyecto y continuar con el desarrollo del resto de adecuaciones que requiere el portal universitario. 
Componente: Gestión y el aprovechamiento de  las capacidades digitales
Se está haciendo estudio de mercado para recibir propuestas sobre capacitaciones en infraestructura tecnológica que requiere la división. 
Con Dacartec se realizó la estimación del costo de la configuración y puesta en marcha de la herramienta Connections
De este componente se ha avanzado: 2%
Componente: Mecanismos para la identificación de usuarios
De este componente se ha avanzado en la identificación de los requerimientos técnicos para el directorio activo, teniendo en cuenta la información del OID que se va a migrar, adicional se tienen construido el plan de selección del directorio activo.  
Avance del componente 15%
Componente: Experiencia de usuario en el portal
Sobre el plan de capacitación en vigilancia tecnológica se realizó una consulta con varios proveedores y la capacitación no existe pero si se tiene la posibilidad de recibir por parte de Ceiba software y de manera gratuita una referenciación sobre el método de vigilancia que ellos actualmente realizan para reconocer nuevas tecnologías u optimizar procesos, para este caso se deben identificar actores importantes para asistir a la reunión y programarla. 
Con respecto al plan piloto para la nubenización del portal se identificaron los requerimientos técnicos y se está construyendo un RFP para realizar el estudio de mercado, el aprovisionamiento y puesta en marcha el próximo año. 
El avance de este componente es de 3%
</t>
  </si>
  <si>
    <t xml:space="preserve">Se identifican posibles dificultades en la contratación por la ley de garantías que entra en vigencia el 28 de enero de 2021. </t>
  </si>
  <si>
    <t xml:space="preserve">Componente:Normativa de acceso y publicación de contenidos
Para este entregable se tiene un 40% de avance asociado a la guía de criterios de accesibilidad construida por el proveedor y complementada por un profesional experto en temas de accesibilidad contratado por la dirección de comunicaciones para acompañar el proceso
Componente: Portal y aplicaciones institucionales que cumplan con los estándares de accesibilidad web
Se finalizó la implementación de 7 mejoras de accesibilidad en el marco de la adición contractual realizada con el proveedor que administra el Portal institucional (Dacartec).
Componente: Gestión y el aprovechamiento de  las capacidades digitales
Se tiene un avance de 56% en este componenete, con el proveedor se definió el plan de configuración e implementación de la herramienta Connections se encuentra pendiente la asignación de un profesional que acompañe el proceso. Se ha avanzado con los ajustes y actualización del documento de los términos y condiciones del portal. Con respecto a la habilitación de capacidades disponibles del portal y servidor de aplicaciones se han actualizado14 servidores de 17 identificados con las máximas actualizaciones disponibles. 
Componente: Mecanismos para la identificación de usuarios
De este componente se ha avanzado en un 100% con la identificación de los requerimientos técnicos para el directorio activo, teniendo en cuenta la información del OID que se va a llevar a Directorio, el jefe de la División de gestión informática se encuentra en negociación para la implementación por parte de Microsoft, ya se tiene una propuesta de estrategia definida y una valoración de la implementación por parte del proveedor.
Componente: Experiencia de usuario en el portal
*Para el plan de implementación, gestión y actualización de capacidades técnicas del portal se realizó el estudio previo y selección del proveedor, en conjunto con los requerimientos del proyecto de modernización de sistemas de información institucionales para hacer un solo contrato de outsourcing donde se hagan los cambios necesarios.
*Para el plan piloto de la nubenización del portal se identificaron los requerimientos técnicos, se construyó documento técnico y se envió a proveedores para recibir sus propuestas y actualizar estudio de mercado; se está a la espera de aclaraciones por parte de un proveedor y de articulación con otros proyectos que también requieren servicios de nube . 
*Para el diagnóstico de usuarios y sus necesidades, se realizó una depuración de información repetida, desactualizada y se eliminaron más de 30 sitios no usados en el portal. ​
* Con respecto a la capacitación en vigilacia tecnológica se tiene pendiente realizar la solicitud a Planes y proyectos para realizar la capacitación a los interesados en la división de gestión informática.
</t>
  </si>
  <si>
    <t xml:space="preserve">*Retraso en la contratación de capacitaciones debido a la ley de garantías ​
*Falta de disponibilidad para desarrollar las actividades asociadas al proyecto debido a situaciones laborales adversas que no permiten atender estos compromisos. ​
*Tiempos extensos por parte de proveedores para realizar el análisis de las propuestas.
* Para avanzar en la implementación de las acciones de accesibilidad sobre el portal y sus aplicaciones se requiere de la documentación construida por la dirección de comunicaciones. </t>
  </si>
  <si>
    <t xml:space="preserve">* Se presentó y aprobó el estudio de selección de la plataforma y se presentó el ajuste del presupuesto que posibilite la contratación de la plataforma elegida.
* Se creó un Comité Gestor con delegados de las dependencias para la toma de decisiones.
* Se realizó la contratación de la investigación de mercado que soportará el modelo de negocio, las estrategias y tácticas para la promoción de los programas virtuales de educación continua.
* Se presentó para revisión jurídica el borrador de los términos de referencia para la convocatoria de virtualización de contenidos.
 </t>
  </si>
  <si>
    <t>* Fue necesario fortalecer el estudio de viabilidad que dio origen al proyecto, incorporando un estudio estructurado del mercado en lo referente a la selección de la plataforma de virtualización, esto obligó a hacer una reprogramación de los entregables del proyecto.
* El avance de los indicadores depende de la contratación de la plataforma y el proceso de selección y contratación superó lo programado.</t>
  </si>
  <si>
    <t>Ejecutado 2021 Generales</t>
  </si>
  <si>
    <t>Ejecutado 2022  Generales</t>
  </si>
  <si>
    <t>Ejecutado 2023  Generales</t>
  </si>
  <si>
    <t>Ejecutado 2024  Generales</t>
  </si>
  <si>
    <t>Total Generales</t>
  </si>
  <si>
    <t>Ejecutado 2021  Propios</t>
  </si>
  <si>
    <t>Ejecutado 2022  Propios</t>
  </si>
  <si>
    <t>Ejecutado 2023  Propios</t>
  </si>
  <si>
    <t>Ejecutado 2024  Propios</t>
  </si>
  <si>
    <t>Total Propios</t>
  </si>
  <si>
    <t>Ejecutado 2021  Inversión: Estampilla</t>
  </si>
  <si>
    <t>Ejecutado 2022  Inversión: Estampilla</t>
  </si>
  <si>
    <t>Ejecutado 2023  Inversión: Estampilla</t>
  </si>
  <si>
    <t>Ejecutado 2024  Inversión: Estampilla</t>
  </si>
  <si>
    <t>Total Estampilla</t>
  </si>
  <si>
    <t>Ejecutado 2021  Inversión: IVA</t>
  </si>
  <si>
    <t>Ejecutado 2022  Inversión: IVA</t>
  </si>
  <si>
    <t>Ejecutado 2023  Inversión: IVA</t>
  </si>
  <si>
    <t>Ejecutado 2024  Inversión: IVA</t>
  </si>
  <si>
    <t>Total IVA</t>
  </si>
  <si>
    <t>Ejecutado 2021  Externos</t>
  </si>
  <si>
    <t>Ejecutado 2022   Externos</t>
  </si>
  <si>
    <t>Ejecutado 2023  Externos</t>
  </si>
  <si>
    <t>Ejecutado 2024  Externos</t>
  </si>
  <si>
    <t>Total Extenos</t>
  </si>
  <si>
    <t>Ejecutado 2021  PFC</t>
  </si>
  <si>
    <t>Ejecutado 2022  PFC</t>
  </si>
  <si>
    <t>Ejecutado 2023  PFC</t>
  </si>
  <si>
    <t>Ejecutado 2024  PFC</t>
  </si>
  <si>
    <t>Total ejectuado PFC</t>
  </si>
  <si>
    <t>Total ejecutado ACUMULADO 2021</t>
  </si>
  <si>
    <t>Total ejecutado ACUMULADO 2022</t>
  </si>
  <si>
    <t>Total ejecutado 2023</t>
  </si>
  <si>
    <t>Total ejecutado 2024</t>
  </si>
  <si>
    <t>Total ejecutado Trienio</t>
  </si>
  <si>
    <t>Porcentaje de ejecución anual</t>
  </si>
  <si>
    <t>Porcentaje de ejecución en el trienio</t>
  </si>
  <si>
    <t>Armonización currículos adaptabilidad nuevas condi</t>
  </si>
  <si>
    <t>Consolidación unidad estudios pedagógicos educació</t>
  </si>
  <si>
    <t>Apropiación cultura autoevaluación autorregulación</t>
  </si>
  <si>
    <t>Fortalecimiento cultura digital humanizada ejes mi</t>
  </si>
  <si>
    <t>Colaboratorios comunidades aprendizaje torno innov</t>
  </si>
  <si>
    <t>Formalización implementación proyecto educativo in</t>
  </si>
  <si>
    <t>Fortalecimiento virtualidad desarrollo programas p</t>
  </si>
  <si>
    <t>Implementación sistema gestión integral para archi</t>
  </si>
  <si>
    <t>Defición ruta estratégica comunicaciones para prom</t>
  </si>
  <si>
    <t>Relacionamiento estrategico regional, nacional int</t>
  </si>
  <si>
    <t>Fortalecimiento fomento capacidades internacionali</t>
  </si>
  <si>
    <t>Articulación prácticas académicas: interacción mun</t>
  </si>
  <si>
    <t>Consolidación nichos académicos regiones</t>
  </si>
  <si>
    <t>Proyección institucional oferta educación formal u</t>
  </si>
  <si>
    <t>Implementación sistema relacionamiento doble egres</t>
  </si>
  <si>
    <t>Consolidación ecosistema para comunicación pública</t>
  </si>
  <si>
    <t>Formulación convocatoria basada agenda creación in</t>
  </si>
  <si>
    <t>Renovación sistema universitario para creación gen</t>
  </si>
  <si>
    <t>Democratización creación, investigación innovación</t>
  </si>
  <si>
    <t>Definición estrategias para permanencia estudiante</t>
  </si>
  <si>
    <t>Consolidación modelo bienestar universitario regio</t>
  </si>
  <si>
    <t>Realización concursos públicos méritos para empleo</t>
  </si>
  <si>
    <t>Depuración compilación normativa</t>
  </si>
  <si>
    <t xml:space="preserve">Actualización normativa temas priorizados interés </t>
  </si>
  <si>
    <t>Democracia gobierno universitario: deliberación, d</t>
  </si>
  <si>
    <t>Público, ciudadanía convivencia universidad: conoc</t>
  </si>
  <si>
    <t>Innovación procesos académicos administrativos pri</t>
  </si>
  <si>
    <t>Descentralización autonomía administrativa algunas</t>
  </si>
  <si>
    <t>Implementación sistema evaluación seguimiento polí</t>
  </si>
  <si>
    <t>Bienestar línea</t>
  </si>
  <si>
    <t>Fortalecimiento capacidades físicas tecnologías in</t>
  </si>
  <si>
    <t>Actualización plataforma telecomunicaciones univer</t>
  </si>
  <si>
    <t>Fortalecimiento capacidades analítica datos para g</t>
  </si>
  <si>
    <t>Modernización tecnologías informáticas sistema bib</t>
  </si>
  <si>
    <t>Implementación sistema integrado conservación arch</t>
  </si>
  <si>
    <t>Canal distribución venta libros digitales impresos</t>
  </si>
  <si>
    <t>Salvaguarda historias academicas documentos reposa</t>
  </si>
  <si>
    <t>“ampliación infraestructura física ciudadela roble</t>
  </si>
  <si>
    <t>“construcción nueva sede para facultadnacional sal</t>
  </si>
  <si>
    <t>“adaptabilidad infraestructura física dinámicas in</t>
  </si>
  <si>
    <t xml:space="preserve">Inserción territorial articulada para universidad </t>
  </si>
  <si>
    <t>Potenciando diversidad</t>
  </si>
  <si>
    <t>Ejercicio praxiológico para erradicación prevenció</t>
  </si>
  <si>
    <t>Campus aprendizaje intergeneracional: consolidació</t>
  </si>
  <si>
    <t>Hacia construcción cultura convivencia sana univer</t>
  </si>
  <si>
    <t>Territorio: construcción social</t>
  </si>
  <si>
    <t>Como objeto estudio</t>
  </si>
  <si>
    <t>Política pública negociaciones</t>
  </si>
  <si>
    <t>Semillas conocimiento: aportes seguridad alimentar</t>
  </si>
  <si>
    <t>Acecilia.sanchez@udea.edu.co</t>
  </si>
  <si>
    <t>Consolidación cultura universitaria sostenibilidad</t>
  </si>
  <si>
    <t>Universidad saludable</t>
  </si>
  <si>
    <t>Formulación proyecto sostenibilidad plan gestión a</t>
  </si>
  <si>
    <t>Prefactibilidad centro pensamiento creación contem</t>
  </si>
  <si>
    <t>Patrimonios udea: laboratorio restauración</t>
  </si>
  <si>
    <t>Modalidades educativas integraciones curriculares</t>
  </si>
  <si>
    <t>Diseño modelo gestión emprendimiento innovación co</t>
  </si>
  <si>
    <t>Ujamaa: formalización permanencia, inclusión acces</t>
  </si>
  <si>
    <t>Fortalecimiento nueva cultura labor universitaria</t>
  </si>
  <si>
    <t>Implementación sistema evaluación medición comunic</t>
  </si>
  <si>
    <t xml:space="preserve">Implementación modernización sistemas informacion </t>
  </si>
  <si>
    <t>Consolidación portal universidad como punto acceso</t>
  </si>
  <si>
    <t>Aprende línea (fase ambiente para formación contin</t>
  </si>
  <si>
    <t>Documento marco ruta metodológica para programas a</t>
  </si>
  <si>
    <t>Numero talleres, convesatorios asesorias generales</t>
  </si>
  <si>
    <t xml:space="preserve">Número programas académicos pregrado armonización </t>
  </si>
  <si>
    <t>Número unidades académicas comprometidas articulac</t>
  </si>
  <si>
    <t>Número encuentros unidades académicas para generar</t>
  </si>
  <si>
    <t>Número inicaitivas formación derivadas espacios ar</t>
  </si>
  <si>
    <t>Estrategias para flexibilización internacionalziac</t>
  </si>
  <si>
    <t>Programa académico construido modalidad dual</t>
  </si>
  <si>
    <t>Cursos diferentes planes estudio transformados var</t>
  </si>
  <si>
    <t>Programas pregrado estrategias internacionalizació</t>
  </si>
  <si>
    <t>Talleres conversatorios realizados coordinadores t</t>
  </si>
  <si>
    <t>Recursos digitales cuales presente correspondiente</t>
  </si>
  <si>
    <t>Aplicativo consulta</t>
  </si>
  <si>
    <t>Cultura digital</t>
  </si>
  <si>
    <t>Colaboratorios comunidades aprendizaje</t>
  </si>
  <si>
    <t>Servicios información activados operación para con</t>
  </si>
  <si>
    <t xml:space="preserve">Cursos formación cultura informacional realizados </t>
  </si>
  <si>
    <t>Documento marco formalizado explicite ideario form</t>
  </si>
  <si>
    <t>Encuentros socializacion unidades academicas</t>
  </si>
  <si>
    <t>Porcentaje avance propuesta fortalecimiento estruc</t>
  </si>
  <si>
    <t>Porcentaje avance propuesta capacitación docentes</t>
  </si>
  <si>
    <t>Cumplimiento plan capacitación docentes posgrado</t>
  </si>
  <si>
    <t>Establecimiento plataforma para aprendizaje</t>
  </si>
  <si>
    <t>Creación adaptación contenidos educativos</t>
  </si>
  <si>
    <t>Contenidos operación plataforma aprendizajes</t>
  </si>
  <si>
    <t>Avance documento define ruta estratégica comunicac</t>
  </si>
  <si>
    <t>Número estrategias para fortalecimiento relacionam</t>
  </si>
  <si>
    <t>Número unidades académicas implementan estrategias</t>
  </si>
  <si>
    <t>Número actividades consolidadas para desarrollo co</t>
  </si>
  <si>
    <t>Número unidades académicas sensibilizadas sobre in</t>
  </si>
  <si>
    <t>Número coordinadores gestores relaciones internaci</t>
  </si>
  <si>
    <t>Programas académicos articulados</t>
  </si>
  <si>
    <t>Fortalecimiento relación universidad sociedad medi</t>
  </si>
  <si>
    <t>Proceso evaluación integral prácticas académicas</t>
  </si>
  <si>
    <t>Sistema información prácticas académicas implement</t>
  </si>
  <si>
    <t>Vinculación nuevos docentes tiempo completo para r</t>
  </si>
  <si>
    <t>Proyectos extensión investigación temáticas region</t>
  </si>
  <si>
    <t>Alianzas estratégicas actores territoriales</t>
  </si>
  <si>
    <t>Número inscritos actividades educación formal</t>
  </si>
  <si>
    <t>Ingresos concepto educación formal</t>
  </si>
  <si>
    <t>Nivel representación egresados órganos comités uni</t>
  </si>
  <si>
    <t xml:space="preserve">Porcentaje crecimiento aportes recursos egresados </t>
  </si>
  <si>
    <t>Número procesos diseñados socializados para fortal</t>
  </si>
  <si>
    <t>Porcentaje consolidación ecosistema articulado par</t>
  </si>
  <si>
    <t>Número participantes escenarios construcción agend</t>
  </si>
  <si>
    <t>Porcentaje avance documento propuesta convocatoria</t>
  </si>
  <si>
    <t>Porcentaje avance actualización políticas estructu</t>
  </si>
  <si>
    <t>Porcentaje avance propuesta políticas instituciona</t>
  </si>
  <si>
    <t>Porcentaje avance desarrollo nuevas funcionalidade</t>
  </si>
  <si>
    <t>Porcentaje avance construcción socialización docum</t>
  </si>
  <si>
    <t>Porcentaje avance plan formación para democratizac</t>
  </si>
  <si>
    <t>Porcentaje avance activación históricos revistas c</t>
  </si>
  <si>
    <t>Número planes para gestión innovación unidades aca</t>
  </si>
  <si>
    <t>Número planes cti+e subregiones antioquia período</t>
  </si>
  <si>
    <t>Nuevos participantes (internos externos) actividad</t>
  </si>
  <si>
    <t>Documento política institucional para formalizació</t>
  </si>
  <si>
    <t>Estrategias diseñadas implementadas para fortalece</t>
  </si>
  <si>
    <t>Acciones fortalecimiento académico trabajo diseñad</t>
  </si>
  <si>
    <t>Avance estudio analisis factores permanencia</t>
  </si>
  <si>
    <t>Avance sobre estrategias para permanencia estudian</t>
  </si>
  <si>
    <t>Avance identificación fuentes financiación externa</t>
  </si>
  <si>
    <t>Estudiantes, profesores empleados beneficiarios pr</t>
  </si>
  <si>
    <t>Estudiantes pregrado posgrado beneficiarios progra</t>
  </si>
  <si>
    <t>Sedes vinculadas proceso planeación, implementació</t>
  </si>
  <si>
    <t>Porcentaje empleados vinculados concurso carrera a</t>
  </si>
  <si>
    <t>Porcentaje implementación teletrabajo</t>
  </si>
  <si>
    <t>Porcentaje planificación retroalimentación labor</t>
  </si>
  <si>
    <t>Porcentaje temas priorizados actualizan</t>
  </si>
  <si>
    <t>Ciclos debates públicos</t>
  </si>
  <si>
    <t>Talleres intensivos (cada encuentros)</t>
  </si>
  <si>
    <t>Votaciones consultas elecciones</t>
  </si>
  <si>
    <t>Libros colección publicados</t>
  </si>
  <si>
    <t>Eventos divulgación sobre resolución conflictos</t>
  </si>
  <si>
    <t>Material didáctico publicado sobre resolución conf</t>
  </si>
  <si>
    <t xml:space="preserve">Número procesos académicos administrativos nuevos </t>
  </si>
  <si>
    <t>Grado satisfacción usuarios</t>
  </si>
  <si>
    <t>Nivel optimización recursos procesos académicos ad</t>
  </si>
  <si>
    <t>Porcentaje avance descentralización administrativa</t>
  </si>
  <si>
    <t>Nivel madurez implementación sistema evaluación co</t>
  </si>
  <si>
    <t xml:space="preserve">Fomento de una cultura institucional en torno al Sistema de Control Interno.
</t>
  </si>
  <si>
    <t>Fomento cultura institucional torno sistema contro</t>
  </si>
  <si>
    <t>Indicador conocimiento retención mensaje)</t>
  </si>
  <si>
    <t>Aplicación autocontrol</t>
  </si>
  <si>
    <t>Número métricas identificadas implementadas para s</t>
  </si>
  <si>
    <t>Número nuevas actividades virtuales implementadas</t>
  </si>
  <si>
    <t>Número sistemas/plataformas tecnológicas actualiza</t>
  </si>
  <si>
    <t>Porcentaje necesidades cubiertas sistema gestión a</t>
  </si>
  <si>
    <t>Porcentaje necesidades cubiertas sistema gestión t</t>
  </si>
  <si>
    <t>Sistema información para planificación universitar</t>
  </si>
  <si>
    <t>Modulos modernizados ejecutandose plataforma perío</t>
  </si>
  <si>
    <t>Número capacitaciones realizadas tecnologias actua</t>
  </si>
  <si>
    <t>Número políticas avaladas</t>
  </si>
  <si>
    <t>Cantidad documentos procesados</t>
  </si>
  <si>
    <t>Capacidad almacenamiento actualizada para virtuali</t>
  </si>
  <si>
    <t>Capacidad procesamiento actualizada para virtualiz</t>
  </si>
  <si>
    <t xml:space="preserve">Capacidad memoria actualizada para virtualización </t>
  </si>
  <si>
    <t>Funcionarios capacitados tecnologías virtualizació</t>
  </si>
  <si>
    <t>Funcionarios capacitados nuevas funcionalidades ba</t>
  </si>
  <si>
    <t>Centros datos condiciones óptimas</t>
  </si>
  <si>
    <t>Equipos activos operación</t>
  </si>
  <si>
    <t>Equipos activos wlan operación</t>
  </si>
  <si>
    <t>Piloto producción implementado</t>
  </si>
  <si>
    <t>Gabinetes telecomunicaciones acondicionados</t>
  </si>
  <si>
    <t>Centros cableado acondicionados</t>
  </si>
  <si>
    <t>Infraestructura monitoreada forma automatizada</t>
  </si>
  <si>
    <t>Aplicaciones servicios monitoreadas forma automati</t>
  </si>
  <si>
    <t>Funcionarios capacitados herramientas monitoreo</t>
  </si>
  <si>
    <t>Amenezas seguridad gestionadas</t>
  </si>
  <si>
    <t>Servidores equipos usario final gestionados seguri</t>
  </si>
  <si>
    <t>Vulnerabilidades seguridad gestionadas</t>
  </si>
  <si>
    <t>Control fuga información</t>
  </si>
  <si>
    <t>Eventos seguridad gestionados</t>
  </si>
  <si>
    <t>Número documentos planes diseñados socializados pa</t>
  </si>
  <si>
    <t>Porcentaje acciones implementadas portal desde téc</t>
  </si>
  <si>
    <t>Porcentaje contenidos aplicaciones cumplen normati</t>
  </si>
  <si>
    <t xml:space="preserve">Número dashboard publicados portal universitario, </t>
  </si>
  <si>
    <t>Número dashboard publicados tableau server para in</t>
  </si>
  <si>
    <t>Número informes, estudios sobre gestión institucio</t>
  </si>
  <si>
    <t>Porcentaje ejecución proyecto</t>
  </si>
  <si>
    <t>Cantidad instrumentos instalados</t>
  </si>
  <si>
    <t>Capacitación sobre conservación</t>
  </si>
  <si>
    <t>Fases ejecutadas diseño puesta funcionamiento plat</t>
  </si>
  <si>
    <t xml:space="preserve">Número títulos ofertados según cantidad existente </t>
  </si>
  <si>
    <t>Número documentos digitalizados indexados</t>
  </si>
  <si>
    <t>Construídos para bloque ciudadela robledo</t>
  </si>
  <si>
    <t>Construídos para nueva sede fnsp</t>
  </si>
  <si>
    <t>Construídos adecuados infraestructura universitari</t>
  </si>
  <si>
    <t>Apropiación modelo interior universidad (conocimie</t>
  </si>
  <si>
    <t>Actores territoriales informados sobre modelo inte</t>
  </si>
  <si>
    <t>Ejecución acciones proyectadas plan (participación</t>
  </si>
  <si>
    <t>Número participantes plan capacitación formación e</t>
  </si>
  <si>
    <t>Participación comunidad universitaria oferta inclu</t>
  </si>
  <si>
    <t>Número acciones estrategia comunicación para diver</t>
  </si>
  <si>
    <t>Prevención promoción</t>
  </si>
  <si>
    <t>Sistema vigilancia</t>
  </si>
  <si>
    <t>Número acciones período para conformación campus i</t>
  </si>
  <si>
    <t>Alcance número benficiarios campus intergeneracion</t>
  </si>
  <si>
    <t>Porcentaje participación comunidad universitaria e</t>
  </si>
  <si>
    <t>Número estrategias para construcción cultura convi</t>
  </si>
  <si>
    <t>Número documentos/acuerdos generados como producto</t>
  </si>
  <si>
    <t>Comunidades acompañadas procesos construcción enfo</t>
  </si>
  <si>
    <t>Espacios educativos, políticos culturales implemen</t>
  </si>
  <si>
    <t>Programas académicos interdisciplinarios formación</t>
  </si>
  <si>
    <t>Libro publicado sobre impactos conflcto armado ude</t>
  </si>
  <si>
    <t>Proyecto investigación sobre política pública colo</t>
  </si>
  <si>
    <t>Documento lineamientos política pública construcci</t>
  </si>
  <si>
    <t>Número rutas creadas fortalecidas para formación a</t>
  </si>
  <si>
    <t>Número plataformas tecnológicas desarrolladas, par</t>
  </si>
  <si>
    <t xml:space="preserve">
espacios formación desde para buen vivir</t>
  </si>
  <si>
    <t xml:space="preserve">Encuesta valores udea para buen vivir
</t>
  </si>
  <si>
    <t xml:space="preserve">Acciones educomunicativas promocionen formen buen </t>
  </si>
  <si>
    <t>Campañas internas externas para fortalecer saberes</t>
  </si>
  <si>
    <t>Capacitación teórico práctica comunidad universita</t>
  </si>
  <si>
    <t>Encuentros investigación extensión cada región enf</t>
  </si>
  <si>
    <t>Número actividades formación capacitación promoció</t>
  </si>
  <si>
    <t>Número alertas sobre estado salud fisica mental es</t>
  </si>
  <si>
    <t>Número beneficiarios oferta bienestar saludable.</t>
  </si>
  <si>
    <t>Nuevos puntos venta saludables implementados</t>
  </si>
  <si>
    <t>Formulación proposición política sostenibilidad si</t>
  </si>
  <si>
    <t>Definición estrategia sostenibilidad, sistema gest</t>
  </si>
  <si>
    <t>Formulación plan manejo integral residuos instituc</t>
  </si>
  <si>
    <t xml:space="preserve">Porcentaje avance estudios prefactibilidad centro </t>
  </si>
  <si>
    <t>Porcentaje avance sobre reconocimientos como centr</t>
  </si>
  <si>
    <t>Porcentaje avance montaje laboratorio conservación</t>
  </si>
  <si>
    <t>Número acciones para protección patrimonios museos</t>
  </si>
  <si>
    <t>INDICADORES DE PROYECTO PAI (Fecha: 17/11/2022; Cantidad: 169)</t>
  </si>
  <si>
    <t>Nombre corto del indicador</t>
  </si>
  <si>
    <t>Fechas de exclusión</t>
  </si>
  <si>
    <t>51O1E1</t>
  </si>
  <si>
    <t>51O1E2</t>
  </si>
  <si>
    <t>51O2E1</t>
  </si>
  <si>
    <t>51O2E2</t>
  </si>
  <si>
    <t>51O2E3</t>
  </si>
  <si>
    <t>51O3E1</t>
  </si>
  <si>
    <t>51O4E1</t>
  </si>
  <si>
    <t>51O1E3</t>
  </si>
  <si>
    <t>51O1E4</t>
  </si>
  <si>
    <t>51O1E5</t>
  </si>
  <si>
    <t>51O3E2</t>
  </si>
  <si>
    <t>51O4E2</t>
  </si>
  <si>
    <t>Tipo</t>
  </si>
  <si>
    <t>Festivo</t>
  </si>
  <si>
    <t>Sábado</t>
  </si>
  <si>
    <t>Domingo</t>
  </si>
  <si>
    <t>Semana santa</t>
  </si>
  <si>
    <t>Vacaciones UdeA</t>
  </si>
  <si>
    <t>Valor</t>
  </si>
  <si>
    <t>Corte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</si>
</sst>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0.00\ &quot;€&quot;_-;\-* #,##0.00\ &quot;€&quot;_-;_-* &quot;-&quot;??\ &quot;€&quot;_-;_-@_-"/>
    <numFmt numFmtId="164" formatCode="&quot;$&quot;\ #,##0.00;\-&quot;$&quot;\ #,##0.00"/>
    <numFmt numFmtId="165" formatCode="_-&quot;$&quot;\ * #,##0.00_-;\-&quot;$&quot;\ * #,##0.00_-;_-&quot;$&quot;\ * &quot;-&quot;??_-;_-@_-"/>
    <numFmt numFmtId="166" formatCode="&quot;$&quot;#,##0.00;\-&quot;$&quot;#,##0.00"/>
    <numFmt numFmtId="167" formatCode="_-&quot;$&quot;* #,##0_-;\-&quot;$&quot;* #,##0_-;_-&quot;$&quot;* &quot;-&quot;??_-;_-@"/>
    <numFmt numFmtId="168" formatCode="_-&quot;$&quot;\ * #,##0.00_-;\-&quot;$&quot;\ * #,##0.00_-;_-&quot;$&quot;\ * &quot;-&quot;??_-;_-@"/>
    <numFmt numFmtId="169" formatCode="_-&quot;$&quot;* #,##0.00_-;\-&quot;$&quot;* #,##0.00_-;_-&quot;$&quot;* &quot;-&quot;??_-;_-@"/>
    <numFmt numFmtId="170" formatCode="_-&quot;€&quot;* #,##0.00_-;\-&quot;€&quot;* #,##0.00_-;_-&quot;€&quot;* &quot;-&quot;??_-;_-@_-"/>
  </numFmts>
  <fonts count="1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0"/>
      <color theme="0"/>
      <name val="Calibri"/>
      <family val="2"/>
      <scheme val="minor"/>
    </font>
    <font>
      <b/>
      <sz val="20"/>
      <color theme="0"/>
      <name val="Calibri"/>
      <family val="2"/>
      <scheme val="minor"/>
    </font>
    <font>
      <b/>
      <sz val="16"/>
      <color theme="0"/>
      <name val="Calibri"/>
      <family val="2"/>
      <scheme val="minor"/>
    </font>
    <font>
      <b/>
      <sz val="16"/>
      <name val="Calibri"/>
      <family val="2"/>
      <scheme val="minor"/>
    </font>
    <font>
      <b/>
      <sz val="11"/>
      <name val="Calibri"/>
      <family val="2"/>
      <scheme val="minor"/>
    </font>
    <font>
      <b/>
      <sz val="11"/>
      <color theme="1"/>
      <name val="Calibri"/>
      <family val="2"/>
    </font>
    <font>
      <sz val="11"/>
      <color theme="1"/>
      <name val="Calibri"/>
      <family val="2"/>
    </font>
    <font>
      <sz val="11"/>
      <color theme="0"/>
      <name val="Calibri"/>
      <family val="2"/>
      <scheme val="minor"/>
    </font>
    <font>
      <sz val="11"/>
      <color theme="1"/>
      <name val="Calibri"/>
      <family val="2"/>
      <scheme val="minor"/>
    </font>
    <font>
      <sz val="11"/>
      <color theme="1"/>
      <name val="Calibri"/>
      <family val="2"/>
      <scheme val="minor"/>
    </font>
    <font>
      <sz val="11"/>
      <color theme="1"/>
      <name val="Calibri"/>
      <scheme val="minor"/>
    </font>
  </fonts>
  <fills count="21">
    <fill>
      <patternFill patternType="none"/>
    </fill>
    <fill>
      <patternFill patternType="gray125"/>
    </fill>
    <fill>
      <patternFill patternType="solid">
        <fgColor theme="1"/>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00B050"/>
        <bgColor indexed="64"/>
      </patternFill>
    </fill>
    <fill>
      <patternFill patternType="solid">
        <fgColor rgb="FF92D050"/>
        <bgColor indexed="64"/>
      </patternFill>
    </fill>
    <fill>
      <patternFill patternType="solid">
        <fgColor rgb="FFFF0000"/>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8" tint="-0.249977111117893"/>
        <bgColor indexed="64"/>
      </patternFill>
    </fill>
    <fill>
      <patternFill patternType="solid">
        <fgColor theme="9" tint="0.59999389629810485"/>
        <bgColor indexed="64"/>
      </patternFill>
    </fill>
    <fill>
      <patternFill patternType="solid">
        <fgColor rgb="FFF2F2F2"/>
        <bgColor rgb="FFF2F2F2"/>
      </patternFill>
    </fill>
    <fill>
      <patternFill patternType="solid">
        <fgColor theme="9"/>
        <bgColor rgb="FFF2F2F2"/>
      </patternFill>
    </fill>
    <fill>
      <patternFill patternType="solid">
        <fgColor rgb="FF00B0F0"/>
        <bgColor indexed="64"/>
      </patternFill>
    </fill>
    <fill>
      <patternFill patternType="solid">
        <fgColor theme="9"/>
        <bgColor theme="9"/>
      </patternFill>
    </fill>
    <fill>
      <patternFill patternType="solid">
        <fgColor rgb="FF00B050"/>
        <bgColor rgb="FFF2F2F2"/>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bottom style="thin">
        <color rgb="FF7F7F7F"/>
      </bottom>
      <diagonal/>
    </border>
    <border>
      <left/>
      <right style="thin">
        <color rgb="FF7F7F7F"/>
      </right>
      <top/>
      <bottom style="thin">
        <color rgb="FF7F7F7F"/>
      </bottom>
      <diagonal/>
    </border>
    <border>
      <left style="thin">
        <color rgb="FF7F7F7F"/>
      </left>
      <right/>
      <top/>
      <bottom style="thin">
        <color rgb="FF7F7F7F"/>
      </bottom>
      <diagonal/>
    </border>
    <border>
      <left/>
      <right/>
      <top style="thin">
        <color rgb="FF7F7F7F"/>
      </top>
      <bottom style="thin">
        <color rgb="FF7F7F7F"/>
      </bottom>
      <diagonal/>
    </border>
    <border>
      <left style="thin">
        <color indexed="64"/>
      </left>
      <right/>
      <top/>
      <bottom/>
      <diagonal/>
    </border>
  </borders>
  <cellStyleXfs count="7">
    <xf numFmtId="0" fontId="0" fillId="0" borderId="0"/>
    <xf numFmtId="9" fontId="1" fillId="0" borderId="0" applyFont="0" applyFill="0" applyBorder="0" applyAlignment="0" applyProtection="0"/>
    <xf numFmtId="0" fontId="1" fillId="0" borderId="0"/>
    <xf numFmtId="0" fontId="1" fillId="0" borderId="0"/>
    <xf numFmtId="0" fontId="12" fillId="0" borderId="0"/>
    <xf numFmtId="0" fontId="13" fillId="0" borderId="0"/>
    <xf numFmtId="0" fontId="14" fillId="0" borderId="0"/>
  </cellStyleXfs>
  <cellXfs count="156">
    <xf numFmtId="0" fontId="0" fillId="0" borderId="0" xfId="0"/>
    <xf numFmtId="0" fontId="6" fillId="4" borderId="0" xfId="0" applyFont="1" applyFill="1" applyAlignment="1">
      <alignment horizontal="center" vertical="center"/>
    </xf>
    <xf numFmtId="0" fontId="6" fillId="2" borderId="0" xfId="0" applyFont="1" applyFill="1" applyAlignment="1">
      <alignment vertical="center"/>
    </xf>
    <xf numFmtId="0" fontId="3" fillId="0" borderId="0" xfId="0" applyFont="1"/>
    <xf numFmtId="0" fontId="3" fillId="6" borderId="3" xfId="0" applyFont="1" applyFill="1" applyBorder="1" applyAlignment="1">
      <alignment horizontal="center" vertical="center" wrapText="1"/>
    </xf>
    <xf numFmtId="0" fontId="2" fillId="9" borderId="3" xfId="0" applyFont="1" applyFill="1" applyBorder="1" applyAlignment="1">
      <alignment horizontal="center" vertical="center" wrapText="1"/>
    </xf>
    <xf numFmtId="0" fontId="2" fillId="10" borderId="3" xfId="0" applyFont="1" applyFill="1" applyBorder="1" applyAlignment="1">
      <alignment horizontal="center" vertical="center" wrapText="1"/>
    </xf>
    <xf numFmtId="0" fontId="3" fillId="11" borderId="3" xfId="0" applyFont="1" applyFill="1" applyBorder="1" applyAlignment="1">
      <alignment horizontal="center" vertical="center" wrapText="1"/>
    </xf>
    <xf numFmtId="0" fontId="8" fillId="13" borderId="3" xfId="0" applyFont="1" applyFill="1" applyBorder="1" applyAlignment="1">
      <alignment horizontal="center" vertical="center" wrapText="1"/>
    </xf>
    <xf numFmtId="0" fontId="3" fillId="6" borderId="4"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7" borderId="4"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0" fillId="0" borderId="0" xfId="0" applyAlignment="1">
      <alignment horizontal="center" wrapText="1"/>
    </xf>
    <xf numFmtId="1" fontId="0" fillId="15" borderId="3" xfId="0" applyNumberFormat="1" applyFill="1" applyBorder="1" applyAlignment="1">
      <alignment horizontal="center" vertical="top"/>
    </xf>
    <xf numFmtId="1" fontId="0" fillId="15" borderId="3" xfId="0" applyNumberFormat="1" applyFill="1" applyBorder="1" applyAlignment="1">
      <alignment horizontal="center" vertical="top" wrapText="1"/>
    </xf>
    <xf numFmtId="0" fontId="0" fillId="15" borderId="3" xfId="0" applyFill="1" applyBorder="1" applyAlignment="1">
      <alignment horizontal="center" vertical="top"/>
    </xf>
    <xf numFmtId="0" fontId="0" fillId="15" borderId="3" xfId="0" applyFill="1" applyBorder="1" applyAlignment="1">
      <alignment horizontal="left" vertical="top" wrapText="1"/>
    </xf>
    <xf numFmtId="0" fontId="0" fillId="15" borderId="3" xfId="0" applyFill="1" applyBorder="1" applyAlignment="1">
      <alignment horizontal="left" vertical="top"/>
    </xf>
    <xf numFmtId="1" fontId="0" fillId="0" borderId="3" xfId="0" applyNumberFormat="1" applyBorder="1" applyAlignment="1">
      <alignment horizontal="left" vertical="top"/>
    </xf>
    <xf numFmtId="0" fontId="0" fillId="0" borderId="3" xfId="0" applyBorder="1" applyAlignment="1">
      <alignment horizontal="center" vertical="top" wrapText="1"/>
    </xf>
    <xf numFmtId="14" fontId="0" fillId="0" borderId="3" xfId="0" applyNumberFormat="1" applyBorder="1" applyAlignment="1">
      <alignment horizontal="center" vertical="top"/>
    </xf>
    <xf numFmtId="0" fontId="0" fillId="0" borderId="3" xfId="0" applyBorder="1" applyAlignment="1">
      <alignment horizontal="center" vertical="top"/>
    </xf>
    <xf numFmtId="1" fontId="0" fillId="0" borderId="3" xfId="0" applyNumberFormat="1" applyBorder="1" applyAlignment="1">
      <alignment horizontal="center" vertical="top"/>
    </xf>
    <xf numFmtId="0" fontId="0" fillId="0" borderId="0" xfId="0" applyAlignment="1">
      <alignment vertical="top"/>
    </xf>
    <xf numFmtId="0" fontId="0" fillId="0" borderId="3" xfId="0" applyBorder="1" applyAlignment="1">
      <alignment vertical="top"/>
    </xf>
    <xf numFmtId="0" fontId="0" fillId="0" borderId="3" xfId="1" applyNumberFormat="1" applyFont="1" applyBorder="1" applyAlignment="1">
      <alignment horizontal="center" vertical="top"/>
    </xf>
    <xf numFmtId="0" fontId="0" fillId="0" borderId="3" xfId="0" applyBorder="1" applyAlignment="1">
      <alignment horizontal="left" vertical="top"/>
    </xf>
    <xf numFmtId="2" fontId="0" fillId="0" borderId="3" xfId="0" applyNumberFormat="1" applyBorder="1" applyAlignment="1">
      <alignment horizontal="center" vertical="top"/>
    </xf>
    <xf numFmtId="0" fontId="0" fillId="0" borderId="0" xfId="0" applyAlignment="1">
      <alignment wrapText="1"/>
    </xf>
    <xf numFmtId="0" fontId="0" fillId="0" borderId="0" xfId="0" applyAlignment="1">
      <alignment horizontal="left"/>
    </xf>
    <xf numFmtId="0" fontId="9" fillId="16" borderId="1" xfId="2" applyFont="1" applyFill="1" applyBorder="1" applyAlignment="1">
      <alignment horizontal="center" vertical="center" wrapText="1"/>
    </xf>
    <xf numFmtId="0" fontId="9" fillId="17" borderId="1" xfId="2" applyFont="1" applyFill="1" applyBorder="1" applyAlignment="1">
      <alignment horizontal="center" vertical="center" wrapText="1"/>
    </xf>
    <xf numFmtId="0" fontId="1" fillId="0" borderId="0" xfId="2"/>
    <xf numFmtId="0" fontId="10" fillId="0" borderId="1" xfId="2" applyFont="1" applyBorder="1" applyAlignment="1">
      <alignment horizontal="center" vertical="center"/>
    </xf>
    <xf numFmtId="0" fontId="10" fillId="0" borderId="1" xfId="2" applyFont="1" applyBorder="1"/>
    <xf numFmtId="9" fontId="10" fillId="0" borderId="1" xfId="2" applyNumberFormat="1" applyFont="1" applyBorder="1"/>
    <xf numFmtId="2" fontId="10" fillId="0" borderId="1" xfId="2" applyNumberFormat="1" applyFont="1" applyBorder="1"/>
    <xf numFmtId="166" fontId="10" fillId="0" borderId="0" xfId="2" applyNumberFormat="1" applyFont="1"/>
    <xf numFmtId="0" fontId="10" fillId="0" borderId="0" xfId="2" applyFont="1"/>
    <xf numFmtId="0" fontId="9" fillId="16" borderId="1" xfId="3" applyFont="1" applyFill="1" applyBorder="1" applyAlignment="1">
      <alignment horizontal="center" vertical="center"/>
    </xf>
    <xf numFmtId="0" fontId="10" fillId="0" borderId="0" xfId="3" applyFont="1"/>
    <xf numFmtId="0" fontId="1" fillId="0" borderId="0" xfId="3"/>
    <xf numFmtId="0" fontId="10" fillId="0" borderId="1" xfId="3" applyFont="1" applyBorder="1" applyAlignment="1">
      <alignment horizontal="center" vertical="center"/>
    </xf>
    <xf numFmtId="0" fontId="10" fillId="0" borderId="1" xfId="3" applyFont="1" applyBorder="1" applyAlignment="1">
      <alignment vertical="center"/>
    </xf>
    <xf numFmtId="14" fontId="10" fillId="0" borderId="1" xfId="3" applyNumberFormat="1" applyFont="1" applyBorder="1" applyAlignment="1">
      <alignment vertical="center"/>
    </xf>
    <xf numFmtId="166" fontId="10" fillId="0" borderId="1" xfId="3" applyNumberFormat="1" applyFont="1" applyBorder="1" applyAlignment="1">
      <alignment vertical="center"/>
    </xf>
    <xf numFmtId="0" fontId="10" fillId="0" borderId="1" xfId="3" applyFont="1" applyBorder="1" applyAlignment="1">
      <alignment vertical="center" wrapText="1"/>
    </xf>
    <xf numFmtId="0" fontId="10" fillId="0" borderId="0" xfId="3" applyFont="1" applyAlignment="1">
      <alignment vertical="center"/>
    </xf>
    <xf numFmtId="0" fontId="10" fillId="0" borderId="1" xfId="3" applyFont="1" applyBorder="1" applyAlignment="1">
      <alignment vertical="top" wrapText="1"/>
    </xf>
    <xf numFmtId="2" fontId="10" fillId="0" borderId="1" xfId="3" applyNumberFormat="1" applyFont="1" applyBorder="1" applyAlignment="1">
      <alignment vertical="center"/>
    </xf>
    <xf numFmtId="0" fontId="10" fillId="0" borderId="0" xfId="3" applyFont="1" applyAlignment="1">
      <alignment horizontal="center" vertical="center"/>
    </xf>
    <xf numFmtId="0" fontId="9" fillId="16" borderId="1" xfId="3" applyFont="1" applyFill="1" applyBorder="1" applyAlignment="1">
      <alignment horizontal="center" vertical="center" wrapText="1"/>
    </xf>
    <xf numFmtId="0" fontId="10" fillId="0" borderId="0" xfId="3" applyFont="1" applyAlignment="1">
      <alignment wrapText="1"/>
    </xf>
    <xf numFmtId="0" fontId="10" fillId="0" borderId="1" xfId="3" applyFont="1" applyBorder="1" applyAlignment="1">
      <alignment vertical="top"/>
    </xf>
    <xf numFmtId="0" fontId="10" fillId="0" borderId="1" xfId="3" applyFont="1" applyBorder="1"/>
    <xf numFmtId="9" fontId="10" fillId="0" borderId="1" xfId="3" applyNumberFormat="1" applyFont="1" applyBorder="1"/>
    <xf numFmtId="0" fontId="10" fillId="0" borderId="1" xfId="3" applyFont="1" applyBorder="1" applyAlignment="1">
      <alignment horizontal="center" wrapText="1"/>
    </xf>
    <xf numFmtId="0" fontId="10" fillId="0" borderId="1" xfId="3" applyFont="1" applyBorder="1" applyAlignment="1">
      <alignment wrapText="1"/>
    </xf>
    <xf numFmtId="9" fontId="10" fillId="0" borderId="1" xfId="3" applyNumberFormat="1" applyFont="1" applyBorder="1" applyAlignment="1">
      <alignment wrapText="1"/>
    </xf>
    <xf numFmtId="167" fontId="10" fillId="0" borderId="1" xfId="3" applyNumberFormat="1" applyFont="1" applyBorder="1" applyAlignment="1">
      <alignment wrapText="1"/>
    </xf>
    <xf numFmtId="9" fontId="10" fillId="0" borderId="1" xfId="1" applyFont="1" applyBorder="1" applyAlignment="1">
      <alignment wrapText="1"/>
    </xf>
    <xf numFmtId="1" fontId="10" fillId="0" borderId="1" xfId="3" applyNumberFormat="1" applyFont="1" applyBorder="1" applyAlignment="1">
      <alignment wrapText="1"/>
    </xf>
    <xf numFmtId="9" fontId="10" fillId="0" borderId="1" xfId="1" applyFont="1" applyFill="1" applyBorder="1" applyAlignment="1">
      <alignment wrapText="1"/>
    </xf>
    <xf numFmtId="0" fontId="10" fillId="0" borderId="0" xfId="3" applyFont="1" applyAlignment="1">
      <alignment vertical="top"/>
    </xf>
    <xf numFmtId="0" fontId="0" fillId="0" borderId="0" xfId="0" applyAlignment="1">
      <alignment horizontal="right"/>
    </xf>
    <xf numFmtId="0" fontId="0" fillId="0" borderId="8" xfId="0" applyBorder="1" applyAlignment="1">
      <alignment horizontal="right"/>
    </xf>
    <xf numFmtId="0" fontId="0" fillId="0" borderId="8" xfId="0" applyBorder="1"/>
    <xf numFmtId="0" fontId="11" fillId="2" borderId="8" xfId="0" applyFont="1" applyFill="1" applyBorder="1" applyAlignment="1">
      <alignment horizontal="right"/>
    </xf>
    <xf numFmtId="0" fontId="11" fillId="2" borderId="8" xfId="0" applyFont="1" applyFill="1" applyBorder="1"/>
    <xf numFmtId="0" fontId="3" fillId="18" borderId="0" xfId="0" applyFont="1" applyFill="1" applyAlignment="1">
      <alignment horizontal="center" vertical="center"/>
    </xf>
    <xf numFmtId="0" fontId="9" fillId="16" borderId="1" xfId="4" applyFont="1" applyFill="1" applyBorder="1" applyAlignment="1">
      <alignment horizontal="center" vertical="center" wrapText="1"/>
    </xf>
    <xf numFmtId="0" fontId="10" fillId="0" borderId="0" xfId="4" applyFont="1" applyAlignment="1">
      <alignment wrapText="1"/>
    </xf>
    <xf numFmtId="0" fontId="12" fillId="0" borderId="0" xfId="4"/>
    <xf numFmtId="9" fontId="10" fillId="0" borderId="1" xfId="4" applyNumberFormat="1" applyFont="1" applyBorder="1"/>
    <xf numFmtId="0" fontId="10" fillId="0" borderId="1" xfId="4" applyFont="1" applyBorder="1" applyAlignment="1">
      <alignment horizontal="center"/>
    </xf>
    <xf numFmtId="0" fontId="10" fillId="0" borderId="1" xfId="4" applyFont="1" applyBorder="1"/>
    <xf numFmtId="0" fontId="10" fillId="0" borderId="0" xfId="4" applyFont="1"/>
    <xf numFmtId="0" fontId="9" fillId="19" borderId="1" xfId="4" applyFont="1" applyFill="1" applyBorder="1" applyAlignment="1">
      <alignment horizontal="center" vertical="center" wrapText="1"/>
    </xf>
    <xf numFmtId="2" fontId="10" fillId="0" borderId="1" xfId="4" applyNumberFormat="1" applyFont="1" applyBorder="1"/>
    <xf numFmtId="10" fontId="10" fillId="0" borderId="1" xfId="4" applyNumberFormat="1" applyFont="1" applyBorder="1"/>
    <xf numFmtId="0" fontId="3" fillId="8" borderId="0" xfId="0" applyFont="1" applyFill="1" applyAlignment="1">
      <alignment horizontal="center" vertical="center"/>
    </xf>
    <xf numFmtId="0" fontId="2" fillId="8" borderId="3" xfId="0" applyFont="1" applyFill="1" applyBorder="1" applyAlignment="1">
      <alignment horizontal="center" vertical="center"/>
    </xf>
    <xf numFmtId="0" fontId="5" fillId="2" borderId="0" xfId="0" applyFont="1" applyFill="1" applyAlignment="1">
      <alignment horizontal="center" vertical="center"/>
    </xf>
    <xf numFmtId="0" fontId="5" fillId="2" borderId="2" xfId="0" applyFont="1" applyFill="1" applyBorder="1" applyAlignment="1">
      <alignment horizontal="center" vertical="center"/>
    </xf>
    <xf numFmtId="0" fontId="2" fillId="8" borderId="6" xfId="0" applyFont="1" applyFill="1" applyBorder="1" applyAlignment="1">
      <alignment horizontal="center" vertical="center"/>
    </xf>
    <xf numFmtId="0" fontId="3" fillId="11" borderId="4" xfId="0" applyFont="1" applyFill="1" applyBorder="1" applyAlignment="1">
      <alignment horizontal="center" vertical="center" wrapText="1"/>
    </xf>
    <xf numFmtId="0" fontId="3" fillId="12" borderId="4" xfId="0" applyFont="1" applyFill="1" applyBorder="1" applyAlignment="1">
      <alignment horizontal="center" vertical="center" wrapText="1"/>
    </xf>
    <xf numFmtId="0" fontId="2" fillId="14" borderId="5" xfId="0" applyFont="1" applyFill="1" applyBorder="1" applyAlignment="1">
      <alignment horizontal="center" vertical="center" wrapText="1"/>
    </xf>
    <xf numFmtId="0" fontId="0" fillId="0" borderId="3" xfId="0" applyBorder="1" applyAlignment="1">
      <alignment horizontal="left" vertical="top" wrapText="1"/>
    </xf>
    <xf numFmtId="0" fontId="9" fillId="20" borderId="1" xfId="3" applyFont="1" applyFill="1" applyBorder="1" applyAlignment="1">
      <alignment horizontal="center" vertical="top"/>
    </xf>
    <xf numFmtId="0" fontId="10" fillId="0" borderId="0" xfId="3" applyFont="1" applyAlignment="1">
      <alignment horizontal="center" vertical="top"/>
    </xf>
    <xf numFmtId="0" fontId="1" fillId="0" borderId="0" xfId="3" applyAlignment="1">
      <alignment vertical="top"/>
    </xf>
    <xf numFmtId="0" fontId="9" fillId="20" borderId="1" xfId="3" applyFont="1" applyFill="1" applyBorder="1" applyAlignment="1">
      <alignment horizontal="center" vertical="top" wrapText="1"/>
    </xf>
    <xf numFmtId="168" fontId="10" fillId="0" borderId="1" xfId="4" applyNumberFormat="1" applyFont="1" applyBorder="1" applyAlignment="1">
      <alignment horizontal="left" vertical="top" wrapText="1"/>
    </xf>
    <xf numFmtId="169" fontId="10" fillId="0" borderId="1" xfId="4" applyNumberFormat="1" applyFont="1" applyBorder="1" applyAlignment="1">
      <alignment horizontal="left" vertical="top" wrapText="1"/>
    </xf>
    <xf numFmtId="0" fontId="10" fillId="0" borderId="1" xfId="4" applyFont="1" applyBorder="1" applyAlignment="1">
      <alignment horizontal="left" vertical="top" wrapText="1"/>
    </xf>
    <xf numFmtId="164" fontId="10" fillId="0" borderId="1" xfId="4" applyNumberFormat="1" applyFont="1" applyBorder="1" applyAlignment="1">
      <alignment horizontal="left" vertical="top" wrapText="1"/>
    </xf>
    <xf numFmtId="0" fontId="10" fillId="0" borderId="0" xfId="4" applyFont="1" applyAlignment="1">
      <alignment horizontal="center"/>
    </xf>
    <xf numFmtId="0" fontId="10" fillId="0" borderId="0" xfId="4" applyFont="1" applyAlignment="1">
      <alignment horizontal="center" wrapText="1"/>
    </xf>
    <xf numFmtId="0" fontId="9" fillId="17" borderId="1" xfId="4" applyFont="1" applyFill="1" applyBorder="1" applyAlignment="1">
      <alignment horizontal="center" vertical="center" wrapText="1"/>
    </xf>
    <xf numFmtId="169" fontId="10" fillId="0" borderId="1" xfId="4" applyNumberFormat="1" applyFont="1" applyBorder="1"/>
    <xf numFmtId="165" fontId="10" fillId="0" borderId="1" xfId="4" applyNumberFormat="1" applyFont="1" applyBorder="1"/>
    <xf numFmtId="168" fontId="10" fillId="0" borderId="1" xfId="4" applyNumberFormat="1" applyFont="1" applyBorder="1"/>
    <xf numFmtId="170" fontId="10" fillId="0" borderId="1" xfId="4" applyNumberFormat="1" applyFont="1" applyBorder="1"/>
    <xf numFmtId="44" fontId="10" fillId="0" borderId="1" xfId="4" applyNumberFormat="1" applyFont="1" applyBorder="1"/>
    <xf numFmtId="0" fontId="0" fillId="12" borderId="0" xfId="0" applyFill="1"/>
    <xf numFmtId="14" fontId="0" fillId="0" borderId="0" xfId="0" applyNumberFormat="1"/>
    <xf numFmtId="0" fontId="11" fillId="2" borderId="3" xfId="0" applyFont="1" applyFill="1" applyBorder="1" applyAlignment="1">
      <alignment horizontal="center" vertical="center"/>
    </xf>
    <xf numFmtId="14" fontId="0" fillId="0" borderId="3" xfId="0" applyNumberFormat="1" applyBorder="1"/>
    <xf numFmtId="0" fontId="0" fillId="0" borderId="3" xfId="0" applyBorder="1"/>
    <xf numFmtId="0" fontId="11" fillId="2" borderId="17" xfId="0" applyFont="1" applyFill="1" applyBorder="1" applyAlignment="1">
      <alignment horizontal="center" vertical="center"/>
    </xf>
    <xf numFmtId="0" fontId="9" fillId="16" borderId="9" xfId="6" applyFont="1" applyFill="1" applyBorder="1" applyAlignment="1">
      <alignment horizontal="center" vertical="center" wrapText="1"/>
    </xf>
    <xf numFmtId="14" fontId="9" fillId="16" borderId="9" xfId="6" applyNumberFormat="1" applyFont="1" applyFill="1" applyBorder="1" applyAlignment="1">
      <alignment horizontal="center" vertical="center" wrapText="1"/>
    </xf>
    <xf numFmtId="0" fontId="9" fillId="16" borderId="10" xfId="6" applyFont="1" applyFill="1" applyBorder="1" applyAlignment="1">
      <alignment horizontal="center" vertical="center" wrapText="1"/>
    </xf>
    <xf numFmtId="0" fontId="9" fillId="16" borderId="1" xfId="6" applyFont="1" applyFill="1" applyBorder="1" applyAlignment="1">
      <alignment horizontal="center" vertical="center" wrapText="1"/>
    </xf>
    <xf numFmtId="0" fontId="10" fillId="0" borderId="0" xfId="6" applyFont="1" applyAlignment="1">
      <alignment wrapText="1"/>
    </xf>
    <xf numFmtId="0" fontId="14" fillId="0" borderId="0" xfId="6"/>
    <xf numFmtId="0" fontId="10" fillId="0" borderId="1" xfId="6" applyFont="1" applyBorder="1" applyAlignment="1">
      <alignment horizontal="center" vertical="center"/>
    </xf>
    <xf numFmtId="0" fontId="10" fillId="0" borderId="11" xfId="6" applyFont="1" applyBorder="1"/>
    <xf numFmtId="9" fontId="10" fillId="0" borderId="1" xfId="6" applyNumberFormat="1" applyFont="1" applyBorder="1"/>
    <xf numFmtId="14" fontId="10" fillId="0" borderId="12" xfId="6" applyNumberFormat="1" applyFont="1" applyBorder="1" applyAlignment="1">
      <alignment horizontal="center"/>
    </xf>
    <xf numFmtId="14" fontId="10" fillId="0" borderId="1" xfId="6" applyNumberFormat="1" applyFont="1" applyBorder="1" applyAlignment="1">
      <alignment horizontal="center"/>
    </xf>
    <xf numFmtId="0" fontId="10" fillId="0" borderId="0" xfId="6" applyFont="1"/>
    <xf numFmtId="0" fontId="10" fillId="0" borderId="11" xfId="6" applyFont="1" applyBorder="1" applyAlignment="1">
      <alignment wrapText="1"/>
    </xf>
    <xf numFmtId="0" fontId="10" fillId="0" borderId="13" xfId="6" applyFont="1" applyBorder="1" applyAlignment="1">
      <alignment horizontal="center" vertical="center"/>
    </xf>
    <xf numFmtId="14" fontId="10" fillId="0" borderId="14" xfId="6" applyNumberFormat="1" applyFont="1" applyBorder="1" applyAlignment="1">
      <alignment horizontal="center"/>
    </xf>
    <xf numFmtId="14" fontId="10" fillId="0" borderId="15" xfId="6" applyNumberFormat="1" applyFont="1" applyBorder="1" applyAlignment="1">
      <alignment horizontal="center"/>
    </xf>
    <xf numFmtId="9" fontId="10" fillId="0" borderId="15" xfId="6" applyNumberFormat="1" applyFont="1" applyBorder="1"/>
    <xf numFmtId="9" fontId="10" fillId="0" borderId="13" xfId="6" applyNumberFormat="1" applyFont="1" applyBorder="1"/>
    <xf numFmtId="0" fontId="10" fillId="0" borderId="16" xfId="6" applyFont="1" applyBorder="1"/>
    <xf numFmtId="9" fontId="10" fillId="0" borderId="11" xfId="6" applyNumberFormat="1" applyFont="1" applyBorder="1"/>
    <xf numFmtId="0" fontId="10" fillId="0" borderId="1" xfId="6" applyFont="1" applyBorder="1" applyAlignment="1">
      <alignment horizontal="center" wrapText="1"/>
    </xf>
    <xf numFmtId="0" fontId="10" fillId="0" borderId="1" xfId="6" applyFont="1" applyBorder="1" applyAlignment="1">
      <alignment wrapText="1"/>
    </xf>
    <xf numFmtId="9" fontId="10" fillId="0" borderId="1" xfId="6" applyNumberFormat="1" applyFont="1" applyBorder="1" applyAlignment="1">
      <alignment wrapText="1"/>
    </xf>
    <xf numFmtId="14" fontId="10" fillId="0" borderId="1" xfId="6" applyNumberFormat="1" applyFont="1" applyBorder="1" applyAlignment="1">
      <alignment horizontal="center" wrapText="1"/>
    </xf>
    <xf numFmtId="0" fontId="10" fillId="0" borderId="0" xfId="6" applyFont="1" applyAlignment="1">
      <alignment horizontal="center" vertical="center"/>
    </xf>
    <xf numFmtId="14" fontId="10" fillId="0" borderId="0" xfId="6" applyNumberFormat="1" applyFont="1" applyAlignment="1">
      <alignment horizontal="center" vertical="center"/>
    </xf>
    <xf numFmtId="14" fontId="10" fillId="0" borderId="0" xfId="6" applyNumberFormat="1" applyFont="1"/>
    <xf numFmtId="14" fontId="14" fillId="0" borderId="0" xfId="6" applyNumberFormat="1"/>
    <xf numFmtId="0" fontId="11" fillId="2" borderId="0" xfId="0" applyFont="1" applyFill="1" applyAlignment="1">
      <alignment horizontal="center"/>
    </xf>
    <xf numFmtId="0" fontId="7" fillId="7" borderId="0" xfId="0" applyFont="1" applyFill="1" applyAlignment="1">
      <alignment horizontal="center" vertical="center"/>
    </xf>
    <xf numFmtId="0" fontId="2" fillId="8" borderId="3" xfId="0" applyFont="1" applyFill="1" applyBorder="1" applyAlignment="1">
      <alignment horizontal="center" vertical="center"/>
    </xf>
    <xf numFmtId="0" fontId="2" fillId="8" borderId="4" xfId="0" applyFont="1" applyFill="1" applyBorder="1" applyAlignment="1">
      <alignment horizontal="center" vertical="center"/>
    </xf>
    <xf numFmtId="0" fontId="2" fillId="8" borderId="5" xfId="0" applyFont="1" applyFill="1" applyBorder="1" applyAlignment="1">
      <alignment horizontal="center" vertical="center"/>
    </xf>
    <xf numFmtId="0" fontId="2" fillId="8" borderId="6" xfId="0" applyFont="1" applyFill="1" applyBorder="1" applyAlignment="1">
      <alignment horizontal="center" vertical="center"/>
    </xf>
    <xf numFmtId="0" fontId="2" fillId="8" borderId="7" xfId="0" applyFont="1" applyFill="1" applyBorder="1" applyAlignment="1">
      <alignment horizontal="center" vertical="center"/>
    </xf>
    <xf numFmtId="0" fontId="4" fillId="2" borderId="0" xfId="0" applyFont="1" applyFill="1" applyAlignment="1">
      <alignment horizontal="center" vertical="center" wrapText="1"/>
    </xf>
    <xf numFmtId="0" fontId="4" fillId="2" borderId="2" xfId="0" applyFont="1" applyFill="1" applyBorder="1" applyAlignment="1">
      <alignment horizontal="center" vertical="center" wrapText="1"/>
    </xf>
    <xf numFmtId="0" fontId="5" fillId="3" borderId="0" xfId="0" applyFont="1" applyFill="1" applyAlignment="1">
      <alignment horizontal="center" vertical="center"/>
    </xf>
    <xf numFmtId="0" fontId="5" fillId="3" borderId="2" xfId="0" applyFont="1" applyFill="1" applyBorder="1" applyAlignment="1">
      <alignment horizontal="center" vertical="center"/>
    </xf>
    <xf numFmtId="0" fontId="5" fillId="2" borderId="0" xfId="0" applyFont="1" applyFill="1" applyAlignment="1">
      <alignment horizontal="center" vertical="center"/>
    </xf>
    <xf numFmtId="0" fontId="5" fillId="2" borderId="2" xfId="0" applyFont="1" applyFill="1" applyBorder="1" applyAlignment="1">
      <alignment horizontal="center" vertical="center"/>
    </xf>
    <xf numFmtId="0" fontId="6" fillId="4" borderId="2" xfId="0" applyFont="1" applyFill="1" applyBorder="1" applyAlignment="1">
      <alignment horizontal="center" vertical="center"/>
    </xf>
    <xf numFmtId="0" fontId="6" fillId="5" borderId="0" xfId="0" applyFont="1" applyFill="1" applyAlignment="1">
      <alignment horizontal="center" vertical="center" wrapText="1"/>
    </xf>
    <xf numFmtId="0" fontId="7" fillId="6" borderId="0" xfId="0" applyFont="1" applyFill="1" applyAlignment="1">
      <alignment horizontal="center" vertical="center"/>
    </xf>
  </cellXfs>
  <cellStyles count="7">
    <cellStyle name="Normal" xfId="0" builtinId="0"/>
    <cellStyle name="Normal 2" xfId="3" xr:uid="{00000000-0005-0000-0000-000001000000}"/>
    <cellStyle name="Normal 3" xfId="2" xr:uid="{00000000-0005-0000-0000-000002000000}"/>
    <cellStyle name="Normal 4" xfId="4" xr:uid="{00000000-0005-0000-0000-000003000000}"/>
    <cellStyle name="Normal 4 2" xfId="6" xr:uid="{FC7836D2-8F5F-42AA-8A40-154B17939408}"/>
    <cellStyle name="Normal 5" xfId="5" xr:uid="{00000000-0005-0000-0000-000004000000}"/>
    <cellStyle name="Porcentaje" xfId="1" builtinId="5"/>
  </cellStyles>
  <dxfs count="2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patternFill>
      </fill>
    </dxf>
    <dxf>
      <fill>
        <patternFill>
          <bgColor rgb="FF00B050"/>
        </patternFill>
      </fill>
    </dxf>
    <dxf>
      <font>
        <color rgb="FFFF0000"/>
      </font>
      <fill>
        <patternFill>
          <bgColor theme="0"/>
        </patternFill>
      </fill>
    </dxf>
    <dxf>
      <fill>
        <patternFill>
          <bgColor rgb="FF00B050"/>
        </patternFill>
      </fill>
    </dxf>
    <dxf>
      <fill>
        <patternFill>
          <bgColor rgb="FFFFFF00"/>
        </patternFill>
      </fill>
    </dxf>
    <dxf>
      <font>
        <color rgb="FFFF0000"/>
      </font>
      <fill>
        <patternFill>
          <bgColor theme="0"/>
        </patternFill>
      </fill>
    </dxf>
    <dxf>
      <fill>
        <patternFill>
          <bgColor rgb="FF00B050"/>
        </patternFill>
      </fill>
    </dxf>
    <dxf>
      <fill>
        <patternFill>
          <bgColor rgb="FFFFFF00"/>
        </patternFill>
      </fill>
    </dxf>
    <dxf>
      <font>
        <color rgb="FFFF0000"/>
      </font>
      <fill>
        <patternFill>
          <bgColor theme="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Unidades%20compartidas\SEGUIMIENTO%20PLANES%20ESTRAT&#201;GICOS%20UDEA\RESPALDOS\0_Respaldo_Seguimientos_PAI\BASE%20DE%20DATOS\Base_Datos_PAI_Proyectos_09sep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s"/>
      <sheetName val="Documentos"/>
      <sheetName val="Proyectos"/>
      <sheetName val="Reporte_Proyectos"/>
      <sheetName val="Indicadores"/>
      <sheetName val="Reporte_Indicadores"/>
      <sheetName val="Objetivos_Específicos"/>
      <sheetName val="Reporte_Objetivos_Específicos"/>
      <sheetName val="Entregables"/>
      <sheetName val="Reporte_Entregables"/>
      <sheetName val="Presupuesto"/>
      <sheetName val="Reporte_Presupuesto"/>
      <sheetName val="Reporte_Cualitativ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C2" t="str">
            <v>01O1E1</v>
          </cell>
          <cell r="E2">
            <v>0.5</v>
          </cell>
        </row>
        <row r="3">
          <cell r="C3" t="str">
            <v>01O1E2</v>
          </cell>
          <cell r="E3">
            <v>0.5</v>
          </cell>
        </row>
        <row r="4">
          <cell r="C4" t="str">
            <v>01O2E1</v>
          </cell>
          <cell r="E4">
            <v>1</v>
          </cell>
        </row>
        <row r="5">
          <cell r="C5" t="str">
            <v>02O1E1</v>
          </cell>
          <cell r="E5">
            <v>1</v>
          </cell>
        </row>
        <row r="6">
          <cell r="C6" t="str">
            <v>02O2E1</v>
          </cell>
          <cell r="E6">
            <v>0.5</v>
          </cell>
        </row>
        <row r="7">
          <cell r="C7" t="str">
            <v>02O2E2</v>
          </cell>
          <cell r="E7">
            <v>0.15000000596046448</v>
          </cell>
        </row>
        <row r="8">
          <cell r="C8" t="str">
            <v>02O2E3</v>
          </cell>
          <cell r="E8">
            <v>0.20000000298023224</v>
          </cell>
        </row>
        <row r="9">
          <cell r="C9" t="str">
            <v>02O2E4</v>
          </cell>
          <cell r="E9">
            <v>0.15000000596046448</v>
          </cell>
        </row>
        <row r="10">
          <cell r="C10" t="str">
            <v>02O3E1</v>
          </cell>
          <cell r="E10">
            <v>0.5</v>
          </cell>
        </row>
        <row r="11">
          <cell r="C11" t="str">
            <v>02O3E2</v>
          </cell>
          <cell r="E11">
            <v>0.5</v>
          </cell>
        </row>
        <row r="12">
          <cell r="C12" t="str">
            <v>02O4E1</v>
          </cell>
          <cell r="E12">
            <v>1</v>
          </cell>
        </row>
        <row r="13">
          <cell r="C13" t="str">
            <v>04O1E1</v>
          </cell>
          <cell r="E13">
            <v>0.34000000357627869</v>
          </cell>
        </row>
        <row r="14">
          <cell r="C14" t="str">
            <v>04O1E2</v>
          </cell>
          <cell r="E14">
            <v>0.34000000357627869</v>
          </cell>
        </row>
        <row r="15">
          <cell r="C15" t="str">
            <v>04O1E3</v>
          </cell>
          <cell r="E15">
            <v>0.31999999284744263</v>
          </cell>
        </row>
        <row r="16">
          <cell r="C16" t="str">
            <v>04O2E1</v>
          </cell>
          <cell r="E16">
            <v>0.5</v>
          </cell>
        </row>
        <row r="17">
          <cell r="C17" t="str">
            <v>04O2E2</v>
          </cell>
          <cell r="E17">
            <v>0.25</v>
          </cell>
        </row>
        <row r="18">
          <cell r="C18" t="str">
            <v>04O2E3</v>
          </cell>
          <cell r="E18">
            <v>0.25</v>
          </cell>
        </row>
        <row r="19">
          <cell r="C19" t="str">
            <v>04O3E1</v>
          </cell>
          <cell r="E19">
            <v>0.5</v>
          </cell>
        </row>
        <row r="20">
          <cell r="C20" t="str">
            <v>04O3E2</v>
          </cell>
          <cell r="E20">
            <v>0.5</v>
          </cell>
        </row>
        <row r="21">
          <cell r="C21" t="str">
            <v>04O4E1</v>
          </cell>
          <cell r="E21">
            <v>0.5</v>
          </cell>
        </row>
        <row r="22">
          <cell r="C22" t="str">
            <v>04O4E2</v>
          </cell>
          <cell r="E22">
            <v>0.5</v>
          </cell>
        </row>
        <row r="23">
          <cell r="C23" t="str">
            <v>05O1E1</v>
          </cell>
          <cell r="E23">
            <v>0.20000000298023224</v>
          </cell>
        </row>
        <row r="24">
          <cell r="C24" t="str">
            <v>05O1E2</v>
          </cell>
          <cell r="E24">
            <v>0.20000000298023224</v>
          </cell>
        </row>
        <row r="25">
          <cell r="C25" t="str">
            <v>05O1E3</v>
          </cell>
          <cell r="E25">
            <v>0.20000000298023224</v>
          </cell>
        </row>
        <row r="26">
          <cell r="C26" t="str">
            <v>05O1E4</v>
          </cell>
          <cell r="E26">
            <v>0.20000000298023224</v>
          </cell>
        </row>
        <row r="27">
          <cell r="C27" t="str">
            <v>05O1E5</v>
          </cell>
          <cell r="E27">
            <v>0.20000000298023224</v>
          </cell>
        </row>
        <row r="28">
          <cell r="C28" t="str">
            <v>05O2E1</v>
          </cell>
          <cell r="E28">
            <v>0.20000000298023224</v>
          </cell>
        </row>
        <row r="29">
          <cell r="C29" t="str">
            <v>05O2E2</v>
          </cell>
          <cell r="E29">
            <v>0.20000000298023224</v>
          </cell>
        </row>
        <row r="30">
          <cell r="C30" t="str">
            <v>05O2E3</v>
          </cell>
          <cell r="E30">
            <v>0.20000000298023224</v>
          </cell>
        </row>
        <row r="31">
          <cell r="C31" t="str">
            <v>05O2E4</v>
          </cell>
          <cell r="E31">
            <v>0.20000000298023224</v>
          </cell>
        </row>
        <row r="32">
          <cell r="C32" t="str">
            <v>05O2E5</v>
          </cell>
          <cell r="E32">
            <v>0.20000000298023224</v>
          </cell>
        </row>
        <row r="33">
          <cell r="C33" t="str">
            <v>06O1E1</v>
          </cell>
          <cell r="E33">
            <v>0.40000000596046448</v>
          </cell>
        </row>
        <row r="34">
          <cell r="C34" t="str">
            <v>06O1E2</v>
          </cell>
          <cell r="E34">
            <v>0.40000000596046448</v>
          </cell>
        </row>
        <row r="35">
          <cell r="C35" t="str">
            <v>06O1E3</v>
          </cell>
          <cell r="E35">
            <v>0.10000000149011612</v>
          </cell>
        </row>
        <row r="36">
          <cell r="C36" t="str">
            <v>06O1E4</v>
          </cell>
          <cell r="E36">
            <v>0.10000000149011612</v>
          </cell>
        </row>
        <row r="37">
          <cell r="C37" t="str">
            <v>06O2E1</v>
          </cell>
          <cell r="E37">
            <v>0.40000000596046448</v>
          </cell>
        </row>
        <row r="38">
          <cell r="C38" t="str">
            <v>06O2E2</v>
          </cell>
          <cell r="E38">
            <v>0.30000001192092896</v>
          </cell>
        </row>
        <row r="39">
          <cell r="C39" t="str">
            <v>06O2E3</v>
          </cell>
          <cell r="E39">
            <v>0.30000001192092896</v>
          </cell>
        </row>
        <row r="40">
          <cell r="C40" t="str">
            <v>06O3E1</v>
          </cell>
          <cell r="E40">
            <v>0.69999998807907104</v>
          </cell>
        </row>
        <row r="41">
          <cell r="C41" t="str">
            <v>06O3E2</v>
          </cell>
          <cell r="E41">
            <v>0.30000001192092896</v>
          </cell>
        </row>
        <row r="42">
          <cell r="C42" t="str">
            <v>06O4E1</v>
          </cell>
          <cell r="E42">
            <v>0.69999998807907104</v>
          </cell>
        </row>
        <row r="43">
          <cell r="C43" t="str">
            <v>06O4E2</v>
          </cell>
          <cell r="E43">
            <v>0.30000001192092896</v>
          </cell>
        </row>
        <row r="44">
          <cell r="C44" t="str">
            <v>07O1E1</v>
          </cell>
          <cell r="E44">
            <v>0.5</v>
          </cell>
        </row>
        <row r="45">
          <cell r="C45" t="str">
            <v>07O1E2</v>
          </cell>
          <cell r="E45">
            <v>0.5</v>
          </cell>
        </row>
        <row r="46">
          <cell r="C46" t="str">
            <v>07O2E1</v>
          </cell>
          <cell r="E46">
            <v>0.40000000596046448</v>
          </cell>
        </row>
        <row r="47">
          <cell r="C47" t="str">
            <v>07O2E2</v>
          </cell>
          <cell r="E47">
            <v>0.30000001192092896</v>
          </cell>
        </row>
        <row r="48">
          <cell r="C48" t="str">
            <v>07O2E3</v>
          </cell>
          <cell r="E48">
            <v>0.30000001192092896</v>
          </cell>
        </row>
        <row r="49">
          <cell r="C49" t="str">
            <v>08O1E1</v>
          </cell>
          <cell r="E49">
            <v>0.40000000596046448</v>
          </cell>
        </row>
        <row r="50">
          <cell r="C50" t="str">
            <v>08O1E2</v>
          </cell>
          <cell r="E50">
            <v>0.60000002384185791</v>
          </cell>
        </row>
        <row r="51">
          <cell r="C51" t="str">
            <v>08O2E1</v>
          </cell>
          <cell r="E51">
            <v>1</v>
          </cell>
        </row>
        <row r="52">
          <cell r="C52" t="str">
            <v>38O1E1</v>
          </cell>
          <cell r="E52">
            <v>0.30000001192092896</v>
          </cell>
        </row>
        <row r="53">
          <cell r="C53" t="str">
            <v>38O1E2</v>
          </cell>
          <cell r="E53">
            <v>0.69999998807907104</v>
          </cell>
        </row>
        <row r="54">
          <cell r="C54" t="str">
            <v>38O2E1</v>
          </cell>
          <cell r="E54">
            <v>1</v>
          </cell>
        </row>
        <row r="55">
          <cell r="C55" t="str">
            <v>38O3E1</v>
          </cell>
          <cell r="E55">
            <v>0.5</v>
          </cell>
        </row>
        <row r="56">
          <cell r="C56" t="str">
            <v>38O3E2</v>
          </cell>
          <cell r="E56">
            <v>0.5</v>
          </cell>
        </row>
        <row r="57">
          <cell r="C57" t="str">
            <v>38O4E1</v>
          </cell>
          <cell r="E57">
            <v>1</v>
          </cell>
        </row>
        <row r="58">
          <cell r="C58" t="str">
            <v>10O2E1</v>
          </cell>
          <cell r="E58">
            <v>1</v>
          </cell>
        </row>
        <row r="59">
          <cell r="C59" t="str">
            <v>11O1E1</v>
          </cell>
          <cell r="E59">
            <v>0.30000001192092896</v>
          </cell>
        </row>
        <row r="60">
          <cell r="C60" t="str">
            <v>11O1E2</v>
          </cell>
          <cell r="E60">
            <v>0.30000001192092896</v>
          </cell>
        </row>
        <row r="61">
          <cell r="C61" t="str">
            <v>11O1E3</v>
          </cell>
          <cell r="E61">
            <v>0.40000000596046448</v>
          </cell>
        </row>
        <row r="62">
          <cell r="C62" t="str">
            <v>11O2E1</v>
          </cell>
          <cell r="E62">
            <v>1</v>
          </cell>
        </row>
        <row r="63">
          <cell r="C63" t="str">
            <v>11O3E1</v>
          </cell>
          <cell r="E63">
            <v>0.5</v>
          </cell>
        </row>
        <row r="64">
          <cell r="C64" t="str">
            <v>11O3E2</v>
          </cell>
          <cell r="E64">
            <v>0.5</v>
          </cell>
        </row>
        <row r="65">
          <cell r="C65" t="str">
            <v>11O4E1</v>
          </cell>
          <cell r="E65">
            <v>0.60000002384185791</v>
          </cell>
        </row>
        <row r="66">
          <cell r="C66" t="str">
            <v>11O4E2</v>
          </cell>
          <cell r="E66">
            <v>0.30000001192092896</v>
          </cell>
        </row>
        <row r="67">
          <cell r="C67" t="str">
            <v>11O4E3</v>
          </cell>
          <cell r="E67">
            <v>0.10000000149011612</v>
          </cell>
        </row>
        <row r="68">
          <cell r="C68" t="str">
            <v>12O1E1</v>
          </cell>
          <cell r="E68">
            <v>0.69999998807907104</v>
          </cell>
        </row>
        <row r="69">
          <cell r="C69" t="str">
            <v>12O1E2</v>
          </cell>
          <cell r="E69">
            <v>0.30000001192092896</v>
          </cell>
        </row>
        <row r="70">
          <cell r="C70" t="str">
            <v>12O2E1</v>
          </cell>
          <cell r="E70">
            <v>1</v>
          </cell>
        </row>
        <row r="71">
          <cell r="C71" t="str">
            <v>12O3E1</v>
          </cell>
          <cell r="E71">
            <v>0.5</v>
          </cell>
        </row>
        <row r="72">
          <cell r="C72" t="str">
            <v>12O3E2</v>
          </cell>
          <cell r="E72">
            <v>0.5</v>
          </cell>
        </row>
        <row r="73">
          <cell r="C73" t="str">
            <v>13O1E1</v>
          </cell>
          <cell r="E73">
            <v>0.5</v>
          </cell>
        </row>
        <row r="74">
          <cell r="C74" t="str">
            <v>13O1E2</v>
          </cell>
          <cell r="E74">
            <v>0.25</v>
          </cell>
        </row>
        <row r="75">
          <cell r="C75" t="str">
            <v>13O1E3</v>
          </cell>
          <cell r="E75">
            <v>0.25</v>
          </cell>
        </row>
        <row r="76">
          <cell r="C76" t="str">
            <v>13O2E1</v>
          </cell>
          <cell r="E76">
            <v>0.60000002384185791</v>
          </cell>
        </row>
        <row r="77">
          <cell r="C77" t="str">
            <v>13O2E2</v>
          </cell>
          <cell r="E77">
            <v>0.20000000298023224</v>
          </cell>
        </row>
        <row r="78">
          <cell r="C78" t="str">
            <v>13O2E3</v>
          </cell>
          <cell r="E78">
            <v>0.20000000298023224</v>
          </cell>
        </row>
        <row r="79">
          <cell r="C79" t="str">
            <v>13O3E1</v>
          </cell>
          <cell r="E79">
            <v>0.40000000596046448</v>
          </cell>
        </row>
        <row r="80">
          <cell r="C80" t="str">
            <v>13O3E2</v>
          </cell>
          <cell r="E80">
            <v>0.60000002384185791</v>
          </cell>
        </row>
        <row r="81">
          <cell r="C81" t="str">
            <v>13O4E1</v>
          </cell>
          <cell r="E81">
            <v>0.75</v>
          </cell>
        </row>
        <row r="82">
          <cell r="C82" t="str">
            <v>13O4E2</v>
          </cell>
          <cell r="E82">
            <v>0.25</v>
          </cell>
        </row>
        <row r="83">
          <cell r="C83" t="str">
            <v>14O1E1</v>
          </cell>
          <cell r="E83">
            <v>0.40000000596046448</v>
          </cell>
        </row>
        <row r="84">
          <cell r="C84" t="str">
            <v>14O1E2</v>
          </cell>
          <cell r="E84">
            <v>0.30000001192092896</v>
          </cell>
        </row>
        <row r="85">
          <cell r="C85" t="str">
            <v>14O1E3</v>
          </cell>
          <cell r="E85">
            <v>0.30000001192092896</v>
          </cell>
        </row>
        <row r="86">
          <cell r="C86" t="str">
            <v>14O2E1</v>
          </cell>
          <cell r="E86">
            <v>0.40000000596046448</v>
          </cell>
        </row>
        <row r="87">
          <cell r="C87" t="str">
            <v>14O2E2</v>
          </cell>
          <cell r="E87">
            <v>0.60000002384185791</v>
          </cell>
        </row>
        <row r="88">
          <cell r="C88" t="str">
            <v>14O3E1</v>
          </cell>
          <cell r="E88">
            <v>0.40000000596046448</v>
          </cell>
        </row>
        <row r="89">
          <cell r="C89" t="str">
            <v>14O3E2</v>
          </cell>
          <cell r="E89">
            <v>0.60000002384185791</v>
          </cell>
        </row>
        <row r="90">
          <cell r="C90" t="str">
            <v>15O1E1</v>
          </cell>
          <cell r="E90">
            <v>0.40000000596046448</v>
          </cell>
        </row>
        <row r="91">
          <cell r="C91" t="str">
            <v>15O1E2</v>
          </cell>
          <cell r="E91">
            <v>0.60000002384185791</v>
          </cell>
        </row>
        <row r="92">
          <cell r="C92" t="str">
            <v>15O2E1</v>
          </cell>
          <cell r="E92">
            <v>0.60000002384185791</v>
          </cell>
        </row>
        <row r="93">
          <cell r="C93" t="str">
            <v>15O2E2</v>
          </cell>
          <cell r="E93">
            <v>0.40000000596046448</v>
          </cell>
        </row>
        <row r="94">
          <cell r="C94" t="str">
            <v>16O1E1</v>
          </cell>
          <cell r="E94">
            <v>0.60000002384185791</v>
          </cell>
        </row>
        <row r="95">
          <cell r="C95" t="str">
            <v>16O1E2</v>
          </cell>
          <cell r="E95">
            <v>0.20000000298023224</v>
          </cell>
        </row>
        <row r="96">
          <cell r="C96" t="str">
            <v>16O1E3</v>
          </cell>
          <cell r="E96">
            <v>0.10000000149011612</v>
          </cell>
        </row>
        <row r="97">
          <cell r="C97" t="str">
            <v>16O1E4</v>
          </cell>
          <cell r="E97">
            <v>0.10000000149011612</v>
          </cell>
        </row>
        <row r="98">
          <cell r="C98" t="str">
            <v>16O2E1</v>
          </cell>
          <cell r="E98">
            <v>1</v>
          </cell>
        </row>
        <row r="99">
          <cell r="C99" t="str">
            <v>17O1E1</v>
          </cell>
          <cell r="E99">
            <v>0.20000000298023224</v>
          </cell>
        </row>
        <row r="100">
          <cell r="C100" t="str">
            <v>17O1E2</v>
          </cell>
          <cell r="E100">
            <v>0.30000001192092896</v>
          </cell>
        </row>
        <row r="101">
          <cell r="C101" t="str">
            <v>17O1E3</v>
          </cell>
          <cell r="E101">
            <v>0.30000001192092896</v>
          </cell>
        </row>
        <row r="102">
          <cell r="C102" t="str">
            <v>17O1E4</v>
          </cell>
          <cell r="E102">
            <v>0.20000000298023224</v>
          </cell>
        </row>
        <row r="103">
          <cell r="C103" t="str">
            <v>17O2E1</v>
          </cell>
          <cell r="E103">
            <v>0.5</v>
          </cell>
        </row>
        <row r="104">
          <cell r="C104" t="str">
            <v>17O2E2</v>
          </cell>
          <cell r="E104">
            <v>0.20000000298023224</v>
          </cell>
        </row>
        <row r="105">
          <cell r="C105" t="str">
            <v>17O2E3</v>
          </cell>
          <cell r="E105">
            <v>0.30000001192092896</v>
          </cell>
        </row>
        <row r="106">
          <cell r="C106" t="str">
            <v>17O3E1</v>
          </cell>
          <cell r="E106">
            <v>0.40000000596046448</v>
          </cell>
        </row>
        <row r="107">
          <cell r="C107" t="str">
            <v>17O3E2</v>
          </cell>
          <cell r="E107">
            <v>0.30000001192092896</v>
          </cell>
        </row>
        <row r="108">
          <cell r="C108" t="str">
            <v>17O3E3</v>
          </cell>
          <cell r="E108">
            <v>0.20000000298023224</v>
          </cell>
        </row>
        <row r="109">
          <cell r="C109" t="str">
            <v>17O3E4</v>
          </cell>
          <cell r="E109">
            <v>0.10000000149011612</v>
          </cell>
        </row>
        <row r="110">
          <cell r="C110" t="str">
            <v>17O4E1</v>
          </cell>
          <cell r="E110">
            <v>0.30000001192092896</v>
          </cell>
        </row>
        <row r="111">
          <cell r="C111" t="str">
            <v>17O4E2</v>
          </cell>
          <cell r="E111">
            <v>0.5</v>
          </cell>
        </row>
        <row r="112">
          <cell r="C112" t="str">
            <v>17O4E3</v>
          </cell>
          <cell r="E112">
            <v>0.20000000298023224</v>
          </cell>
        </row>
        <row r="113">
          <cell r="C113" t="str">
            <v>18O1E1</v>
          </cell>
          <cell r="E113">
            <v>0.30000001192092896</v>
          </cell>
        </row>
        <row r="114">
          <cell r="C114" t="str">
            <v>18O1E2</v>
          </cell>
          <cell r="E114">
            <v>0.5</v>
          </cell>
        </row>
        <row r="115">
          <cell r="C115" t="str">
            <v>18O1E3</v>
          </cell>
          <cell r="E115">
            <v>0.20000000298023224</v>
          </cell>
        </row>
        <row r="116">
          <cell r="C116" t="str">
            <v>18O2E1</v>
          </cell>
          <cell r="E116">
            <v>0.25</v>
          </cell>
        </row>
        <row r="117">
          <cell r="C117" t="str">
            <v>18O2E2</v>
          </cell>
          <cell r="E117">
            <v>0.34999999403953552</v>
          </cell>
        </row>
        <row r="118">
          <cell r="C118" t="str">
            <v>18O2E3</v>
          </cell>
          <cell r="E118">
            <v>0.40000000596046448</v>
          </cell>
        </row>
        <row r="119">
          <cell r="C119" t="str">
            <v>19O1E1</v>
          </cell>
          <cell r="E119">
            <v>0.69999998807907104</v>
          </cell>
        </row>
        <row r="120">
          <cell r="C120" t="str">
            <v>19O1E2</v>
          </cell>
          <cell r="E120">
            <v>0.30000001192092896</v>
          </cell>
        </row>
        <row r="121">
          <cell r="C121" t="str">
            <v>19O2E1</v>
          </cell>
          <cell r="E121">
            <v>0.60000002384185791</v>
          </cell>
        </row>
        <row r="122">
          <cell r="C122" t="str">
            <v>19O2E2</v>
          </cell>
          <cell r="E122">
            <v>0.30000001192092896</v>
          </cell>
        </row>
        <row r="123">
          <cell r="C123" t="str">
            <v>19O2E3</v>
          </cell>
          <cell r="E123">
            <v>0.10000000149011612</v>
          </cell>
        </row>
        <row r="124">
          <cell r="C124" t="str">
            <v>19O3E1</v>
          </cell>
          <cell r="E124">
            <v>0.30000001192092896</v>
          </cell>
        </row>
        <row r="125">
          <cell r="C125" t="str">
            <v>19O3E2</v>
          </cell>
          <cell r="E125">
            <v>0.30000001192092896</v>
          </cell>
        </row>
        <row r="126">
          <cell r="C126" t="str">
            <v>19O3E3</v>
          </cell>
          <cell r="E126">
            <v>0.20000000298023224</v>
          </cell>
        </row>
        <row r="127">
          <cell r="C127" t="str">
            <v>19O3E4</v>
          </cell>
          <cell r="E127">
            <v>0.20000000298023224</v>
          </cell>
        </row>
        <row r="128">
          <cell r="C128" t="str">
            <v>19O4E1</v>
          </cell>
          <cell r="E128">
            <v>0.20000000298023224</v>
          </cell>
        </row>
        <row r="129">
          <cell r="C129" t="str">
            <v>19O4E2</v>
          </cell>
          <cell r="E129">
            <v>0.20000000298023224</v>
          </cell>
        </row>
        <row r="130">
          <cell r="C130" t="str">
            <v>19O4E3</v>
          </cell>
          <cell r="E130">
            <v>0.20000000298023224</v>
          </cell>
        </row>
        <row r="131">
          <cell r="C131" t="str">
            <v>19O4E4</v>
          </cell>
          <cell r="E131">
            <v>0.20000000298023224</v>
          </cell>
        </row>
        <row r="132">
          <cell r="C132" t="str">
            <v>19O4E5</v>
          </cell>
          <cell r="E132">
            <v>0.20000000298023224</v>
          </cell>
        </row>
        <row r="133">
          <cell r="C133" t="str">
            <v>20O1E1</v>
          </cell>
          <cell r="E133">
            <v>0.30000001192092896</v>
          </cell>
        </row>
        <row r="134">
          <cell r="C134" t="str">
            <v>20O1E2</v>
          </cell>
          <cell r="E134">
            <v>0.5</v>
          </cell>
        </row>
        <row r="135">
          <cell r="C135" t="str">
            <v>20O1E3</v>
          </cell>
          <cell r="E135">
            <v>0.20000000298023224</v>
          </cell>
        </row>
        <row r="136">
          <cell r="C136" t="str">
            <v>20O2E1</v>
          </cell>
          <cell r="E136">
            <v>0.5</v>
          </cell>
        </row>
        <row r="137">
          <cell r="C137" t="str">
            <v>20O2E2</v>
          </cell>
          <cell r="E137">
            <v>0.5</v>
          </cell>
        </row>
        <row r="138">
          <cell r="C138" t="str">
            <v>20O3E1</v>
          </cell>
          <cell r="E138">
            <v>0.69999998807907104</v>
          </cell>
        </row>
        <row r="139">
          <cell r="C139" t="str">
            <v>20O3E2</v>
          </cell>
          <cell r="E139">
            <v>0.30000001192092896</v>
          </cell>
        </row>
        <row r="140">
          <cell r="C140" t="str">
            <v>20O4E1</v>
          </cell>
          <cell r="E140">
            <v>0.20000000298023224</v>
          </cell>
        </row>
        <row r="141">
          <cell r="C141" t="str">
            <v>20O4E2</v>
          </cell>
          <cell r="E141">
            <v>0.60000002384185791</v>
          </cell>
        </row>
        <row r="142">
          <cell r="C142" t="str">
            <v>20O4E3</v>
          </cell>
          <cell r="E142">
            <v>0.10000000149011612</v>
          </cell>
        </row>
        <row r="143">
          <cell r="C143" t="str">
            <v>20O4E4</v>
          </cell>
          <cell r="E143">
            <v>0.10000000149011612</v>
          </cell>
        </row>
        <row r="144">
          <cell r="C144" t="str">
            <v>23O1E1</v>
          </cell>
          <cell r="E144">
            <v>0.30000001192092896</v>
          </cell>
        </row>
        <row r="145">
          <cell r="C145" t="str">
            <v>23O1E2</v>
          </cell>
          <cell r="E145">
            <v>0.30000001192092896</v>
          </cell>
        </row>
        <row r="146">
          <cell r="C146" t="str">
            <v>23O1E3</v>
          </cell>
          <cell r="E146">
            <v>0.40000000596046448</v>
          </cell>
        </row>
        <row r="147">
          <cell r="C147" t="str">
            <v>23O2E1</v>
          </cell>
          <cell r="E147">
            <v>1</v>
          </cell>
        </row>
        <row r="148">
          <cell r="C148" t="str">
            <v>24O1E1</v>
          </cell>
          <cell r="E148">
            <v>0.34999999403953552</v>
          </cell>
        </row>
        <row r="149">
          <cell r="C149" t="str">
            <v>24O1E2</v>
          </cell>
          <cell r="E149">
            <v>0.10000000149011612</v>
          </cell>
        </row>
        <row r="150">
          <cell r="C150" t="str">
            <v>24O1E3</v>
          </cell>
          <cell r="E150">
            <v>0.25</v>
          </cell>
        </row>
        <row r="151">
          <cell r="C151" t="str">
            <v>24O1E4</v>
          </cell>
          <cell r="E151">
            <v>0.25</v>
          </cell>
        </row>
        <row r="152">
          <cell r="C152" t="str">
            <v>24O1E5</v>
          </cell>
          <cell r="E152">
            <v>5.000000074505806E-2</v>
          </cell>
        </row>
        <row r="153">
          <cell r="C153" t="str">
            <v>24O2E1</v>
          </cell>
          <cell r="E153">
            <v>0.15000000596046448</v>
          </cell>
        </row>
        <row r="154">
          <cell r="C154" t="str">
            <v>24O2E2</v>
          </cell>
          <cell r="E154">
            <v>0.60000002384185791</v>
          </cell>
        </row>
        <row r="155">
          <cell r="C155" t="str">
            <v>24O2E3</v>
          </cell>
          <cell r="E155">
            <v>0.15000000596046448</v>
          </cell>
        </row>
        <row r="156">
          <cell r="C156" t="str">
            <v>24O2E4</v>
          </cell>
          <cell r="E156">
            <v>0.10000000149011612</v>
          </cell>
        </row>
        <row r="157">
          <cell r="C157" t="str">
            <v>24O3E1</v>
          </cell>
          <cell r="E157">
            <v>0.40000000596046448</v>
          </cell>
        </row>
        <row r="158">
          <cell r="C158" t="str">
            <v>24O3E2</v>
          </cell>
          <cell r="E158">
            <v>0.20000000298023224</v>
          </cell>
        </row>
        <row r="159">
          <cell r="C159" t="str">
            <v>24O3E3</v>
          </cell>
          <cell r="E159">
            <v>0.40000000596046448</v>
          </cell>
        </row>
        <row r="160">
          <cell r="C160" t="str">
            <v>25O1E1</v>
          </cell>
          <cell r="E160">
            <v>0.69999998807907104</v>
          </cell>
        </row>
        <row r="161">
          <cell r="C161" t="str">
            <v>25O1E2</v>
          </cell>
          <cell r="E161">
            <v>0.30000001192092896</v>
          </cell>
        </row>
        <row r="162">
          <cell r="C162" t="str">
            <v>25O2E1</v>
          </cell>
          <cell r="E162">
            <v>0.60000002384185791</v>
          </cell>
        </row>
        <row r="163">
          <cell r="C163" t="str">
            <v>25O2E2</v>
          </cell>
          <cell r="E163">
            <v>0.20000000298023224</v>
          </cell>
        </row>
        <row r="164">
          <cell r="C164" t="str">
            <v>25O2E3</v>
          </cell>
          <cell r="E164">
            <v>0.20000000298023224</v>
          </cell>
        </row>
        <row r="165">
          <cell r="C165" t="str">
            <v>27O1E1</v>
          </cell>
          <cell r="E165">
            <v>0.5</v>
          </cell>
        </row>
        <row r="166">
          <cell r="C166" t="str">
            <v>27O1E2</v>
          </cell>
          <cell r="E166">
            <v>0.5</v>
          </cell>
        </row>
        <row r="167">
          <cell r="C167" t="str">
            <v>27O2E1</v>
          </cell>
          <cell r="E167">
            <v>0.5</v>
          </cell>
        </row>
        <row r="168">
          <cell r="C168" t="str">
            <v>27O2E2</v>
          </cell>
          <cell r="E168">
            <v>0.5</v>
          </cell>
        </row>
        <row r="169">
          <cell r="C169" t="str">
            <v>28O1E1</v>
          </cell>
          <cell r="E169">
            <v>0.30000001192092896</v>
          </cell>
        </row>
        <row r="170">
          <cell r="C170" t="str">
            <v>28O1E2</v>
          </cell>
          <cell r="E170">
            <v>0.69999998807907104</v>
          </cell>
        </row>
        <row r="171">
          <cell r="C171" t="str">
            <v>28O2E1</v>
          </cell>
          <cell r="E171">
            <v>0.5</v>
          </cell>
        </row>
        <row r="172">
          <cell r="C172" t="str">
            <v>28O2E2</v>
          </cell>
          <cell r="E172">
            <v>0.5</v>
          </cell>
        </row>
        <row r="173">
          <cell r="C173" t="str">
            <v>28O3E1</v>
          </cell>
          <cell r="E173">
            <v>1</v>
          </cell>
        </row>
        <row r="174">
          <cell r="C174" t="str">
            <v>29O1E1</v>
          </cell>
          <cell r="E174">
            <v>0.40000000596046448</v>
          </cell>
        </row>
        <row r="175">
          <cell r="C175" t="str">
            <v>29O1E2</v>
          </cell>
          <cell r="E175">
            <v>0.60000002384185791</v>
          </cell>
        </row>
        <row r="176">
          <cell r="C176" t="str">
            <v>29O2E1</v>
          </cell>
          <cell r="E176">
            <v>1</v>
          </cell>
        </row>
        <row r="177">
          <cell r="C177" t="str">
            <v>29O3E1</v>
          </cell>
          <cell r="E177">
            <v>1</v>
          </cell>
        </row>
        <row r="178">
          <cell r="C178" t="str">
            <v>30O1E1</v>
          </cell>
          <cell r="E178">
            <v>1</v>
          </cell>
        </row>
        <row r="179">
          <cell r="C179" t="str">
            <v>30O2E1</v>
          </cell>
          <cell r="E179">
            <v>0.5</v>
          </cell>
        </row>
        <row r="180">
          <cell r="C180" t="str">
            <v>30O2E2</v>
          </cell>
          <cell r="E180">
            <v>0.5</v>
          </cell>
        </row>
        <row r="181">
          <cell r="C181" t="str">
            <v>31O1E1</v>
          </cell>
          <cell r="E181">
            <v>1</v>
          </cell>
        </row>
        <row r="182">
          <cell r="C182" t="str">
            <v>31O1E2</v>
          </cell>
          <cell r="E182">
            <v>5.000000074505806E-2</v>
          </cell>
        </row>
        <row r="183">
          <cell r="C183" t="str">
            <v>31O2E1</v>
          </cell>
          <cell r="E183">
            <v>0.40000000596046448</v>
          </cell>
        </row>
        <row r="184">
          <cell r="C184" t="str">
            <v>31O2E2</v>
          </cell>
          <cell r="E184">
            <v>0.5</v>
          </cell>
        </row>
        <row r="185">
          <cell r="C185" t="str">
            <v>31O2E3</v>
          </cell>
          <cell r="E185">
            <v>5.000000074505806E-2</v>
          </cell>
        </row>
        <row r="186">
          <cell r="C186" t="str">
            <v>31O2E4</v>
          </cell>
          <cell r="E186">
            <v>0.40000000596046448</v>
          </cell>
        </row>
        <row r="187">
          <cell r="C187" t="str">
            <v>31O3E1</v>
          </cell>
          <cell r="E187">
            <v>0.60000002384185791</v>
          </cell>
        </row>
        <row r="188">
          <cell r="C188" t="str">
            <v>31O3E2</v>
          </cell>
          <cell r="E188">
            <v>1</v>
          </cell>
        </row>
        <row r="189">
          <cell r="C189" t="str">
            <v>32O1E1</v>
          </cell>
          <cell r="E189">
            <v>0.5</v>
          </cell>
        </row>
        <row r="190">
          <cell r="C190" t="str">
            <v>32O1E2</v>
          </cell>
          <cell r="E190">
            <v>0.5</v>
          </cell>
        </row>
        <row r="191">
          <cell r="C191" t="str">
            <v>32O2E1</v>
          </cell>
          <cell r="E191">
            <v>0.60000002384185791</v>
          </cell>
        </row>
        <row r="192">
          <cell r="C192" t="str">
            <v>32O2E2</v>
          </cell>
          <cell r="E192">
            <v>0.30000001192092896</v>
          </cell>
        </row>
        <row r="193">
          <cell r="C193" t="str">
            <v>32O2E3</v>
          </cell>
          <cell r="E193">
            <v>0.10000000149011612</v>
          </cell>
        </row>
        <row r="194">
          <cell r="C194" t="str">
            <v>32O3E1</v>
          </cell>
          <cell r="E194">
            <v>1</v>
          </cell>
        </row>
        <row r="195">
          <cell r="C195" t="str">
            <v>34O1E1</v>
          </cell>
          <cell r="E195">
            <v>0.30000001192092896</v>
          </cell>
        </row>
        <row r="196">
          <cell r="C196" t="str">
            <v>34O1E2</v>
          </cell>
          <cell r="E196">
            <v>0.69999998807907104</v>
          </cell>
        </row>
        <row r="197">
          <cell r="C197" t="str">
            <v>34O2E1</v>
          </cell>
          <cell r="E197">
            <v>1</v>
          </cell>
        </row>
        <row r="198">
          <cell r="C198" t="str">
            <v>35O1E1</v>
          </cell>
          <cell r="E198">
            <v>0.40000000596046448</v>
          </cell>
        </row>
        <row r="199">
          <cell r="C199" t="str">
            <v>35O1E2</v>
          </cell>
          <cell r="E199">
            <v>0.40000000596046448</v>
          </cell>
        </row>
        <row r="200">
          <cell r="C200" t="str">
            <v>35O1E3</v>
          </cell>
          <cell r="E200">
            <v>0.20000000298023224</v>
          </cell>
        </row>
        <row r="201">
          <cell r="C201" t="str">
            <v>35O2E1</v>
          </cell>
          <cell r="E201">
            <v>0.69999998807907104</v>
          </cell>
        </row>
        <row r="202">
          <cell r="C202" t="str">
            <v>35O2E2</v>
          </cell>
          <cell r="E202">
            <v>0.30000001192092896</v>
          </cell>
        </row>
        <row r="203">
          <cell r="C203" t="str">
            <v>35O3E1</v>
          </cell>
          <cell r="E203">
            <v>0.30000001192092896</v>
          </cell>
        </row>
        <row r="204">
          <cell r="C204" t="str">
            <v>35O3E2</v>
          </cell>
          <cell r="E204">
            <v>0.20000000298023224</v>
          </cell>
        </row>
        <row r="205">
          <cell r="C205" t="str">
            <v>35O3E3</v>
          </cell>
          <cell r="E205">
            <v>0.25</v>
          </cell>
        </row>
        <row r="206">
          <cell r="C206" t="str">
            <v>35O3E4</v>
          </cell>
          <cell r="E206">
            <v>0.25</v>
          </cell>
        </row>
        <row r="207">
          <cell r="C207" t="str">
            <v>36O1E1</v>
          </cell>
          <cell r="E207">
            <v>0.60000002384185791</v>
          </cell>
        </row>
        <row r="208">
          <cell r="C208" t="str">
            <v>36O1E2</v>
          </cell>
          <cell r="E208">
            <v>0.40000000596046448</v>
          </cell>
        </row>
        <row r="209">
          <cell r="C209" t="str">
            <v>36O2E1</v>
          </cell>
          <cell r="E209">
            <v>0.20000000298023224</v>
          </cell>
        </row>
        <row r="210">
          <cell r="C210" t="str">
            <v>36O2E2</v>
          </cell>
          <cell r="E210">
            <v>0.30000001192092896</v>
          </cell>
        </row>
        <row r="211">
          <cell r="C211" t="str">
            <v>36O2E3</v>
          </cell>
          <cell r="E211">
            <v>0.20000000298023224</v>
          </cell>
        </row>
        <row r="212">
          <cell r="C212" t="str">
            <v>36O2E4</v>
          </cell>
          <cell r="E212">
            <v>0.20000000298023224</v>
          </cell>
        </row>
        <row r="213">
          <cell r="C213" t="str">
            <v>36O2E5</v>
          </cell>
          <cell r="E213">
            <v>0.10000000149011612</v>
          </cell>
        </row>
        <row r="214">
          <cell r="C214" t="str">
            <v>36O3E1</v>
          </cell>
          <cell r="E214">
            <v>0.25</v>
          </cell>
        </row>
        <row r="215">
          <cell r="C215" t="str">
            <v>36O3E2</v>
          </cell>
          <cell r="E215">
            <v>0.25</v>
          </cell>
        </row>
        <row r="216">
          <cell r="C216" t="str">
            <v>36O3E3</v>
          </cell>
          <cell r="E216">
            <v>0.25</v>
          </cell>
        </row>
        <row r="217">
          <cell r="C217" t="str">
            <v>36O3E4</v>
          </cell>
          <cell r="E217">
            <v>0.25</v>
          </cell>
        </row>
        <row r="218">
          <cell r="C218" t="str">
            <v>39O1E1</v>
          </cell>
          <cell r="E218">
            <v>0.80000001192092896</v>
          </cell>
        </row>
        <row r="219">
          <cell r="C219" t="str">
            <v>39O1E2</v>
          </cell>
          <cell r="E219">
            <v>0.20000000298023224</v>
          </cell>
        </row>
        <row r="220">
          <cell r="C220" t="str">
            <v>39O2E1</v>
          </cell>
          <cell r="E220">
            <v>0.60000002384185791</v>
          </cell>
        </row>
        <row r="221">
          <cell r="C221" t="str">
            <v>39O2E2</v>
          </cell>
          <cell r="E221">
            <v>0.40000000596046448</v>
          </cell>
        </row>
        <row r="222">
          <cell r="C222" t="str">
            <v>39O3E1</v>
          </cell>
          <cell r="E222">
            <v>1</v>
          </cell>
        </row>
        <row r="223">
          <cell r="C223" t="str">
            <v>40O1E1</v>
          </cell>
          <cell r="E223">
            <v>0.40000000596046448</v>
          </cell>
        </row>
        <row r="224">
          <cell r="C224" t="str">
            <v>40O1E2</v>
          </cell>
          <cell r="E224">
            <v>0.25</v>
          </cell>
        </row>
        <row r="225">
          <cell r="C225" t="str">
            <v>40O1E3</v>
          </cell>
          <cell r="E225">
            <v>5.000000074505806E-2</v>
          </cell>
        </row>
        <row r="226">
          <cell r="C226" t="str">
            <v>40O1E4</v>
          </cell>
          <cell r="E226">
            <v>0.10000000149011612</v>
          </cell>
        </row>
        <row r="227">
          <cell r="C227" t="str">
            <v>40O1E5</v>
          </cell>
          <cell r="E227">
            <v>0.20000000298023224</v>
          </cell>
        </row>
        <row r="228">
          <cell r="C228" t="str">
            <v>40O2E1</v>
          </cell>
          <cell r="E228">
            <v>0.69999998807907104</v>
          </cell>
        </row>
        <row r="229">
          <cell r="C229" t="str">
            <v>40O2E2</v>
          </cell>
          <cell r="E229">
            <v>0.30000001192092896</v>
          </cell>
        </row>
        <row r="230">
          <cell r="C230" t="str">
            <v>40O3E1</v>
          </cell>
          <cell r="E230">
            <v>0.34999999403953552</v>
          </cell>
        </row>
        <row r="231">
          <cell r="C231" t="str">
            <v>40O3E2</v>
          </cell>
          <cell r="E231">
            <v>0.25</v>
          </cell>
        </row>
        <row r="232">
          <cell r="C232" t="str">
            <v>40O3E3</v>
          </cell>
          <cell r="E232">
            <v>0.15000000596046448</v>
          </cell>
        </row>
        <row r="233">
          <cell r="C233" t="str">
            <v>40O3E4</v>
          </cell>
          <cell r="E233">
            <v>0.25</v>
          </cell>
        </row>
        <row r="234">
          <cell r="C234" t="str">
            <v>40O4E1</v>
          </cell>
          <cell r="E234">
            <v>1</v>
          </cell>
        </row>
        <row r="235">
          <cell r="C235" t="str">
            <v>42O1E1</v>
          </cell>
          <cell r="E235">
            <v>0.5</v>
          </cell>
        </row>
        <row r="236">
          <cell r="C236" t="str">
            <v>42O1E2</v>
          </cell>
          <cell r="E236">
            <v>0.5</v>
          </cell>
        </row>
        <row r="237">
          <cell r="C237" t="str">
            <v>42O2E1</v>
          </cell>
          <cell r="E237">
            <v>0.30000001192092896</v>
          </cell>
        </row>
        <row r="238">
          <cell r="C238" t="str">
            <v>42O2E2</v>
          </cell>
          <cell r="E238">
            <v>0.5</v>
          </cell>
        </row>
        <row r="239">
          <cell r="C239" t="str">
            <v>42O2E3</v>
          </cell>
          <cell r="E239">
            <v>0.20000000298023224</v>
          </cell>
        </row>
        <row r="240">
          <cell r="C240" t="str">
            <v>43O1E1</v>
          </cell>
          <cell r="E240">
            <v>0.34000000357627869</v>
          </cell>
        </row>
        <row r="241">
          <cell r="C241" t="str">
            <v>43O1E2</v>
          </cell>
          <cell r="E241">
            <v>0.33000001311302185</v>
          </cell>
        </row>
        <row r="242">
          <cell r="C242" t="str">
            <v>43O1E3</v>
          </cell>
          <cell r="E242">
            <v>0.33000001311302185</v>
          </cell>
        </row>
        <row r="243">
          <cell r="C243" t="str">
            <v>43O2E1</v>
          </cell>
          <cell r="E243">
            <v>1</v>
          </cell>
        </row>
        <row r="244">
          <cell r="C244" t="str">
            <v>44O1E1</v>
          </cell>
          <cell r="E244">
            <v>0.5</v>
          </cell>
        </row>
        <row r="245">
          <cell r="C245" t="str">
            <v>44O1E2</v>
          </cell>
          <cell r="E245">
            <v>0.5</v>
          </cell>
        </row>
        <row r="246">
          <cell r="C246" t="str">
            <v>44O2E1</v>
          </cell>
          <cell r="E246">
            <v>0.20000000298023224</v>
          </cell>
        </row>
        <row r="247">
          <cell r="C247" t="str">
            <v>44O2E2</v>
          </cell>
          <cell r="E247">
            <v>0.40000000596046448</v>
          </cell>
        </row>
        <row r="248">
          <cell r="C248" t="str">
            <v>44O2E3</v>
          </cell>
          <cell r="E248">
            <v>0.40000000596046448</v>
          </cell>
        </row>
        <row r="249">
          <cell r="C249" t="str">
            <v>44O3E1</v>
          </cell>
          <cell r="E249">
            <v>0.5</v>
          </cell>
        </row>
        <row r="250">
          <cell r="C250" t="str">
            <v>44O3E2</v>
          </cell>
          <cell r="E250">
            <v>0.25</v>
          </cell>
        </row>
        <row r="251">
          <cell r="C251" t="str">
            <v>44O3E3</v>
          </cell>
          <cell r="E251">
            <v>0.25</v>
          </cell>
        </row>
        <row r="252">
          <cell r="C252" t="str">
            <v>45O1E1</v>
          </cell>
          <cell r="E252">
            <v>1</v>
          </cell>
        </row>
        <row r="253">
          <cell r="C253" t="str">
            <v>45O2E1</v>
          </cell>
          <cell r="E253">
            <v>1</v>
          </cell>
        </row>
        <row r="254">
          <cell r="C254" t="str">
            <v>46O1E1</v>
          </cell>
          <cell r="E254">
            <v>1</v>
          </cell>
        </row>
        <row r="255">
          <cell r="C255" t="str">
            <v>46O2E1</v>
          </cell>
          <cell r="E255">
            <v>1</v>
          </cell>
        </row>
        <row r="256">
          <cell r="C256" t="str">
            <v>47O1E1</v>
          </cell>
          <cell r="E256">
            <v>1</v>
          </cell>
        </row>
        <row r="257">
          <cell r="C257" t="str">
            <v>47O2E1</v>
          </cell>
          <cell r="E257">
            <v>1</v>
          </cell>
        </row>
        <row r="258">
          <cell r="C258" t="str">
            <v>48O1E1</v>
          </cell>
          <cell r="E258">
            <v>1</v>
          </cell>
        </row>
        <row r="259">
          <cell r="C259" t="str">
            <v>48O2E1</v>
          </cell>
          <cell r="E259">
            <v>1</v>
          </cell>
        </row>
        <row r="260">
          <cell r="C260" t="str">
            <v>49O1E1</v>
          </cell>
          <cell r="E260">
            <v>1</v>
          </cell>
        </row>
        <row r="261">
          <cell r="C261" t="str">
            <v>49O2E1</v>
          </cell>
          <cell r="E261">
            <v>7.9999998211860657E-2</v>
          </cell>
        </row>
        <row r="262">
          <cell r="C262" t="str">
            <v>49O2E2</v>
          </cell>
          <cell r="E262">
            <v>0.36000001430511475</v>
          </cell>
        </row>
        <row r="263">
          <cell r="C263" t="str">
            <v>49O2E3</v>
          </cell>
          <cell r="E263">
            <v>7.0000000298023224E-2</v>
          </cell>
        </row>
        <row r="264">
          <cell r="C264" t="str">
            <v>49O2E4</v>
          </cell>
          <cell r="E264">
            <v>9.0000003576278687E-2</v>
          </cell>
        </row>
        <row r="265">
          <cell r="C265" t="str">
            <v>49O2E5</v>
          </cell>
          <cell r="E265">
            <v>7.0000000298023224E-2</v>
          </cell>
        </row>
        <row r="266">
          <cell r="C266" t="str">
            <v>49O2E6</v>
          </cell>
          <cell r="E266">
            <v>1.9999999552965164E-2</v>
          </cell>
        </row>
        <row r="267">
          <cell r="C267" t="str">
            <v>49O2E7</v>
          </cell>
          <cell r="E267">
            <v>5.000000074505806E-2</v>
          </cell>
        </row>
        <row r="268">
          <cell r="C268" t="str">
            <v>49O2E8</v>
          </cell>
          <cell r="E268">
            <v>1.9999999552965164E-2</v>
          </cell>
        </row>
        <row r="269">
          <cell r="C269" t="str">
            <v>49O2E9</v>
          </cell>
          <cell r="E269">
            <v>1.9999999552965164E-2</v>
          </cell>
        </row>
        <row r="270">
          <cell r="C270" t="str">
            <v>49O2E10</v>
          </cell>
          <cell r="E270">
            <v>1.9999999552965164E-2</v>
          </cell>
        </row>
        <row r="271">
          <cell r="C271" t="str">
            <v>49O2E11</v>
          </cell>
          <cell r="E271">
            <v>5.000000074505806E-2</v>
          </cell>
        </row>
        <row r="272">
          <cell r="C272" t="str">
            <v>49O2E12</v>
          </cell>
          <cell r="E272">
            <v>5.9999998658895493E-2</v>
          </cell>
        </row>
        <row r="273">
          <cell r="C273" t="str">
            <v>49O2E13</v>
          </cell>
          <cell r="E273">
            <v>1.9999999552965164E-2</v>
          </cell>
        </row>
        <row r="274">
          <cell r="C274" t="str">
            <v>49O2E14</v>
          </cell>
          <cell r="E274">
            <v>5.000000074505806E-2</v>
          </cell>
        </row>
        <row r="275">
          <cell r="C275" t="str">
            <v>49O2E15</v>
          </cell>
          <cell r="E275">
            <v>1.9999999552965164E-2</v>
          </cell>
        </row>
        <row r="276">
          <cell r="C276" t="str">
            <v>50O1E1</v>
          </cell>
          <cell r="E276">
            <v>0.30000001192092896</v>
          </cell>
        </row>
        <row r="277">
          <cell r="C277" t="str">
            <v>50O1E2</v>
          </cell>
          <cell r="E277">
            <v>0.60000002384185791</v>
          </cell>
        </row>
        <row r="278">
          <cell r="C278" t="str">
            <v>50O1E3</v>
          </cell>
          <cell r="E278">
            <v>0.10000000149011612</v>
          </cell>
        </row>
        <row r="279">
          <cell r="C279" t="str">
            <v>50O2E1</v>
          </cell>
          <cell r="E279">
            <v>1</v>
          </cell>
        </row>
        <row r="280">
          <cell r="C280" t="str">
            <v>50O3E1</v>
          </cell>
          <cell r="E280">
            <v>0.69999998807907104</v>
          </cell>
        </row>
        <row r="281">
          <cell r="C281" t="str">
            <v>50O3E2</v>
          </cell>
          <cell r="E281">
            <v>0.10000000149011612</v>
          </cell>
        </row>
        <row r="282">
          <cell r="C282" t="str">
            <v>50O3E3</v>
          </cell>
          <cell r="E282">
            <v>0.20000000298023224</v>
          </cell>
        </row>
        <row r="283">
          <cell r="C283" t="str">
            <v>51O1E1</v>
          </cell>
          <cell r="E283">
            <v>0.25</v>
          </cell>
        </row>
        <row r="284">
          <cell r="C284" t="str">
            <v>51O1E2</v>
          </cell>
          <cell r="E284">
            <v>0.15000000596046448</v>
          </cell>
        </row>
        <row r="285">
          <cell r="C285" t="str">
            <v>51O1E3</v>
          </cell>
          <cell r="E285">
            <v>0.25</v>
          </cell>
        </row>
        <row r="286">
          <cell r="C286" t="str">
            <v>51O1E4</v>
          </cell>
          <cell r="E286">
            <v>0.25</v>
          </cell>
        </row>
        <row r="287">
          <cell r="C287" t="str">
            <v>51O1E5</v>
          </cell>
          <cell r="E287">
            <v>0.10000000149011612</v>
          </cell>
        </row>
        <row r="288">
          <cell r="C288" t="str">
            <v>51O2E1</v>
          </cell>
          <cell r="E288">
            <v>0.5</v>
          </cell>
        </row>
        <row r="289">
          <cell r="C289" t="str">
            <v>51O2E2</v>
          </cell>
          <cell r="E289">
            <v>0.30000001192092896</v>
          </cell>
        </row>
        <row r="290">
          <cell r="C290" t="str">
            <v>51O2E3</v>
          </cell>
          <cell r="E290">
            <v>0.20000000298023224</v>
          </cell>
        </row>
        <row r="291">
          <cell r="C291" t="str">
            <v>51O3E1</v>
          </cell>
          <cell r="E291">
            <v>0.30000001192092896</v>
          </cell>
        </row>
        <row r="292">
          <cell r="C292" t="str">
            <v>51O3E2</v>
          </cell>
          <cell r="E292">
            <v>0.69999998807907104</v>
          </cell>
        </row>
        <row r="293">
          <cell r="C293" t="str">
            <v>51O4E1</v>
          </cell>
          <cell r="E293">
            <v>0.5</v>
          </cell>
        </row>
        <row r="294">
          <cell r="C294" t="str">
            <v>51O4E2</v>
          </cell>
          <cell r="E294">
            <v>0.5</v>
          </cell>
        </row>
        <row r="295">
          <cell r="C295" t="str">
            <v>52O1E1</v>
          </cell>
          <cell r="E295">
            <v>0.5</v>
          </cell>
        </row>
        <row r="296">
          <cell r="C296" t="str">
            <v>52O1E2</v>
          </cell>
          <cell r="E296">
            <v>0.5</v>
          </cell>
        </row>
        <row r="297">
          <cell r="C297" t="str">
            <v>52O2E1</v>
          </cell>
          <cell r="E297">
            <v>0.99000000953674316</v>
          </cell>
        </row>
        <row r="298">
          <cell r="C298" t="str">
            <v>52O2E2</v>
          </cell>
          <cell r="E298">
            <v>9.9999997764825821E-3</v>
          </cell>
        </row>
        <row r="299">
          <cell r="C299" t="str">
            <v>52O3E1</v>
          </cell>
          <cell r="E299">
            <v>0.30000001192092896</v>
          </cell>
        </row>
        <row r="300">
          <cell r="C300" t="str">
            <v>52O3E2</v>
          </cell>
          <cell r="E300">
            <v>0.30000001192092896</v>
          </cell>
        </row>
        <row r="301">
          <cell r="C301" t="str">
            <v>52O3E3</v>
          </cell>
          <cell r="E301">
            <v>0.20000000298023224</v>
          </cell>
        </row>
        <row r="302">
          <cell r="C302" t="str">
            <v>52O3E4</v>
          </cell>
          <cell r="E302">
            <v>0.20000000298023224</v>
          </cell>
        </row>
        <row r="303">
          <cell r="C303" t="str">
            <v>53O1E1</v>
          </cell>
          <cell r="E303">
            <v>0.40000000596046448</v>
          </cell>
        </row>
        <row r="304">
          <cell r="C304" t="str">
            <v>53O1E2</v>
          </cell>
          <cell r="E304">
            <v>0.15000000596046448</v>
          </cell>
        </row>
        <row r="305">
          <cell r="C305" t="str">
            <v>53O1E3</v>
          </cell>
          <cell r="E305">
            <v>0.25</v>
          </cell>
        </row>
        <row r="306">
          <cell r="C306" t="str">
            <v>53O1E4</v>
          </cell>
          <cell r="E306">
            <v>0.20000000298023224</v>
          </cell>
        </row>
        <row r="307">
          <cell r="C307" t="str">
            <v>53O2E1</v>
          </cell>
          <cell r="E307">
            <v>0.40000000596046448</v>
          </cell>
        </row>
        <row r="308">
          <cell r="C308" t="str">
            <v>53O2E2</v>
          </cell>
          <cell r="E308">
            <v>0.40000000596046448</v>
          </cell>
        </row>
        <row r="309">
          <cell r="C309" t="str">
            <v>53O2E3</v>
          </cell>
          <cell r="E309">
            <v>0.20000000298023224</v>
          </cell>
        </row>
        <row r="310">
          <cell r="C310" t="str">
            <v>53O3E1</v>
          </cell>
          <cell r="E310">
            <v>0.20000000298023224</v>
          </cell>
        </row>
        <row r="311">
          <cell r="C311" t="str">
            <v>53O3E2</v>
          </cell>
          <cell r="E311">
            <v>0.40000000596046448</v>
          </cell>
        </row>
        <row r="312">
          <cell r="C312" t="str">
            <v>53O3E3</v>
          </cell>
          <cell r="E312">
            <v>0.20000000298023224</v>
          </cell>
        </row>
        <row r="313">
          <cell r="C313" t="str">
            <v>53O3E4</v>
          </cell>
          <cell r="E313">
            <v>0.10000000149011612</v>
          </cell>
        </row>
        <row r="314">
          <cell r="C314" t="str">
            <v>53O3E5</v>
          </cell>
          <cell r="E314">
            <v>0.10000000149011612</v>
          </cell>
        </row>
        <row r="315">
          <cell r="C315" t="str">
            <v>53O4E1</v>
          </cell>
          <cell r="E315">
            <v>0.5</v>
          </cell>
        </row>
        <row r="316">
          <cell r="C316" t="str">
            <v>53O4E2</v>
          </cell>
          <cell r="E316">
            <v>0.30000001192092896</v>
          </cell>
        </row>
        <row r="317">
          <cell r="C317" t="str">
            <v>53O4E3</v>
          </cell>
          <cell r="E317">
            <v>0.20000000298023224</v>
          </cell>
        </row>
        <row r="318">
          <cell r="C318" t="str">
            <v>54O1E1</v>
          </cell>
          <cell r="E318">
            <v>0.25</v>
          </cell>
        </row>
        <row r="319">
          <cell r="C319" t="str">
            <v>54O1E2</v>
          </cell>
          <cell r="E319">
            <v>0.25</v>
          </cell>
        </row>
        <row r="320">
          <cell r="C320" t="str">
            <v>54O1E3</v>
          </cell>
          <cell r="E320">
            <v>0.25</v>
          </cell>
        </row>
        <row r="321">
          <cell r="C321" t="str">
            <v>54O1E4</v>
          </cell>
          <cell r="E321">
            <v>0.25</v>
          </cell>
        </row>
        <row r="322">
          <cell r="C322" t="str">
            <v>54O2E1</v>
          </cell>
          <cell r="E322">
            <v>0.40000000596046448</v>
          </cell>
        </row>
        <row r="323">
          <cell r="C323" t="str">
            <v>54O2E2</v>
          </cell>
          <cell r="E323">
            <v>0.30000001192092896</v>
          </cell>
        </row>
        <row r="324">
          <cell r="C324" t="str">
            <v>54O2E3</v>
          </cell>
          <cell r="E324">
            <v>0.30000001192092896</v>
          </cell>
        </row>
        <row r="325">
          <cell r="C325" t="str">
            <v>54O3E1</v>
          </cell>
          <cell r="E325">
            <v>0.25</v>
          </cell>
        </row>
        <row r="326">
          <cell r="C326" t="str">
            <v>54O3E2</v>
          </cell>
          <cell r="E326">
            <v>0.25</v>
          </cell>
        </row>
        <row r="327">
          <cell r="C327" t="str">
            <v>54O3E3</v>
          </cell>
          <cell r="E327">
            <v>0.25</v>
          </cell>
        </row>
        <row r="328">
          <cell r="C328" t="str">
            <v>54O3E4</v>
          </cell>
          <cell r="E328">
            <v>0.25</v>
          </cell>
        </row>
        <row r="329">
          <cell r="C329" t="str">
            <v>55O1E1</v>
          </cell>
          <cell r="E329">
            <v>0.34000000357627869</v>
          </cell>
        </row>
        <row r="330">
          <cell r="C330" t="str">
            <v>55O1E2</v>
          </cell>
          <cell r="E330">
            <v>0.33000001311302185</v>
          </cell>
        </row>
        <row r="331">
          <cell r="C331" t="str">
            <v>55O1E3</v>
          </cell>
          <cell r="E331">
            <v>0.33000001311302185</v>
          </cell>
        </row>
        <row r="332">
          <cell r="C332" t="str">
            <v>55O2E1</v>
          </cell>
          <cell r="E332">
            <v>0.69999998807907104</v>
          </cell>
        </row>
        <row r="333">
          <cell r="C333" t="str">
            <v>55O2E2</v>
          </cell>
          <cell r="E333">
            <v>0.30000001192092896</v>
          </cell>
        </row>
        <row r="334">
          <cell r="C334" t="str">
            <v>56O1E1</v>
          </cell>
          <cell r="E334">
            <v>0.5</v>
          </cell>
        </row>
        <row r="335">
          <cell r="C335" t="str">
            <v>56O1E2</v>
          </cell>
          <cell r="E335">
            <v>0.5</v>
          </cell>
        </row>
        <row r="336">
          <cell r="C336" t="str">
            <v>56O2E1</v>
          </cell>
          <cell r="E336">
            <v>0.5</v>
          </cell>
        </row>
        <row r="337">
          <cell r="C337" t="str">
            <v>56O2E2</v>
          </cell>
          <cell r="E337">
            <v>0.5</v>
          </cell>
        </row>
        <row r="338">
          <cell r="C338" t="str">
            <v>57O1E1</v>
          </cell>
          <cell r="E338">
            <v>0.5</v>
          </cell>
        </row>
        <row r="339">
          <cell r="C339" t="str">
            <v>57O1E2</v>
          </cell>
          <cell r="E339">
            <v>0.5</v>
          </cell>
        </row>
        <row r="340">
          <cell r="C340" t="str">
            <v>57O2E1</v>
          </cell>
          <cell r="E340">
            <v>0.5</v>
          </cell>
        </row>
        <row r="341">
          <cell r="C341" t="str">
            <v>57O2E2</v>
          </cell>
          <cell r="E341">
            <v>0.5</v>
          </cell>
        </row>
        <row r="342">
          <cell r="C342" t="str">
            <v>58O1E1</v>
          </cell>
          <cell r="E342">
            <v>0.40000000596046448</v>
          </cell>
        </row>
        <row r="343">
          <cell r="C343" t="str">
            <v>58O1E2</v>
          </cell>
          <cell r="E343">
            <v>0.60000002384185791</v>
          </cell>
        </row>
        <row r="344">
          <cell r="C344" t="str">
            <v>58O2E1</v>
          </cell>
          <cell r="E344">
            <v>0.5</v>
          </cell>
        </row>
        <row r="345">
          <cell r="C345" t="str">
            <v>58O2E2</v>
          </cell>
          <cell r="E345">
            <v>0.5</v>
          </cell>
        </row>
        <row r="346">
          <cell r="C346" t="str">
            <v>59O1E1</v>
          </cell>
          <cell r="E346">
            <v>0.40000000596046448</v>
          </cell>
        </row>
        <row r="347">
          <cell r="C347" t="str">
            <v>59O1E2</v>
          </cell>
          <cell r="E347">
            <v>0.30000001192092896</v>
          </cell>
        </row>
        <row r="348">
          <cell r="C348" t="str">
            <v>59O1E3</v>
          </cell>
          <cell r="E348">
            <v>0.30000001192092896</v>
          </cell>
        </row>
        <row r="349">
          <cell r="C349" t="str">
            <v>59O2E1</v>
          </cell>
          <cell r="E349">
            <v>0.5</v>
          </cell>
        </row>
        <row r="350">
          <cell r="C350" t="str">
            <v>59O2E2</v>
          </cell>
          <cell r="E350">
            <v>0.5</v>
          </cell>
        </row>
        <row r="351">
          <cell r="C351" t="str">
            <v>60O1E1</v>
          </cell>
          <cell r="E351">
            <v>1</v>
          </cell>
        </row>
        <row r="352">
          <cell r="C352" t="str">
            <v>60O2E1</v>
          </cell>
          <cell r="E352">
            <v>1</v>
          </cell>
        </row>
        <row r="353">
          <cell r="C353" t="str">
            <v>60O3E1</v>
          </cell>
          <cell r="E353">
            <v>0.40000000596046448</v>
          </cell>
        </row>
        <row r="354">
          <cell r="C354" t="str">
            <v>60O3E2</v>
          </cell>
          <cell r="E354">
            <v>0.40000000596046448</v>
          </cell>
        </row>
        <row r="355">
          <cell r="C355" t="str">
            <v>60O3E3</v>
          </cell>
          <cell r="E355">
            <v>0.20000000298023224</v>
          </cell>
        </row>
        <row r="356">
          <cell r="C356" t="str">
            <v>61O1E1</v>
          </cell>
          <cell r="E356">
            <v>0.40000000596046448</v>
          </cell>
        </row>
        <row r="357">
          <cell r="C357" t="str">
            <v>61O1E2</v>
          </cell>
          <cell r="E357">
            <v>0.30000001192092896</v>
          </cell>
        </row>
        <row r="358">
          <cell r="C358" t="str">
            <v>61O1E3</v>
          </cell>
          <cell r="E358">
            <v>0.30000001192092896</v>
          </cell>
        </row>
        <row r="359">
          <cell r="C359" t="str">
            <v>61O2E1</v>
          </cell>
          <cell r="E359">
            <v>0.20000000298023224</v>
          </cell>
        </row>
        <row r="360">
          <cell r="C360" t="str">
            <v>61O2E2</v>
          </cell>
          <cell r="E360">
            <v>0.20000000298023224</v>
          </cell>
        </row>
        <row r="361">
          <cell r="C361" t="str">
            <v>61O2E3</v>
          </cell>
          <cell r="E361">
            <v>0.20000000298023224</v>
          </cell>
        </row>
        <row r="362">
          <cell r="C362" t="str">
            <v>61O2E4</v>
          </cell>
          <cell r="E362">
            <v>0.10000000149011612</v>
          </cell>
        </row>
        <row r="363">
          <cell r="C363" t="str">
            <v>61O2E5</v>
          </cell>
          <cell r="E363">
            <v>0.15000000596046448</v>
          </cell>
        </row>
        <row r="364">
          <cell r="C364" t="str">
            <v>61O2E6</v>
          </cell>
          <cell r="E364">
            <v>0.15000000596046448</v>
          </cell>
        </row>
        <row r="365">
          <cell r="C365" t="str">
            <v>61O3E1</v>
          </cell>
          <cell r="E365">
            <v>0.5</v>
          </cell>
        </row>
        <row r="366">
          <cell r="C366" t="str">
            <v>61O3E2</v>
          </cell>
          <cell r="E366">
            <v>0.5</v>
          </cell>
        </row>
        <row r="367">
          <cell r="C367" t="str">
            <v>61O4E1</v>
          </cell>
          <cell r="E367">
            <v>0.60000002384185791</v>
          </cell>
        </row>
        <row r="368">
          <cell r="C368" t="str">
            <v>61O4E2</v>
          </cell>
          <cell r="E368">
            <v>0.40000000596046448</v>
          </cell>
        </row>
        <row r="369">
          <cell r="C369" t="str">
            <v>62O1E1</v>
          </cell>
          <cell r="E369">
            <v>0.20000000298023224</v>
          </cell>
        </row>
        <row r="370">
          <cell r="C370" t="str">
            <v>62O1E2</v>
          </cell>
          <cell r="E370">
            <v>0.40000000596046448</v>
          </cell>
        </row>
        <row r="371">
          <cell r="C371" t="str">
            <v>62O1E3</v>
          </cell>
          <cell r="E371">
            <v>0.40000000596046448</v>
          </cell>
        </row>
        <row r="372">
          <cell r="C372" t="str">
            <v>62O2E1</v>
          </cell>
          <cell r="E372">
            <v>0.20000000298023224</v>
          </cell>
        </row>
        <row r="373">
          <cell r="C373" t="str">
            <v>62O2E2</v>
          </cell>
          <cell r="E373">
            <v>0.40000000596046448</v>
          </cell>
        </row>
        <row r="374">
          <cell r="C374" t="str">
            <v>62O2E3</v>
          </cell>
          <cell r="E374">
            <v>0.40000000596046448</v>
          </cell>
        </row>
        <row r="375">
          <cell r="C375" t="str">
            <v>62O3E1</v>
          </cell>
          <cell r="E375">
            <v>0.30000001192092896</v>
          </cell>
        </row>
        <row r="376">
          <cell r="C376" t="str">
            <v>62O3E2</v>
          </cell>
          <cell r="E376">
            <v>0.69999998807907104</v>
          </cell>
        </row>
        <row r="377">
          <cell r="C377" t="str">
            <v>65O1E1</v>
          </cell>
          <cell r="E377">
            <v>0.69999998807907104</v>
          </cell>
        </row>
        <row r="378">
          <cell r="C378" t="str">
            <v>65O1E2</v>
          </cell>
          <cell r="E378">
            <v>0.30000001192092896</v>
          </cell>
        </row>
        <row r="379">
          <cell r="C379" t="str">
            <v>65O2E1</v>
          </cell>
          <cell r="E379">
            <v>1</v>
          </cell>
        </row>
        <row r="380">
          <cell r="C380" t="str">
            <v>66O1E1</v>
          </cell>
          <cell r="E380">
            <v>0.5</v>
          </cell>
        </row>
        <row r="381">
          <cell r="C381" t="str">
            <v>66O1E2</v>
          </cell>
          <cell r="E381">
            <v>0.5</v>
          </cell>
        </row>
        <row r="382">
          <cell r="C382" t="str">
            <v>66O2E1</v>
          </cell>
          <cell r="E382">
            <v>1</v>
          </cell>
        </row>
        <row r="383">
          <cell r="C383" t="str">
            <v>3O1E1</v>
          </cell>
          <cell r="E383">
            <v>1</v>
          </cell>
        </row>
        <row r="384">
          <cell r="C384" t="str">
            <v>3O2E1</v>
          </cell>
          <cell r="E384">
            <v>1</v>
          </cell>
        </row>
        <row r="385">
          <cell r="C385" t="str">
            <v>3O3E1</v>
          </cell>
          <cell r="E385">
            <v>0.33329999446868896</v>
          </cell>
        </row>
        <row r="386">
          <cell r="C386" t="str">
            <v>3O3E2</v>
          </cell>
          <cell r="E386">
            <v>0.33329999446868896</v>
          </cell>
        </row>
        <row r="387">
          <cell r="C387" t="str">
            <v>3O3E3</v>
          </cell>
          <cell r="E387">
            <v>0.33329999446868896</v>
          </cell>
        </row>
        <row r="388">
          <cell r="C388" t="str">
            <v>21O1E1</v>
          </cell>
          <cell r="E388">
            <v>0.5</v>
          </cell>
        </row>
        <row r="389">
          <cell r="C389" t="str">
            <v>21O1E2</v>
          </cell>
          <cell r="E389">
            <v>0.5</v>
          </cell>
        </row>
        <row r="390">
          <cell r="C390" t="str">
            <v>21O2E1</v>
          </cell>
          <cell r="E390">
            <v>1</v>
          </cell>
        </row>
        <row r="391">
          <cell r="C391" t="str">
            <v>21O3E1</v>
          </cell>
          <cell r="E391">
            <v>0.69999998807907104</v>
          </cell>
        </row>
        <row r="392">
          <cell r="C392" t="str">
            <v>21O3E2</v>
          </cell>
          <cell r="E392">
            <v>0.30000001192092896</v>
          </cell>
        </row>
        <row r="393">
          <cell r="C393" t="str">
            <v>22O1E1</v>
          </cell>
          <cell r="E393">
            <v>0.2</v>
          </cell>
        </row>
        <row r="394">
          <cell r="C394" t="str">
            <v>22O1E2</v>
          </cell>
          <cell r="E394">
            <v>0.2</v>
          </cell>
        </row>
        <row r="395">
          <cell r="C395" t="str">
            <v>22O1E3</v>
          </cell>
          <cell r="E395">
            <v>0.2</v>
          </cell>
        </row>
        <row r="396">
          <cell r="C396" t="str">
            <v>22O1E4</v>
          </cell>
          <cell r="E396">
            <v>0.4</v>
          </cell>
        </row>
        <row r="397">
          <cell r="C397" t="str">
            <v>22O2E1</v>
          </cell>
          <cell r="E397">
            <v>0.4</v>
          </cell>
        </row>
        <row r="398">
          <cell r="C398" t="str">
            <v>22O2E2</v>
          </cell>
          <cell r="E398">
            <v>0.3</v>
          </cell>
        </row>
        <row r="399">
          <cell r="C399" t="str">
            <v>22O2E3</v>
          </cell>
          <cell r="E399">
            <v>0.3</v>
          </cell>
        </row>
        <row r="400">
          <cell r="C400" t="str">
            <v>22O3E1</v>
          </cell>
          <cell r="E400">
            <v>0.2</v>
          </cell>
        </row>
        <row r="401">
          <cell r="C401" t="str">
            <v>22O3E2</v>
          </cell>
          <cell r="E401">
            <v>0.2</v>
          </cell>
        </row>
        <row r="402">
          <cell r="C402" t="str">
            <v>22O3E3</v>
          </cell>
          <cell r="E402">
            <v>0.3</v>
          </cell>
        </row>
        <row r="403">
          <cell r="C403" t="str">
            <v>22O3E4</v>
          </cell>
          <cell r="E403">
            <v>0.3</v>
          </cell>
        </row>
        <row r="404">
          <cell r="C404" t="str">
            <v>22O4E1</v>
          </cell>
          <cell r="E404">
            <v>0.25</v>
          </cell>
        </row>
        <row r="405">
          <cell r="C405" t="str">
            <v>22O4E2</v>
          </cell>
          <cell r="E405">
            <v>0.25</v>
          </cell>
        </row>
        <row r="406">
          <cell r="C406" t="str">
            <v>22O4E3</v>
          </cell>
          <cell r="E406">
            <v>0.25</v>
          </cell>
        </row>
        <row r="407">
          <cell r="C407" t="str">
            <v>22O4E4</v>
          </cell>
          <cell r="E407">
            <v>0.25</v>
          </cell>
        </row>
        <row r="408">
          <cell r="C408" t="str">
            <v>22O5E1</v>
          </cell>
          <cell r="E408">
            <v>0.3</v>
          </cell>
        </row>
        <row r="409">
          <cell r="C409" t="str">
            <v>22O5E2</v>
          </cell>
          <cell r="E409">
            <v>0.3</v>
          </cell>
        </row>
        <row r="410">
          <cell r="C410" t="str">
            <v>22O5E3</v>
          </cell>
          <cell r="E410">
            <v>0.2</v>
          </cell>
        </row>
        <row r="411">
          <cell r="C411" t="str">
            <v>22O5E4</v>
          </cell>
          <cell r="E411">
            <v>0.1</v>
          </cell>
        </row>
        <row r="412">
          <cell r="C412" t="str">
            <v>22O5E5</v>
          </cell>
          <cell r="E412">
            <v>0.1</v>
          </cell>
        </row>
        <row r="413">
          <cell r="C413" t="str">
            <v>26O1E1</v>
          </cell>
          <cell r="E413">
            <v>0.5</v>
          </cell>
        </row>
        <row r="414">
          <cell r="C414" t="str">
            <v>26O1E2</v>
          </cell>
          <cell r="E414">
            <v>0.5</v>
          </cell>
        </row>
        <row r="415">
          <cell r="C415" t="str">
            <v>26O2E1</v>
          </cell>
          <cell r="E415">
            <v>0.40000000596046448</v>
          </cell>
        </row>
        <row r="416">
          <cell r="C416" t="str">
            <v>26O2E2</v>
          </cell>
          <cell r="E416">
            <v>0.30000001192092896</v>
          </cell>
        </row>
        <row r="417">
          <cell r="C417" t="str">
            <v>26O2E3</v>
          </cell>
          <cell r="E417">
            <v>0.30000001192092896</v>
          </cell>
        </row>
        <row r="418">
          <cell r="C418" t="str">
            <v>26O3E1</v>
          </cell>
          <cell r="E418">
            <v>0.30000001192092896</v>
          </cell>
        </row>
        <row r="419">
          <cell r="C419" t="str">
            <v>26O3E2</v>
          </cell>
          <cell r="E419">
            <v>0.69999998807907104</v>
          </cell>
        </row>
        <row r="420">
          <cell r="C420" t="str">
            <v>33O1E1</v>
          </cell>
          <cell r="E420">
            <v>0.5</v>
          </cell>
        </row>
        <row r="421">
          <cell r="C421" t="str">
            <v>33O1E2</v>
          </cell>
          <cell r="E421">
            <v>0.5</v>
          </cell>
        </row>
        <row r="422">
          <cell r="C422" t="str">
            <v>33O2E1</v>
          </cell>
          <cell r="E422">
            <v>0.45</v>
          </cell>
        </row>
        <row r="423">
          <cell r="C423" t="str">
            <v>33O2E2</v>
          </cell>
          <cell r="E423">
            <v>0.2</v>
          </cell>
        </row>
        <row r="424">
          <cell r="C424" t="str">
            <v>33O2E3</v>
          </cell>
          <cell r="E424">
            <v>0.35</v>
          </cell>
        </row>
        <row r="425">
          <cell r="C425" t="str">
            <v>33O3E1</v>
          </cell>
          <cell r="E425">
            <v>0.5</v>
          </cell>
        </row>
        <row r="426">
          <cell r="C426" t="str">
            <v>33O3E2</v>
          </cell>
          <cell r="E426">
            <v>0.5</v>
          </cell>
        </row>
        <row r="427">
          <cell r="C427" t="str">
            <v>37O1E1</v>
          </cell>
          <cell r="E427">
            <v>0.20000000298023224</v>
          </cell>
        </row>
        <row r="428">
          <cell r="C428" t="str">
            <v>37O1E2</v>
          </cell>
          <cell r="E428">
            <v>0.20000000298023224</v>
          </cell>
        </row>
        <row r="429">
          <cell r="C429" t="str">
            <v>37O1E3</v>
          </cell>
          <cell r="E429">
            <v>0.60000002384185791</v>
          </cell>
        </row>
        <row r="430">
          <cell r="C430" t="str">
            <v>37O2E1</v>
          </cell>
          <cell r="E430">
            <v>0.25</v>
          </cell>
        </row>
        <row r="431">
          <cell r="C431" t="str">
            <v>37O2E2</v>
          </cell>
          <cell r="E431">
            <v>5.000000074505806E-2</v>
          </cell>
        </row>
        <row r="432">
          <cell r="C432" t="str">
            <v>37O2E3</v>
          </cell>
          <cell r="E432">
            <v>0.20000000298023224</v>
          </cell>
        </row>
        <row r="433">
          <cell r="C433" t="str">
            <v>37O2E4</v>
          </cell>
          <cell r="E433">
            <v>5.000000074505806E-2</v>
          </cell>
        </row>
        <row r="434">
          <cell r="C434" t="str">
            <v>37O2E5</v>
          </cell>
          <cell r="E434">
            <v>0.15000000596046448</v>
          </cell>
        </row>
        <row r="435">
          <cell r="C435" t="str">
            <v>37O2E6</v>
          </cell>
          <cell r="E435">
            <v>0.15000000596046448</v>
          </cell>
        </row>
        <row r="436">
          <cell r="C436" t="str">
            <v>37O2E7</v>
          </cell>
          <cell r="E436">
            <v>5.000000074505806E-2</v>
          </cell>
        </row>
        <row r="437">
          <cell r="C437" t="str">
            <v>37O2E8</v>
          </cell>
          <cell r="E437">
            <v>0.10000000149011612</v>
          </cell>
        </row>
        <row r="438">
          <cell r="C438" t="str">
            <v>37O3E1</v>
          </cell>
          <cell r="E438">
            <v>0.5</v>
          </cell>
        </row>
        <row r="439">
          <cell r="C439" t="str">
            <v>37O3E2</v>
          </cell>
          <cell r="E439">
            <v>0.5</v>
          </cell>
        </row>
        <row r="440">
          <cell r="C440" t="str">
            <v>41O1E1</v>
          </cell>
          <cell r="E440">
            <v>0.40000000596046448</v>
          </cell>
        </row>
        <row r="441">
          <cell r="C441" t="str">
            <v>41O1E2</v>
          </cell>
          <cell r="E441">
            <v>0.30000001192092896</v>
          </cell>
        </row>
        <row r="442">
          <cell r="C442" t="str">
            <v>41O1E3</v>
          </cell>
          <cell r="E442">
            <v>0.30000001192092896</v>
          </cell>
        </row>
        <row r="443">
          <cell r="C443" t="str">
            <v>41O2E1</v>
          </cell>
          <cell r="E443">
            <v>0.40000000596046448</v>
          </cell>
        </row>
        <row r="444">
          <cell r="C444" t="str">
            <v>41O2E2</v>
          </cell>
          <cell r="E444">
            <v>0.20000000298023224</v>
          </cell>
        </row>
        <row r="445">
          <cell r="C445" t="str">
            <v>41O2E3</v>
          </cell>
          <cell r="E445">
            <v>0.30000001192092896</v>
          </cell>
        </row>
        <row r="446">
          <cell r="C446" t="str">
            <v>41O2E4</v>
          </cell>
          <cell r="E446">
            <v>0.10000000149011612</v>
          </cell>
        </row>
        <row r="447">
          <cell r="C447" t="str">
            <v>41O3E1</v>
          </cell>
          <cell r="E447">
            <v>0.40000000596046448</v>
          </cell>
        </row>
        <row r="448">
          <cell r="C448" t="str">
            <v>41O3E2</v>
          </cell>
          <cell r="E448">
            <v>0.30000001192092896</v>
          </cell>
        </row>
        <row r="449">
          <cell r="C449" t="str">
            <v>41O3E3</v>
          </cell>
          <cell r="E449">
            <v>0.10000000149011612</v>
          </cell>
        </row>
        <row r="450">
          <cell r="C450" t="str">
            <v>41O3E4</v>
          </cell>
          <cell r="E450">
            <v>0.20000000298023224</v>
          </cell>
        </row>
        <row r="451">
          <cell r="C451" t="str">
            <v>41O4E1</v>
          </cell>
          <cell r="E451">
            <v>5.000000074505806E-2</v>
          </cell>
        </row>
        <row r="452">
          <cell r="C452" t="str">
            <v>41O4E2</v>
          </cell>
          <cell r="E452">
            <v>0.10000000149011612</v>
          </cell>
        </row>
        <row r="453">
          <cell r="C453" t="str">
            <v>41O4E3</v>
          </cell>
          <cell r="E453">
            <v>0.10000000149011612</v>
          </cell>
        </row>
        <row r="454">
          <cell r="C454" t="str">
            <v>41O4E4</v>
          </cell>
          <cell r="E454">
            <v>5.000000074505806E-2</v>
          </cell>
        </row>
        <row r="455">
          <cell r="C455" t="str">
            <v>41O4E5</v>
          </cell>
          <cell r="E455">
            <v>0.15000000596046448</v>
          </cell>
        </row>
        <row r="456">
          <cell r="C456" t="str">
            <v>41O4E6</v>
          </cell>
          <cell r="E456">
            <v>5.000000074505806E-2</v>
          </cell>
        </row>
        <row r="457">
          <cell r="C457" t="str">
            <v>41O4E7</v>
          </cell>
          <cell r="E457">
            <v>0.10000000149011612</v>
          </cell>
        </row>
        <row r="458">
          <cell r="C458" t="str">
            <v>41O4E8</v>
          </cell>
          <cell r="E458">
            <v>0.10000000149011612</v>
          </cell>
        </row>
        <row r="459">
          <cell r="C459" t="str">
            <v>41O4E9</v>
          </cell>
          <cell r="E459">
            <v>0.25</v>
          </cell>
        </row>
        <row r="460">
          <cell r="C460" t="str">
            <v>41O4E10</v>
          </cell>
          <cell r="E460">
            <v>5.000000074505806E-2</v>
          </cell>
        </row>
        <row r="461">
          <cell r="C461" t="str">
            <v>41O5E1</v>
          </cell>
          <cell r="E461">
            <v>1</v>
          </cell>
        </row>
        <row r="462">
          <cell r="C462" t="str">
            <v>9O1E1</v>
          </cell>
          <cell r="E462">
            <v>0.60000002384185791</v>
          </cell>
        </row>
        <row r="463">
          <cell r="C463" t="str">
            <v>9O1E2</v>
          </cell>
          <cell r="E463">
            <v>0.20000000298023224</v>
          </cell>
        </row>
        <row r="464">
          <cell r="C464" t="str">
            <v>9O1E3</v>
          </cell>
          <cell r="E464">
            <v>0.20000000298023224</v>
          </cell>
        </row>
        <row r="465">
          <cell r="C465" t="str">
            <v>9O2E1</v>
          </cell>
          <cell r="E465">
            <v>1</v>
          </cell>
        </row>
        <row r="466">
          <cell r="C466" t="str">
            <v>9O3E1</v>
          </cell>
          <cell r="E466">
            <v>1</v>
          </cell>
        </row>
      </sheetData>
      <sheetData sheetId="9" refreshError="1"/>
      <sheetData sheetId="10">
        <row r="2">
          <cell r="A2">
            <v>1</v>
          </cell>
        </row>
        <row r="3">
          <cell r="A3">
            <v>2</v>
          </cell>
        </row>
        <row r="4">
          <cell r="A4">
            <v>4</v>
          </cell>
        </row>
        <row r="5">
          <cell r="A5">
            <v>5</v>
          </cell>
        </row>
        <row r="6">
          <cell r="A6">
            <v>6</v>
          </cell>
        </row>
        <row r="7">
          <cell r="A7">
            <v>7</v>
          </cell>
        </row>
        <row r="8">
          <cell r="A8">
            <v>8</v>
          </cell>
        </row>
        <row r="9">
          <cell r="A9">
            <v>38</v>
          </cell>
        </row>
        <row r="10">
          <cell r="A10">
            <v>10</v>
          </cell>
        </row>
        <row r="11">
          <cell r="A11">
            <v>11</v>
          </cell>
        </row>
        <row r="12">
          <cell r="A12">
            <v>12</v>
          </cell>
        </row>
        <row r="13">
          <cell r="A13">
            <v>13</v>
          </cell>
        </row>
        <row r="14">
          <cell r="A14">
            <v>14</v>
          </cell>
        </row>
        <row r="15">
          <cell r="A15">
            <v>15</v>
          </cell>
        </row>
        <row r="16">
          <cell r="A16">
            <v>16</v>
          </cell>
        </row>
        <row r="17">
          <cell r="A17">
            <v>17</v>
          </cell>
        </row>
        <row r="18">
          <cell r="A18">
            <v>18</v>
          </cell>
        </row>
        <row r="19">
          <cell r="A19">
            <v>19</v>
          </cell>
        </row>
        <row r="20">
          <cell r="A20">
            <v>20</v>
          </cell>
        </row>
        <row r="21">
          <cell r="A21">
            <v>23</v>
          </cell>
        </row>
        <row r="22">
          <cell r="A22">
            <v>24</v>
          </cell>
        </row>
        <row r="23">
          <cell r="A23">
            <v>25</v>
          </cell>
        </row>
        <row r="24">
          <cell r="A24">
            <v>27</v>
          </cell>
        </row>
        <row r="25">
          <cell r="A25">
            <v>28</v>
          </cell>
        </row>
        <row r="26">
          <cell r="A26">
            <v>29</v>
          </cell>
        </row>
        <row r="27">
          <cell r="A27">
            <v>30</v>
          </cell>
        </row>
        <row r="28">
          <cell r="A28">
            <v>31</v>
          </cell>
        </row>
        <row r="29">
          <cell r="A29">
            <v>32</v>
          </cell>
        </row>
        <row r="30">
          <cell r="A30">
            <v>34</v>
          </cell>
        </row>
        <row r="31">
          <cell r="A31">
            <v>35</v>
          </cell>
        </row>
        <row r="32">
          <cell r="A32">
            <v>36</v>
          </cell>
        </row>
        <row r="33">
          <cell r="A33">
            <v>39</v>
          </cell>
        </row>
        <row r="34">
          <cell r="A34">
            <v>40</v>
          </cell>
        </row>
        <row r="35">
          <cell r="A35">
            <v>42</v>
          </cell>
        </row>
        <row r="36">
          <cell r="A36">
            <v>43</v>
          </cell>
        </row>
        <row r="37">
          <cell r="A37">
            <v>44</v>
          </cell>
        </row>
        <row r="38">
          <cell r="A38">
            <v>45</v>
          </cell>
        </row>
        <row r="39">
          <cell r="A39">
            <v>46</v>
          </cell>
        </row>
        <row r="40">
          <cell r="A40">
            <v>47</v>
          </cell>
        </row>
        <row r="41">
          <cell r="A41">
            <v>48</v>
          </cell>
        </row>
        <row r="42">
          <cell r="A42">
            <v>49</v>
          </cell>
        </row>
        <row r="43">
          <cell r="A43">
            <v>50</v>
          </cell>
        </row>
        <row r="44">
          <cell r="A44">
            <v>51</v>
          </cell>
        </row>
        <row r="45">
          <cell r="A45">
            <v>52</v>
          </cell>
        </row>
        <row r="46">
          <cell r="A46">
            <v>53</v>
          </cell>
        </row>
        <row r="47">
          <cell r="A47">
            <v>54</v>
          </cell>
        </row>
        <row r="48">
          <cell r="A48">
            <v>55</v>
          </cell>
        </row>
        <row r="49">
          <cell r="A49">
            <v>56</v>
          </cell>
        </row>
        <row r="50">
          <cell r="A50">
            <v>57</v>
          </cell>
        </row>
        <row r="51">
          <cell r="A51">
            <v>58</v>
          </cell>
        </row>
        <row r="52">
          <cell r="A52">
            <v>59</v>
          </cell>
        </row>
        <row r="53">
          <cell r="A53">
            <v>60</v>
          </cell>
        </row>
        <row r="54">
          <cell r="A54">
            <v>61</v>
          </cell>
        </row>
        <row r="55">
          <cell r="A55">
            <v>62</v>
          </cell>
        </row>
        <row r="56">
          <cell r="A56">
            <v>65</v>
          </cell>
        </row>
        <row r="57">
          <cell r="A57">
            <v>66</v>
          </cell>
        </row>
        <row r="58">
          <cell r="A58">
            <v>3</v>
          </cell>
        </row>
        <row r="59">
          <cell r="A59">
            <v>21</v>
          </cell>
        </row>
        <row r="60">
          <cell r="A60">
            <v>22</v>
          </cell>
        </row>
        <row r="61">
          <cell r="A61">
            <v>26</v>
          </cell>
        </row>
        <row r="62">
          <cell r="A62">
            <v>33</v>
          </cell>
        </row>
        <row r="63">
          <cell r="A63">
            <v>37</v>
          </cell>
        </row>
        <row r="64">
          <cell r="A64">
            <v>41</v>
          </cell>
        </row>
        <row r="65">
          <cell r="A65">
            <v>9</v>
          </cell>
        </row>
      </sheetData>
      <sheetData sheetId="11" refreshError="1"/>
      <sheetData sheetId="1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tabColor rgb="FF00B0F0"/>
  </sheetPr>
  <dimension ref="A1:E70"/>
  <sheetViews>
    <sheetView showGridLines="0" workbookViewId="0">
      <selection activeCell="C5" sqref="C5"/>
    </sheetView>
  </sheetViews>
  <sheetFormatPr baseColWidth="10" defaultColWidth="0" defaultRowHeight="15" x14ac:dyDescent="0.25"/>
  <cols>
    <col min="1" max="1" width="22" style="65" customWidth="1"/>
    <col min="2" max="2" width="67.7109375" bestFit="1" customWidth="1"/>
    <col min="3" max="3" width="16.85546875" bestFit="1" customWidth="1"/>
    <col min="4" max="5" width="11.42578125" customWidth="1"/>
    <col min="6" max="16384" width="11.42578125" hidden="1"/>
  </cols>
  <sheetData>
    <row r="1" spans="1:4" x14ac:dyDescent="0.25">
      <c r="A1" s="140" t="s">
        <v>1997</v>
      </c>
      <c r="B1" s="140"/>
      <c r="C1" s="70">
        <f>COUNT(A5:A70)</f>
        <v>66</v>
      </c>
      <c r="D1" s="81">
        <v>465</v>
      </c>
    </row>
    <row r="2" spans="1:4" x14ac:dyDescent="0.25">
      <c r="A2" s="140" t="s">
        <v>813</v>
      </c>
      <c r="B2" s="140"/>
      <c r="C2" s="70">
        <f>COUNT(BD_Indicadores!B2:B180)</f>
        <v>169</v>
      </c>
    </row>
    <row r="4" spans="1:4" x14ac:dyDescent="0.25">
      <c r="A4" s="68" t="s">
        <v>12</v>
      </c>
      <c r="B4" s="69" t="s">
        <v>814</v>
      </c>
      <c r="C4" s="69" t="s">
        <v>815</v>
      </c>
    </row>
    <row r="5" spans="1:4" x14ac:dyDescent="0.25">
      <c r="A5" s="66">
        <v>1</v>
      </c>
      <c r="B5" s="67" t="s">
        <v>816</v>
      </c>
      <c r="C5" s="67" t="s">
        <v>433</v>
      </c>
    </row>
    <row r="6" spans="1:4" x14ac:dyDescent="0.25">
      <c r="A6" s="66">
        <v>2</v>
      </c>
      <c r="B6" s="67" t="s">
        <v>817</v>
      </c>
      <c r="C6" s="67" t="s">
        <v>43</v>
      </c>
    </row>
    <row r="7" spans="1:4" x14ac:dyDescent="0.25">
      <c r="A7" s="66">
        <v>3</v>
      </c>
      <c r="B7" s="67" t="s">
        <v>818</v>
      </c>
      <c r="C7" s="67" t="s">
        <v>43</v>
      </c>
    </row>
    <row r="8" spans="1:4" x14ac:dyDescent="0.25">
      <c r="A8" s="66">
        <v>4</v>
      </c>
      <c r="B8" s="67" t="s">
        <v>819</v>
      </c>
      <c r="C8" s="67" t="s">
        <v>43</v>
      </c>
    </row>
    <row r="9" spans="1:4" x14ac:dyDescent="0.25">
      <c r="A9" s="66">
        <v>5</v>
      </c>
      <c r="B9" s="67" t="s">
        <v>820</v>
      </c>
      <c r="C9" s="67" t="s">
        <v>43</v>
      </c>
    </row>
    <row r="10" spans="1:4" x14ac:dyDescent="0.25">
      <c r="A10" s="66">
        <v>6</v>
      </c>
      <c r="B10" s="67" t="s">
        <v>821</v>
      </c>
      <c r="C10" s="67" t="s">
        <v>43</v>
      </c>
    </row>
    <row r="11" spans="1:4" x14ac:dyDescent="0.25">
      <c r="A11" s="66">
        <v>7</v>
      </c>
      <c r="B11" s="67" t="s">
        <v>822</v>
      </c>
      <c r="C11" s="67" t="s">
        <v>43</v>
      </c>
    </row>
    <row r="12" spans="1:4" x14ac:dyDescent="0.25">
      <c r="A12" s="66">
        <v>8</v>
      </c>
      <c r="B12" s="67" t="s">
        <v>823</v>
      </c>
      <c r="C12" s="67" t="s">
        <v>43</v>
      </c>
    </row>
    <row r="13" spans="1:4" x14ac:dyDescent="0.25">
      <c r="A13" s="66">
        <v>9</v>
      </c>
      <c r="B13" s="67" t="s">
        <v>824</v>
      </c>
      <c r="C13" s="67" t="s">
        <v>43</v>
      </c>
    </row>
    <row r="14" spans="1:4" x14ac:dyDescent="0.25">
      <c r="A14" s="66">
        <v>10</v>
      </c>
      <c r="B14" s="67" t="s">
        <v>825</v>
      </c>
      <c r="C14" s="67" t="s">
        <v>43</v>
      </c>
    </row>
    <row r="15" spans="1:4" x14ac:dyDescent="0.25">
      <c r="A15" s="66">
        <v>11</v>
      </c>
      <c r="B15" s="67" t="s">
        <v>826</v>
      </c>
      <c r="C15" s="67" t="s">
        <v>43</v>
      </c>
    </row>
    <row r="16" spans="1:4" x14ac:dyDescent="0.25">
      <c r="A16" s="66">
        <v>12</v>
      </c>
      <c r="B16" s="67" t="s">
        <v>827</v>
      </c>
      <c r="C16" s="67" t="s">
        <v>43</v>
      </c>
    </row>
    <row r="17" spans="1:3" x14ac:dyDescent="0.25">
      <c r="A17" s="66">
        <v>13</v>
      </c>
      <c r="B17" s="67" t="s">
        <v>828</v>
      </c>
      <c r="C17" s="67" t="s">
        <v>43</v>
      </c>
    </row>
    <row r="18" spans="1:3" x14ac:dyDescent="0.25">
      <c r="A18" s="66">
        <v>14</v>
      </c>
      <c r="B18" s="67" t="s">
        <v>829</v>
      </c>
      <c r="C18" s="67" t="s">
        <v>43</v>
      </c>
    </row>
    <row r="19" spans="1:3" x14ac:dyDescent="0.25">
      <c r="A19" s="66">
        <v>15</v>
      </c>
      <c r="B19" s="67" t="s">
        <v>830</v>
      </c>
      <c r="C19" s="67" t="s">
        <v>43</v>
      </c>
    </row>
    <row r="20" spans="1:3" x14ac:dyDescent="0.25">
      <c r="A20" s="66">
        <v>16</v>
      </c>
      <c r="B20" s="67" t="s">
        <v>831</v>
      </c>
      <c r="C20" s="67" t="s">
        <v>43</v>
      </c>
    </row>
    <row r="21" spans="1:3" x14ac:dyDescent="0.25">
      <c r="A21" s="66">
        <v>17</v>
      </c>
      <c r="B21" s="67" t="s">
        <v>832</v>
      </c>
      <c r="C21" s="67" t="s">
        <v>43</v>
      </c>
    </row>
    <row r="22" spans="1:3" x14ac:dyDescent="0.25">
      <c r="A22" s="66">
        <v>18</v>
      </c>
      <c r="B22" s="67" t="s">
        <v>833</v>
      </c>
      <c r="C22" s="67" t="s">
        <v>43</v>
      </c>
    </row>
    <row r="23" spans="1:3" x14ac:dyDescent="0.25">
      <c r="A23" s="66">
        <v>19</v>
      </c>
      <c r="B23" s="67" t="s">
        <v>834</v>
      </c>
      <c r="C23" s="67" t="s">
        <v>43</v>
      </c>
    </row>
    <row r="24" spans="1:3" x14ac:dyDescent="0.25">
      <c r="A24" s="66">
        <v>20</v>
      </c>
      <c r="B24" s="67" t="s">
        <v>835</v>
      </c>
      <c r="C24" s="67" t="s">
        <v>43</v>
      </c>
    </row>
    <row r="25" spans="1:3" x14ac:dyDescent="0.25">
      <c r="A25" s="66">
        <v>21</v>
      </c>
      <c r="B25" s="67" t="s">
        <v>836</v>
      </c>
      <c r="C25" s="67" t="s">
        <v>43</v>
      </c>
    </row>
    <row r="26" spans="1:3" x14ac:dyDescent="0.25">
      <c r="A26" s="66">
        <v>22</v>
      </c>
      <c r="B26" s="67" t="s">
        <v>837</v>
      </c>
      <c r="C26" s="67" t="s">
        <v>43</v>
      </c>
    </row>
    <row r="27" spans="1:3" x14ac:dyDescent="0.25">
      <c r="A27" s="66">
        <v>23</v>
      </c>
      <c r="B27" s="67" t="s">
        <v>838</v>
      </c>
      <c r="C27" s="67" t="s">
        <v>43</v>
      </c>
    </row>
    <row r="28" spans="1:3" x14ac:dyDescent="0.25">
      <c r="A28" s="66">
        <v>24</v>
      </c>
      <c r="B28" s="67" t="s">
        <v>839</v>
      </c>
      <c r="C28" s="67" t="s">
        <v>43</v>
      </c>
    </row>
    <row r="29" spans="1:3" x14ac:dyDescent="0.25">
      <c r="A29" s="66">
        <v>25</v>
      </c>
      <c r="B29" s="67" t="s">
        <v>840</v>
      </c>
      <c r="C29" s="67" t="s">
        <v>43</v>
      </c>
    </row>
    <row r="30" spans="1:3" x14ac:dyDescent="0.25">
      <c r="A30" s="66">
        <v>26</v>
      </c>
      <c r="B30" s="67" t="s">
        <v>841</v>
      </c>
      <c r="C30" s="67" t="s">
        <v>43</v>
      </c>
    </row>
    <row r="31" spans="1:3" x14ac:dyDescent="0.25">
      <c r="A31" s="66">
        <v>27</v>
      </c>
      <c r="B31" s="67" t="s">
        <v>842</v>
      </c>
      <c r="C31" s="67" t="s">
        <v>43</v>
      </c>
    </row>
    <row r="32" spans="1:3" x14ac:dyDescent="0.25">
      <c r="A32" s="66">
        <v>28</v>
      </c>
      <c r="B32" s="67" t="s">
        <v>843</v>
      </c>
      <c r="C32" s="67" t="s">
        <v>43</v>
      </c>
    </row>
    <row r="33" spans="1:3" x14ac:dyDescent="0.25">
      <c r="A33" s="66">
        <v>29</v>
      </c>
      <c r="B33" s="67" t="s">
        <v>844</v>
      </c>
      <c r="C33" s="67" t="s">
        <v>43</v>
      </c>
    </row>
    <row r="34" spans="1:3" x14ac:dyDescent="0.25">
      <c r="A34" s="66">
        <v>30</v>
      </c>
      <c r="B34" s="67" t="s">
        <v>845</v>
      </c>
      <c r="C34" s="67" t="s">
        <v>43</v>
      </c>
    </row>
    <row r="35" spans="1:3" x14ac:dyDescent="0.25">
      <c r="A35" s="66">
        <v>31</v>
      </c>
      <c r="B35" s="67" t="s">
        <v>846</v>
      </c>
      <c r="C35" s="67" t="s">
        <v>43</v>
      </c>
    </row>
    <row r="36" spans="1:3" x14ac:dyDescent="0.25">
      <c r="A36" s="66">
        <v>32</v>
      </c>
      <c r="B36" s="67" t="s">
        <v>847</v>
      </c>
      <c r="C36" s="67" t="s">
        <v>43</v>
      </c>
    </row>
    <row r="37" spans="1:3" x14ac:dyDescent="0.25">
      <c r="A37" s="66">
        <v>33</v>
      </c>
      <c r="B37" s="67" t="s">
        <v>848</v>
      </c>
      <c r="C37" s="67" t="s">
        <v>43</v>
      </c>
    </row>
    <row r="38" spans="1:3" x14ac:dyDescent="0.25">
      <c r="A38" s="66">
        <v>34</v>
      </c>
      <c r="B38" s="67" t="s">
        <v>849</v>
      </c>
      <c r="C38" s="67" t="s">
        <v>43</v>
      </c>
    </row>
    <row r="39" spans="1:3" x14ac:dyDescent="0.25">
      <c r="A39" s="66">
        <v>35</v>
      </c>
      <c r="B39" s="67" t="s">
        <v>850</v>
      </c>
      <c r="C39" s="67" t="s">
        <v>43</v>
      </c>
    </row>
    <row r="40" spans="1:3" x14ac:dyDescent="0.25">
      <c r="A40" s="66">
        <v>36</v>
      </c>
      <c r="B40" s="67" t="s">
        <v>851</v>
      </c>
      <c r="C40" s="67" t="s">
        <v>43</v>
      </c>
    </row>
    <row r="41" spans="1:3" x14ac:dyDescent="0.25">
      <c r="A41" s="66">
        <v>37</v>
      </c>
      <c r="B41" s="67" t="s">
        <v>852</v>
      </c>
      <c r="C41" s="67" t="s">
        <v>43</v>
      </c>
    </row>
    <row r="42" spans="1:3" x14ac:dyDescent="0.25">
      <c r="A42" s="66">
        <v>38</v>
      </c>
      <c r="B42" s="67" t="s">
        <v>853</v>
      </c>
      <c r="C42" s="67" t="s">
        <v>43</v>
      </c>
    </row>
    <row r="43" spans="1:3" x14ac:dyDescent="0.25">
      <c r="A43" s="66">
        <v>39</v>
      </c>
      <c r="B43" s="67" t="s">
        <v>854</v>
      </c>
      <c r="C43" s="67" t="s">
        <v>43</v>
      </c>
    </row>
    <row r="44" spans="1:3" x14ac:dyDescent="0.25">
      <c r="A44" s="66">
        <v>40</v>
      </c>
      <c r="B44" s="67" t="s">
        <v>855</v>
      </c>
      <c r="C44" s="67" t="s">
        <v>43</v>
      </c>
    </row>
    <row r="45" spans="1:3" x14ac:dyDescent="0.25">
      <c r="A45" s="66">
        <v>41</v>
      </c>
      <c r="B45" s="67" t="s">
        <v>856</v>
      </c>
      <c r="C45" s="67" t="s">
        <v>43</v>
      </c>
    </row>
    <row r="46" spans="1:3" x14ac:dyDescent="0.25">
      <c r="A46" s="66">
        <v>42</v>
      </c>
      <c r="B46" s="67" t="s">
        <v>857</v>
      </c>
      <c r="C46" s="67" t="s">
        <v>43</v>
      </c>
    </row>
    <row r="47" spans="1:3" x14ac:dyDescent="0.25">
      <c r="A47" s="66">
        <v>43</v>
      </c>
      <c r="B47" s="67" t="s">
        <v>858</v>
      </c>
      <c r="C47" s="67" t="s">
        <v>43</v>
      </c>
    </row>
    <row r="48" spans="1:3" x14ac:dyDescent="0.25">
      <c r="A48" s="66">
        <v>44</v>
      </c>
      <c r="B48" s="67" t="s">
        <v>859</v>
      </c>
      <c r="C48" s="67" t="s">
        <v>43</v>
      </c>
    </row>
    <row r="49" spans="1:4" x14ac:dyDescent="0.25">
      <c r="A49" s="66">
        <v>45</v>
      </c>
      <c r="B49" s="67" t="s">
        <v>860</v>
      </c>
      <c r="C49" s="67" t="s">
        <v>43</v>
      </c>
    </row>
    <row r="50" spans="1:4" x14ac:dyDescent="0.25">
      <c r="A50" s="66">
        <v>46</v>
      </c>
      <c r="B50" s="67" t="s">
        <v>861</v>
      </c>
      <c r="C50" s="67" t="s">
        <v>43</v>
      </c>
    </row>
    <row r="51" spans="1:4" x14ac:dyDescent="0.25">
      <c r="A51" s="66">
        <v>47</v>
      </c>
      <c r="B51" s="67" t="s">
        <v>862</v>
      </c>
      <c r="C51" s="67" t="s">
        <v>43</v>
      </c>
    </row>
    <row r="52" spans="1:4" x14ac:dyDescent="0.25">
      <c r="A52" s="66">
        <v>48</v>
      </c>
      <c r="B52" s="67" t="s">
        <v>863</v>
      </c>
      <c r="C52" s="67" t="s">
        <v>43</v>
      </c>
    </row>
    <row r="53" spans="1:4" x14ac:dyDescent="0.25">
      <c r="A53" s="66">
        <v>49</v>
      </c>
      <c r="B53" s="67" t="s">
        <v>864</v>
      </c>
      <c r="C53" s="67" t="s">
        <v>43</v>
      </c>
    </row>
    <row r="54" spans="1:4" x14ac:dyDescent="0.25">
      <c r="A54" s="66">
        <v>50</v>
      </c>
      <c r="B54" s="67" t="s">
        <v>865</v>
      </c>
      <c r="C54" s="67" t="s">
        <v>43</v>
      </c>
    </row>
    <row r="55" spans="1:4" x14ac:dyDescent="0.25">
      <c r="A55" s="66">
        <v>51</v>
      </c>
      <c r="B55" s="67" t="s">
        <v>866</v>
      </c>
      <c r="C55" s="67" t="s">
        <v>43</v>
      </c>
      <c r="D55" s="106"/>
    </row>
    <row r="56" spans="1:4" x14ac:dyDescent="0.25">
      <c r="A56" s="66">
        <v>52</v>
      </c>
      <c r="B56" s="67" t="s">
        <v>867</v>
      </c>
      <c r="C56" s="67" t="s">
        <v>43</v>
      </c>
    </row>
    <row r="57" spans="1:4" x14ac:dyDescent="0.25">
      <c r="A57" s="66">
        <v>53</v>
      </c>
      <c r="B57" s="67" t="s">
        <v>868</v>
      </c>
      <c r="C57" s="67" t="s">
        <v>43</v>
      </c>
    </row>
    <row r="58" spans="1:4" x14ac:dyDescent="0.25">
      <c r="A58" s="66">
        <v>54</v>
      </c>
      <c r="B58" s="67" t="s">
        <v>869</v>
      </c>
      <c r="C58" s="67" t="s">
        <v>43</v>
      </c>
      <c r="D58" s="106"/>
    </row>
    <row r="59" spans="1:4" x14ac:dyDescent="0.25">
      <c r="A59" s="66">
        <v>55</v>
      </c>
      <c r="B59" s="67" t="s">
        <v>870</v>
      </c>
      <c r="C59" s="67" t="s">
        <v>43</v>
      </c>
    </row>
    <row r="60" spans="1:4" x14ac:dyDescent="0.25">
      <c r="A60" s="66">
        <v>56</v>
      </c>
      <c r="B60" s="67" t="s">
        <v>871</v>
      </c>
      <c r="C60" s="67" t="s">
        <v>43</v>
      </c>
    </row>
    <row r="61" spans="1:4" x14ac:dyDescent="0.25">
      <c r="A61" s="66">
        <v>57</v>
      </c>
      <c r="B61" s="67" t="s">
        <v>872</v>
      </c>
      <c r="C61" s="67" t="s">
        <v>43</v>
      </c>
    </row>
    <row r="62" spans="1:4" x14ac:dyDescent="0.25">
      <c r="A62" s="66">
        <v>58</v>
      </c>
      <c r="B62" s="67" t="s">
        <v>873</v>
      </c>
      <c r="C62" s="67" t="s">
        <v>43</v>
      </c>
    </row>
    <row r="63" spans="1:4" x14ac:dyDescent="0.25">
      <c r="A63" s="66">
        <v>59</v>
      </c>
      <c r="B63" s="67" t="s">
        <v>874</v>
      </c>
      <c r="C63" s="67" t="s">
        <v>43</v>
      </c>
    </row>
    <row r="64" spans="1:4" x14ac:dyDescent="0.25">
      <c r="A64" s="66">
        <v>60</v>
      </c>
      <c r="B64" s="67" t="s">
        <v>879</v>
      </c>
      <c r="C64" s="67" t="s">
        <v>43</v>
      </c>
    </row>
    <row r="65" spans="1:3" x14ac:dyDescent="0.25">
      <c r="A65" s="66">
        <v>61</v>
      </c>
      <c r="B65" s="67" t="s">
        <v>875</v>
      </c>
      <c r="C65" s="67" t="s">
        <v>43</v>
      </c>
    </row>
    <row r="66" spans="1:3" x14ac:dyDescent="0.25">
      <c r="A66" s="66">
        <v>62</v>
      </c>
      <c r="B66" s="67" t="s">
        <v>876</v>
      </c>
      <c r="C66" s="67" t="s">
        <v>43</v>
      </c>
    </row>
    <row r="67" spans="1:3" x14ac:dyDescent="0.25">
      <c r="A67" s="66">
        <v>63</v>
      </c>
      <c r="B67" s="67"/>
      <c r="C67" s="67" t="s">
        <v>43</v>
      </c>
    </row>
    <row r="68" spans="1:3" x14ac:dyDescent="0.25">
      <c r="A68" s="66">
        <v>64</v>
      </c>
      <c r="B68" s="67"/>
      <c r="C68" s="67" t="s">
        <v>43</v>
      </c>
    </row>
    <row r="69" spans="1:3" x14ac:dyDescent="0.25">
      <c r="A69" s="66">
        <v>65</v>
      </c>
      <c r="B69" s="67" t="s">
        <v>877</v>
      </c>
      <c r="C69" s="67" t="s">
        <v>43</v>
      </c>
    </row>
    <row r="70" spans="1:3" x14ac:dyDescent="0.25">
      <c r="A70" s="66">
        <v>66</v>
      </c>
      <c r="B70" s="67" t="s">
        <v>878</v>
      </c>
      <c r="C70" s="67" t="s">
        <v>43</v>
      </c>
    </row>
  </sheetData>
  <mergeCells count="2">
    <mergeCell ref="A1:B1"/>
    <mergeCell ref="A2:B2"/>
  </mergeCells>
  <dataValidations count="1">
    <dataValidation type="list" allowBlank="1" showInputMessage="1" showErrorMessage="1" sqref="C5:C70" xr:uid="{00000000-0002-0000-0000-000000000000}">
      <formula1>"Sí,No"</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9"/>
  <dimension ref="A1:E525"/>
  <sheetViews>
    <sheetView zoomScale="130" zoomScaleNormal="130" workbookViewId="0">
      <selection activeCell="F17" sqref="F17"/>
    </sheetView>
  </sheetViews>
  <sheetFormatPr baseColWidth="10" defaultRowHeight="15" x14ac:dyDescent="0.25"/>
  <cols>
    <col min="1" max="1" width="18.7109375" bestFit="1" customWidth="1"/>
  </cols>
  <sheetData>
    <row r="1" spans="1:5" x14ac:dyDescent="0.25">
      <c r="A1" s="108" t="s">
        <v>2516</v>
      </c>
      <c r="B1" s="108" t="s">
        <v>2529</v>
      </c>
      <c r="C1" s="108" t="s">
        <v>2535</v>
      </c>
      <c r="D1" s="108"/>
      <c r="E1" s="111" t="s">
        <v>2536</v>
      </c>
    </row>
    <row r="2" spans="1:5" x14ac:dyDescent="0.25">
      <c r="A2" s="109">
        <v>44197</v>
      </c>
      <c r="B2" s="110" t="s">
        <v>2530</v>
      </c>
      <c r="C2" s="110">
        <v>1</v>
      </c>
      <c r="E2" s="107">
        <v>44926</v>
      </c>
    </row>
    <row r="3" spans="1:5" x14ac:dyDescent="0.25">
      <c r="A3" s="109">
        <v>44198</v>
      </c>
      <c r="B3" s="110" t="s">
        <v>2531</v>
      </c>
      <c r="C3" s="110">
        <v>1</v>
      </c>
    </row>
    <row r="4" spans="1:5" x14ac:dyDescent="0.25">
      <c r="A4" s="109">
        <v>44199</v>
      </c>
      <c r="B4" s="110" t="s">
        <v>2532</v>
      </c>
      <c r="C4" s="110">
        <v>1</v>
      </c>
    </row>
    <row r="5" spans="1:5" x14ac:dyDescent="0.25">
      <c r="A5" s="109">
        <f>A3+7</f>
        <v>44205</v>
      </c>
      <c r="B5" s="110" t="s">
        <v>2531</v>
      </c>
      <c r="C5" s="110">
        <v>1</v>
      </c>
    </row>
    <row r="6" spans="1:5" x14ac:dyDescent="0.25">
      <c r="A6" s="109">
        <f>A4+7</f>
        <v>44206</v>
      </c>
      <c r="B6" s="110" t="s">
        <v>2532</v>
      </c>
      <c r="C6" s="110">
        <v>1</v>
      </c>
    </row>
    <row r="7" spans="1:5" x14ac:dyDescent="0.25">
      <c r="A7" s="109">
        <v>44207</v>
      </c>
      <c r="B7" s="110" t="s">
        <v>2530</v>
      </c>
      <c r="C7" s="110">
        <v>1</v>
      </c>
    </row>
    <row r="8" spans="1:5" x14ac:dyDescent="0.25">
      <c r="A8" s="109">
        <f>A5+7</f>
        <v>44212</v>
      </c>
      <c r="B8" s="110" t="s">
        <v>2531</v>
      </c>
      <c r="C8" s="110">
        <v>1</v>
      </c>
    </row>
    <row r="9" spans="1:5" x14ac:dyDescent="0.25">
      <c r="A9" s="109">
        <f>A6+7</f>
        <v>44213</v>
      </c>
      <c r="B9" s="110" t="s">
        <v>2532</v>
      </c>
      <c r="C9" s="110">
        <v>1</v>
      </c>
    </row>
    <row r="10" spans="1:5" x14ac:dyDescent="0.25">
      <c r="A10" s="109">
        <f t="shared" ref="A10:A27" si="0">A8+7</f>
        <v>44219</v>
      </c>
      <c r="B10" s="110" t="s">
        <v>2531</v>
      </c>
      <c r="C10" s="110">
        <v>1</v>
      </c>
    </row>
    <row r="11" spans="1:5" x14ac:dyDescent="0.25">
      <c r="A11" s="109">
        <f t="shared" si="0"/>
        <v>44220</v>
      </c>
      <c r="B11" s="110" t="s">
        <v>2532</v>
      </c>
      <c r="C11" s="110">
        <v>1</v>
      </c>
    </row>
    <row r="12" spans="1:5" x14ac:dyDescent="0.25">
      <c r="A12" s="109">
        <f t="shared" si="0"/>
        <v>44226</v>
      </c>
      <c r="B12" s="110" t="s">
        <v>2531</v>
      </c>
      <c r="C12" s="110">
        <v>1</v>
      </c>
    </row>
    <row r="13" spans="1:5" x14ac:dyDescent="0.25">
      <c r="A13" s="109">
        <f t="shared" si="0"/>
        <v>44227</v>
      </c>
      <c r="B13" s="110" t="s">
        <v>2532</v>
      </c>
      <c r="C13" s="110">
        <v>1</v>
      </c>
    </row>
    <row r="14" spans="1:5" x14ac:dyDescent="0.25">
      <c r="A14" s="109">
        <f t="shared" si="0"/>
        <v>44233</v>
      </c>
      <c r="B14" s="110" t="s">
        <v>2531</v>
      </c>
      <c r="C14" s="110">
        <v>1</v>
      </c>
    </row>
    <row r="15" spans="1:5" x14ac:dyDescent="0.25">
      <c r="A15" s="109">
        <f t="shared" si="0"/>
        <v>44234</v>
      </c>
      <c r="B15" s="110" t="s">
        <v>2532</v>
      </c>
      <c r="C15" s="110">
        <v>1</v>
      </c>
    </row>
    <row r="16" spans="1:5" x14ac:dyDescent="0.25">
      <c r="A16" s="109">
        <f t="shared" si="0"/>
        <v>44240</v>
      </c>
      <c r="B16" s="110" t="s">
        <v>2531</v>
      </c>
      <c r="C16" s="110">
        <v>1</v>
      </c>
    </row>
    <row r="17" spans="1:3" x14ac:dyDescent="0.25">
      <c r="A17" s="109">
        <f t="shared" si="0"/>
        <v>44241</v>
      </c>
      <c r="B17" s="110" t="s">
        <v>2532</v>
      </c>
      <c r="C17" s="110">
        <v>1</v>
      </c>
    </row>
    <row r="18" spans="1:3" x14ac:dyDescent="0.25">
      <c r="A18" s="109">
        <f t="shared" si="0"/>
        <v>44247</v>
      </c>
      <c r="B18" s="110" t="s">
        <v>2531</v>
      </c>
      <c r="C18" s="110">
        <v>1</v>
      </c>
    </row>
    <row r="19" spans="1:3" x14ac:dyDescent="0.25">
      <c r="A19" s="109">
        <f t="shared" si="0"/>
        <v>44248</v>
      </c>
      <c r="B19" s="110" t="s">
        <v>2532</v>
      </c>
      <c r="C19" s="110">
        <v>1</v>
      </c>
    </row>
    <row r="20" spans="1:3" x14ac:dyDescent="0.25">
      <c r="A20" s="109">
        <f t="shared" si="0"/>
        <v>44254</v>
      </c>
      <c r="B20" s="110" t="s">
        <v>2531</v>
      </c>
      <c r="C20" s="110">
        <v>1</v>
      </c>
    </row>
    <row r="21" spans="1:3" x14ac:dyDescent="0.25">
      <c r="A21" s="109">
        <f t="shared" si="0"/>
        <v>44255</v>
      </c>
      <c r="B21" s="110" t="s">
        <v>2532</v>
      </c>
      <c r="C21" s="110">
        <v>1</v>
      </c>
    </row>
    <row r="22" spans="1:3" x14ac:dyDescent="0.25">
      <c r="A22" s="109">
        <f t="shared" si="0"/>
        <v>44261</v>
      </c>
      <c r="B22" s="110" t="s">
        <v>2531</v>
      </c>
      <c r="C22" s="110">
        <v>1</v>
      </c>
    </row>
    <row r="23" spans="1:3" x14ac:dyDescent="0.25">
      <c r="A23" s="109">
        <f t="shared" si="0"/>
        <v>44262</v>
      </c>
      <c r="B23" s="110" t="s">
        <v>2532</v>
      </c>
      <c r="C23" s="110">
        <v>1</v>
      </c>
    </row>
    <row r="24" spans="1:3" x14ac:dyDescent="0.25">
      <c r="A24" s="109">
        <f t="shared" si="0"/>
        <v>44268</v>
      </c>
      <c r="B24" s="110" t="s">
        <v>2531</v>
      </c>
      <c r="C24" s="110">
        <v>1</v>
      </c>
    </row>
    <row r="25" spans="1:3" x14ac:dyDescent="0.25">
      <c r="A25" s="109">
        <f t="shared" si="0"/>
        <v>44269</v>
      </c>
      <c r="B25" s="110" t="s">
        <v>2532</v>
      </c>
      <c r="C25" s="110">
        <v>1</v>
      </c>
    </row>
    <row r="26" spans="1:3" x14ac:dyDescent="0.25">
      <c r="A26" s="109">
        <f t="shared" si="0"/>
        <v>44275</v>
      </c>
      <c r="B26" s="110" t="s">
        <v>2531</v>
      </c>
      <c r="C26" s="110">
        <v>1</v>
      </c>
    </row>
    <row r="27" spans="1:3" x14ac:dyDescent="0.25">
      <c r="A27" s="109">
        <f t="shared" si="0"/>
        <v>44276</v>
      </c>
      <c r="B27" s="110" t="s">
        <v>2532</v>
      </c>
      <c r="C27" s="110">
        <v>1</v>
      </c>
    </row>
    <row r="28" spans="1:3" x14ac:dyDescent="0.25">
      <c r="A28" s="109">
        <v>44277</v>
      </c>
      <c r="B28" s="110" t="s">
        <v>2530</v>
      </c>
      <c r="C28" s="110">
        <v>1</v>
      </c>
    </row>
    <row r="29" spans="1:3" x14ac:dyDescent="0.25">
      <c r="A29" s="109">
        <f>A26+7</f>
        <v>44282</v>
      </c>
      <c r="B29" s="110" t="s">
        <v>2531</v>
      </c>
      <c r="C29" s="110">
        <v>1</v>
      </c>
    </row>
    <row r="30" spans="1:3" x14ac:dyDescent="0.25">
      <c r="A30" s="109">
        <f>A27+7</f>
        <v>44283</v>
      </c>
      <c r="B30" s="110" t="s">
        <v>2532</v>
      </c>
      <c r="C30" s="110">
        <v>1</v>
      </c>
    </row>
    <row r="31" spans="1:3" x14ac:dyDescent="0.25">
      <c r="A31" s="109">
        <v>44284</v>
      </c>
      <c r="B31" s="110" t="s">
        <v>2533</v>
      </c>
      <c r="C31" s="110">
        <v>1</v>
      </c>
    </row>
    <row r="32" spans="1:3" x14ac:dyDescent="0.25">
      <c r="A32" s="109">
        <v>44285</v>
      </c>
      <c r="B32" s="110" t="s">
        <v>2533</v>
      </c>
      <c r="C32" s="110">
        <v>1</v>
      </c>
    </row>
    <row r="33" spans="1:3" x14ac:dyDescent="0.25">
      <c r="A33" s="109">
        <v>44286</v>
      </c>
      <c r="B33" s="110" t="s">
        <v>2533</v>
      </c>
      <c r="C33" s="110">
        <v>1</v>
      </c>
    </row>
    <row r="34" spans="1:3" x14ac:dyDescent="0.25">
      <c r="A34" s="109">
        <v>44287</v>
      </c>
      <c r="B34" s="110" t="s">
        <v>2533</v>
      </c>
      <c r="C34" s="110">
        <v>1</v>
      </c>
    </row>
    <row r="35" spans="1:3" x14ac:dyDescent="0.25">
      <c r="A35" s="109">
        <v>44288</v>
      </c>
      <c r="B35" s="110" t="s">
        <v>2533</v>
      </c>
      <c r="C35" s="110">
        <v>1</v>
      </c>
    </row>
    <row r="36" spans="1:3" x14ac:dyDescent="0.25">
      <c r="A36" s="109">
        <f>A29+7</f>
        <v>44289</v>
      </c>
      <c r="B36" s="110" t="s">
        <v>2531</v>
      </c>
      <c r="C36" s="110">
        <v>1</v>
      </c>
    </row>
    <row r="37" spans="1:3" x14ac:dyDescent="0.25">
      <c r="A37" s="109">
        <f>A30+7</f>
        <v>44290</v>
      </c>
      <c r="B37" s="110" t="s">
        <v>2532</v>
      </c>
      <c r="C37" s="110">
        <v>1</v>
      </c>
    </row>
    <row r="38" spans="1:3" x14ac:dyDescent="0.25">
      <c r="A38" s="109">
        <f t="shared" ref="A38:A49" si="1">A36+7</f>
        <v>44296</v>
      </c>
      <c r="B38" s="110" t="s">
        <v>2531</v>
      </c>
      <c r="C38" s="110">
        <v>1</v>
      </c>
    </row>
    <row r="39" spans="1:3" x14ac:dyDescent="0.25">
      <c r="A39" s="109">
        <f t="shared" si="1"/>
        <v>44297</v>
      </c>
      <c r="B39" s="110" t="s">
        <v>2532</v>
      </c>
      <c r="C39" s="110">
        <v>1</v>
      </c>
    </row>
    <row r="40" spans="1:3" x14ac:dyDescent="0.25">
      <c r="A40" s="109">
        <f t="shared" si="1"/>
        <v>44303</v>
      </c>
      <c r="B40" s="110" t="s">
        <v>2531</v>
      </c>
      <c r="C40" s="110">
        <v>1</v>
      </c>
    </row>
    <row r="41" spans="1:3" x14ac:dyDescent="0.25">
      <c r="A41" s="109">
        <f t="shared" si="1"/>
        <v>44304</v>
      </c>
      <c r="B41" s="110" t="s">
        <v>2532</v>
      </c>
      <c r="C41" s="110">
        <v>1</v>
      </c>
    </row>
    <row r="42" spans="1:3" x14ac:dyDescent="0.25">
      <c r="A42" s="109">
        <f t="shared" si="1"/>
        <v>44310</v>
      </c>
      <c r="B42" s="110" t="s">
        <v>2531</v>
      </c>
      <c r="C42" s="110">
        <v>1</v>
      </c>
    </row>
    <row r="43" spans="1:3" x14ac:dyDescent="0.25">
      <c r="A43" s="109">
        <f t="shared" si="1"/>
        <v>44311</v>
      </c>
      <c r="B43" s="110" t="s">
        <v>2532</v>
      </c>
      <c r="C43" s="110">
        <v>1</v>
      </c>
    </row>
    <row r="44" spans="1:3" x14ac:dyDescent="0.25">
      <c r="A44" s="109">
        <f t="shared" si="1"/>
        <v>44317</v>
      </c>
      <c r="B44" s="110" t="s">
        <v>2531</v>
      </c>
      <c r="C44" s="110">
        <v>1</v>
      </c>
    </row>
    <row r="45" spans="1:3" x14ac:dyDescent="0.25">
      <c r="A45" s="109">
        <f t="shared" si="1"/>
        <v>44318</v>
      </c>
      <c r="B45" s="110" t="s">
        <v>2532</v>
      </c>
      <c r="C45" s="110">
        <v>1</v>
      </c>
    </row>
    <row r="46" spans="1:3" x14ac:dyDescent="0.25">
      <c r="A46" s="109">
        <f t="shared" si="1"/>
        <v>44324</v>
      </c>
      <c r="B46" s="110" t="s">
        <v>2531</v>
      </c>
      <c r="C46" s="110">
        <v>1</v>
      </c>
    </row>
    <row r="47" spans="1:3" x14ac:dyDescent="0.25">
      <c r="A47" s="109">
        <f t="shared" si="1"/>
        <v>44325</v>
      </c>
      <c r="B47" s="110" t="s">
        <v>2532</v>
      </c>
      <c r="C47" s="110">
        <v>1</v>
      </c>
    </row>
    <row r="48" spans="1:3" x14ac:dyDescent="0.25">
      <c r="A48" s="109">
        <f t="shared" si="1"/>
        <v>44331</v>
      </c>
      <c r="B48" s="110" t="s">
        <v>2531</v>
      </c>
      <c r="C48" s="110">
        <v>1</v>
      </c>
    </row>
    <row r="49" spans="1:3" x14ac:dyDescent="0.25">
      <c r="A49" s="109">
        <f t="shared" si="1"/>
        <v>44332</v>
      </c>
      <c r="B49" s="110" t="s">
        <v>2532</v>
      </c>
      <c r="C49" s="110">
        <v>1</v>
      </c>
    </row>
    <row r="50" spans="1:3" x14ac:dyDescent="0.25">
      <c r="A50" s="109">
        <v>44333</v>
      </c>
      <c r="B50" s="110" t="s">
        <v>2530</v>
      </c>
      <c r="C50" s="110">
        <v>1</v>
      </c>
    </row>
    <row r="51" spans="1:3" x14ac:dyDescent="0.25">
      <c r="A51" s="109">
        <f>A48+7</f>
        <v>44338</v>
      </c>
      <c r="B51" s="110" t="s">
        <v>2531</v>
      </c>
      <c r="C51" s="110">
        <v>1</v>
      </c>
    </row>
    <row r="52" spans="1:3" x14ac:dyDescent="0.25">
      <c r="A52" s="109">
        <f>A49+7</f>
        <v>44339</v>
      </c>
      <c r="B52" s="110" t="s">
        <v>2532</v>
      </c>
      <c r="C52" s="110">
        <v>1</v>
      </c>
    </row>
    <row r="53" spans="1:3" x14ac:dyDescent="0.25">
      <c r="A53" s="109">
        <f>A51+7</f>
        <v>44345</v>
      </c>
      <c r="B53" s="110" t="s">
        <v>2531</v>
      </c>
      <c r="C53" s="110">
        <v>1</v>
      </c>
    </row>
    <row r="54" spans="1:3" x14ac:dyDescent="0.25">
      <c r="A54" s="109">
        <f>A52+7</f>
        <v>44346</v>
      </c>
      <c r="B54" s="110" t="s">
        <v>2532</v>
      </c>
      <c r="C54" s="110">
        <v>1</v>
      </c>
    </row>
    <row r="55" spans="1:3" x14ac:dyDescent="0.25">
      <c r="A55" s="109">
        <f>A53+7</f>
        <v>44352</v>
      </c>
      <c r="B55" s="110" t="s">
        <v>2531</v>
      </c>
      <c r="C55" s="110">
        <v>1</v>
      </c>
    </row>
    <row r="56" spans="1:3" x14ac:dyDescent="0.25">
      <c r="A56" s="109">
        <f>A54+7</f>
        <v>44353</v>
      </c>
      <c r="B56" s="110" t="s">
        <v>2532</v>
      </c>
      <c r="C56" s="110">
        <v>1</v>
      </c>
    </row>
    <row r="57" spans="1:3" x14ac:dyDescent="0.25">
      <c r="A57" s="109">
        <v>44354</v>
      </c>
      <c r="B57" s="110" t="s">
        <v>2530</v>
      </c>
      <c r="C57" s="110">
        <v>1</v>
      </c>
    </row>
    <row r="58" spans="1:3" x14ac:dyDescent="0.25">
      <c r="A58" s="109">
        <f>A55+7</f>
        <v>44359</v>
      </c>
      <c r="B58" s="110" t="s">
        <v>2531</v>
      </c>
      <c r="C58" s="110">
        <v>1</v>
      </c>
    </row>
    <row r="59" spans="1:3" x14ac:dyDescent="0.25">
      <c r="A59" s="109">
        <f>A56+7</f>
        <v>44360</v>
      </c>
      <c r="B59" s="110" t="s">
        <v>2532</v>
      </c>
      <c r="C59" s="110">
        <v>1</v>
      </c>
    </row>
    <row r="60" spans="1:3" x14ac:dyDescent="0.25">
      <c r="A60" s="109">
        <v>44361</v>
      </c>
      <c r="B60" s="110" t="s">
        <v>2530</v>
      </c>
      <c r="C60" s="110">
        <v>1</v>
      </c>
    </row>
    <row r="61" spans="1:3" x14ac:dyDescent="0.25">
      <c r="A61" s="109">
        <f>A58+7</f>
        <v>44366</v>
      </c>
      <c r="B61" s="110" t="s">
        <v>2531</v>
      </c>
      <c r="C61" s="110">
        <v>1</v>
      </c>
    </row>
    <row r="62" spans="1:3" x14ac:dyDescent="0.25">
      <c r="A62" s="109">
        <f>A59+7</f>
        <v>44367</v>
      </c>
      <c r="B62" s="110" t="s">
        <v>2532</v>
      </c>
      <c r="C62" s="110">
        <v>1</v>
      </c>
    </row>
    <row r="63" spans="1:3" x14ac:dyDescent="0.25">
      <c r="A63" s="109">
        <f>A61+7</f>
        <v>44373</v>
      </c>
      <c r="B63" s="110" t="s">
        <v>2531</v>
      </c>
      <c r="C63" s="110">
        <v>1</v>
      </c>
    </row>
    <row r="64" spans="1:3" x14ac:dyDescent="0.25">
      <c r="A64" s="109">
        <f>A62+7</f>
        <v>44374</v>
      </c>
      <c r="B64" s="110" t="s">
        <v>2532</v>
      </c>
      <c r="C64" s="110">
        <v>1</v>
      </c>
    </row>
    <row r="65" spans="1:3" x14ac:dyDescent="0.25">
      <c r="A65" s="109">
        <f>A63+7</f>
        <v>44380</v>
      </c>
      <c r="B65" s="110" t="s">
        <v>2531</v>
      </c>
      <c r="C65" s="110">
        <v>1</v>
      </c>
    </row>
    <row r="66" spans="1:3" x14ac:dyDescent="0.25">
      <c r="A66" s="109">
        <f>A64+7</f>
        <v>44381</v>
      </c>
      <c r="B66" s="110" t="s">
        <v>2532</v>
      </c>
      <c r="C66" s="110">
        <v>1</v>
      </c>
    </row>
    <row r="67" spans="1:3" x14ac:dyDescent="0.25">
      <c r="A67" s="109">
        <v>44382</v>
      </c>
      <c r="B67" s="110" t="s">
        <v>2530</v>
      </c>
      <c r="C67" s="110">
        <v>1</v>
      </c>
    </row>
    <row r="68" spans="1:3" x14ac:dyDescent="0.25">
      <c r="A68" s="109">
        <f>A65+7</f>
        <v>44387</v>
      </c>
      <c r="B68" s="110" t="s">
        <v>2531</v>
      </c>
      <c r="C68" s="110">
        <v>1</v>
      </c>
    </row>
    <row r="69" spans="1:3" x14ac:dyDescent="0.25">
      <c r="A69" s="109">
        <f>A66+7</f>
        <v>44388</v>
      </c>
      <c r="B69" s="110" t="s">
        <v>2532</v>
      </c>
      <c r="C69" s="110">
        <v>1</v>
      </c>
    </row>
    <row r="70" spans="1:3" x14ac:dyDescent="0.25">
      <c r="A70" s="109">
        <f>A68+7</f>
        <v>44394</v>
      </c>
      <c r="B70" s="110" t="s">
        <v>2531</v>
      </c>
      <c r="C70" s="110">
        <v>1</v>
      </c>
    </row>
    <row r="71" spans="1:3" x14ac:dyDescent="0.25">
      <c r="A71" s="109">
        <f>A69+7</f>
        <v>44395</v>
      </c>
      <c r="B71" s="110" t="s">
        <v>2532</v>
      </c>
      <c r="C71" s="110">
        <v>1</v>
      </c>
    </row>
    <row r="72" spans="1:3" x14ac:dyDescent="0.25">
      <c r="A72" s="109">
        <v>44397</v>
      </c>
      <c r="B72" s="110" t="s">
        <v>2530</v>
      </c>
      <c r="C72" s="110">
        <v>1</v>
      </c>
    </row>
    <row r="73" spans="1:3" x14ac:dyDescent="0.25">
      <c r="A73" s="109">
        <f>A70+7</f>
        <v>44401</v>
      </c>
      <c r="B73" s="110" t="s">
        <v>2531</v>
      </c>
      <c r="C73" s="110">
        <v>1</v>
      </c>
    </row>
    <row r="74" spans="1:3" x14ac:dyDescent="0.25">
      <c r="A74" s="109">
        <f>A71+7</f>
        <v>44402</v>
      </c>
      <c r="B74" s="110" t="s">
        <v>2532</v>
      </c>
      <c r="C74" s="110">
        <v>1</v>
      </c>
    </row>
    <row r="75" spans="1:3" x14ac:dyDescent="0.25">
      <c r="A75" s="109">
        <f t="shared" ref="A75:A80" si="2">A73+7</f>
        <v>44408</v>
      </c>
      <c r="B75" s="110" t="s">
        <v>2531</v>
      </c>
      <c r="C75" s="110">
        <v>1</v>
      </c>
    </row>
    <row r="76" spans="1:3" x14ac:dyDescent="0.25">
      <c r="A76" s="109">
        <f t="shared" si="2"/>
        <v>44409</v>
      </c>
      <c r="B76" s="110" t="s">
        <v>2532</v>
      </c>
      <c r="C76" s="110">
        <v>1</v>
      </c>
    </row>
    <row r="77" spans="1:3" x14ac:dyDescent="0.25">
      <c r="A77" s="109">
        <f t="shared" si="2"/>
        <v>44415</v>
      </c>
      <c r="B77" s="110" t="s">
        <v>2531</v>
      </c>
      <c r="C77" s="110">
        <v>1</v>
      </c>
    </row>
    <row r="78" spans="1:3" x14ac:dyDescent="0.25">
      <c r="A78" s="109">
        <f t="shared" si="2"/>
        <v>44416</v>
      </c>
      <c r="B78" s="110" t="s">
        <v>2532</v>
      </c>
      <c r="C78" s="110">
        <v>1</v>
      </c>
    </row>
    <row r="79" spans="1:3" x14ac:dyDescent="0.25">
      <c r="A79" s="109">
        <f t="shared" si="2"/>
        <v>44422</v>
      </c>
      <c r="B79" s="110" t="s">
        <v>2531</v>
      </c>
      <c r="C79" s="110">
        <v>1</v>
      </c>
    </row>
    <row r="80" spans="1:3" x14ac:dyDescent="0.25">
      <c r="A80" s="109">
        <f t="shared" si="2"/>
        <v>44423</v>
      </c>
      <c r="B80" s="110" t="s">
        <v>2532</v>
      </c>
      <c r="C80" s="110">
        <v>1</v>
      </c>
    </row>
    <row r="81" spans="1:3" x14ac:dyDescent="0.25">
      <c r="A81" s="109">
        <v>44424</v>
      </c>
      <c r="B81" s="110" t="s">
        <v>2530</v>
      </c>
      <c r="C81" s="110">
        <v>1</v>
      </c>
    </row>
    <row r="82" spans="1:3" x14ac:dyDescent="0.25">
      <c r="A82" s="109">
        <f>A79+7</f>
        <v>44429</v>
      </c>
      <c r="B82" s="110" t="s">
        <v>2531</v>
      </c>
      <c r="C82" s="110">
        <v>1</v>
      </c>
    </row>
    <row r="83" spans="1:3" x14ac:dyDescent="0.25">
      <c r="A83" s="109">
        <f>A80+7</f>
        <v>44430</v>
      </c>
      <c r="B83" s="110" t="s">
        <v>2532</v>
      </c>
      <c r="C83" s="110">
        <v>1</v>
      </c>
    </row>
    <row r="84" spans="1:3" x14ac:dyDescent="0.25">
      <c r="A84" s="109">
        <f t="shared" ref="A84:A99" si="3">A82+7</f>
        <v>44436</v>
      </c>
      <c r="B84" s="110" t="s">
        <v>2531</v>
      </c>
      <c r="C84" s="110">
        <v>1</v>
      </c>
    </row>
    <row r="85" spans="1:3" x14ac:dyDescent="0.25">
      <c r="A85" s="109">
        <f t="shared" si="3"/>
        <v>44437</v>
      </c>
      <c r="B85" s="110" t="s">
        <v>2532</v>
      </c>
      <c r="C85" s="110">
        <v>1</v>
      </c>
    </row>
    <row r="86" spans="1:3" x14ac:dyDescent="0.25">
      <c r="A86" s="109">
        <f t="shared" si="3"/>
        <v>44443</v>
      </c>
      <c r="B86" s="110" t="s">
        <v>2531</v>
      </c>
      <c r="C86" s="110">
        <v>1</v>
      </c>
    </row>
    <row r="87" spans="1:3" x14ac:dyDescent="0.25">
      <c r="A87" s="109">
        <f t="shared" si="3"/>
        <v>44444</v>
      </c>
      <c r="B87" s="110" t="s">
        <v>2532</v>
      </c>
      <c r="C87" s="110">
        <v>1</v>
      </c>
    </row>
    <row r="88" spans="1:3" x14ac:dyDescent="0.25">
      <c r="A88" s="109">
        <f t="shared" si="3"/>
        <v>44450</v>
      </c>
      <c r="B88" s="110" t="s">
        <v>2531</v>
      </c>
      <c r="C88" s="110">
        <v>1</v>
      </c>
    </row>
    <row r="89" spans="1:3" x14ac:dyDescent="0.25">
      <c r="A89" s="109">
        <f t="shared" si="3"/>
        <v>44451</v>
      </c>
      <c r="B89" s="110" t="s">
        <v>2532</v>
      </c>
      <c r="C89" s="110">
        <v>1</v>
      </c>
    </row>
    <row r="90" spans="1:3" x14ac:dyDescent="0.25">
      <c r="A90" s="109">
        <f t="shared" si="3"/>
        <v>44457</v>
      </c>
      <c r="B90" s="110" t="s">
        <v>2531</v>
      </c>
      <c r="C90" s="110">
        <v>1</v>
      </c>
    </row>
    <row r="91" spans="1:3" x14ac:dyDescent="0.25">
      <c r="A91" s="109">
        <f t="shared" si="3"/>
        <v>44458</v>
      </c>
      <c r="B91" s="110" t="s">
        <v>2532</v>
      </c>
      <c r="C91" s="110">
        <v>1</v>
      </c>
    </row>
    <row r="92" spans="1:3" x14ac:dyDescent="0.25">
      <c r="A92" s="109">
        <f t="shared" si="3"/>
        <v>44464</v>
      </c>
      <c r="B92" s="110" t="s">
        <v>2531</v>
      </c>
      <c r="C92" s="110">
        <v>1</v>
      </c>
    </row>
    <row r="93" spans="1:3" x14ac:dyDescent="0.25">
      <c r="A93" s="109">
        <f t="shared" si="3"/>
        <v>44465</v>
      </c>
      <c r="B93" s="110" t="s">
        <v>2532</v>
      </c>
      <c r="C93" s="110">
        <v>1</v>
      </c>
    </row>
    <row r="94" spans="1:3" x14ac:dyDescent="0.25">
      <c r="A94" s="109">
        <f t="shared" si="3"/>
        <v>44471</v>
      </c>
      <c r="B94" s="110" t="s">
        <v>2531</v>
      </c>
      <c r="C94" s="110">
        <v>1</v>
      </c>
    </row>
    <row r="95" spans="1:3" x14ac:dyDescent="0.25">
      <c r="A95" s="109">
        <f t="shared" si="3"/>
        <v>44472</v>
      </c>
      <c r="B95" s="110" t="s">
        <v>2532</v>
      </c>
      <c r="C95" s="110">
        <v>1</v>
      </c>
    </row>
    <row r="96" spans="1:3" x14ac:dyDescent="0.25">
      <c r="A96" s="109">
        <f t="shared" si="3"/>
        <v>44478</v>
      </c>
      <c r="B96" s="110" t="s">
        <v>2531</v>
      </c>
      <c r="C96" s="110">
        <v>1</v>
      </c>
    </row>
    <row r="97" spans="1:3" x14ac:dyDescent="0.25">
      <c r="A97" s="109">
        <f t="shared" si="3"/>
        <v>44479</v>
      </c>
      <c r="B97" s="110" t="s">
        <v>2532</v>
      </c>
      <c r="C97" s="110">
        <v>1</v>
      </c>
    </row>
    <row r="98" spans="1:3" x14ac:dyDescent="0.25">
      <c r="A98" s="109">
        <f t="shared" si="3"/>
        <v>44485</v>
      </c>
      <c r="B98" s="110" t="s">
        <v>2531</v>
      </c>
      <c r="C98" s="110">
        <v>1</v>
      </c>
    </row>
    <row r="99" spans="1:3" x14ac:dyDescent="0.25">
      <c r="A99" s="109">
        <f t="shared" si="3"/>
        <v>44486</v>
      </c>
      <c r="B99" s="110" t="s">
        <v>2532</v>
      </c>
      <c r="C99" s="110">
        <v>1</v>
      </c>
    </row>
    <row r="100" spans="1:3" x14ac:dyDescent="0.25">
      <c r="A100" s="109">
        <v>44487</v>
      </c>
      <c r="B100" s="110" t="s">
        <v>2530</v>
      </c>
      <c r="C100" s="110">
        <v>1</v>
      </c>
    </row>
    <row r="101" spans="1:3" x14ac:dyDescent="0.25">
      <c r="A101" s="109">
        <f>A98+7</f>
        <v>44492</v>
      </c>
      <c r="B101" s="110" t="s">
        <v>2531</v>
      </c>
      <c r="C101" s="110">
        <v>1</v>
      </c>
    </row>
    <row r="102" spans="1:3" x14ac:dyDescent="0.25">
      <c r="A102" s="109">
        <f>A99+7</f>
        <v>44493</v>
      </c>
      <c r="B102" s="110" t="s">
        <v>2532</v>
      </c>
      <c r="C102" s="110">
        <v>1</v>
      </c>
    </row>
    <row r="103" spans="1:3" x14ac:dyDescent="0.25">
      <c r="A103" s="109">
        <f>A101+7</f>
        <v>44499</v>
      </c>
      <c r="B103" s="110" t="s">
        <v>2531</v>
      </c>
      <c r="C103" s="110">
        <v>1</v>
      </c>
    </row>
    <row r="104" spans="1:3" x14ac:dyDescent="0.25">
      <c r="A104" s="109">
        <f>A102+7</f>
        <v>44500</v>
      </c>
      <c r="B104" s="110" t="s">
        <v>2532</v>
      </c>
      <c r="C104" s="110">
        <v>1</v>
      </c>
    </row>
    <row r="105" spans="1:3" x14ac:dyDescent="0.25">
      <c r="A105" s="109">
        <v>44501</v>
      </c>
      <c r="B105" s="110" t="s">
        <v>2530</v>
      </c>
      <c r="C105" s="110">
        <v>1</v>
      </c>
    </row>
    <row r="106" spans="1:3" x14ac:dyDescent="0.25">
      <c r="A106" s="109">
        <f>A103+7</f>
        <v>44506</v>
      </c>
      <c r="B106" s="110" t="s">
        <v>2531</v>
      </c>
      <c r="C106" s="110">
        <v>1</v>
      </c>
    </row>
    <row r="107" spans="1:3" x14ac:dyDescent="0.25">
      <c r="A107" s="109">
        <f>A104+7</f>
        <v>44507</v>
      </c>
      <c r="B107" s="110" t="s">
        <v>2532</v>
      </c>
      <c r="C107" s="110">
        <v>1</v>
      </c>
    </row>
    <row r="108" spans="1:3" x14ac:dyDescent="0.25">
      <c r="A108" s="109">
        <f>A106+7</f>
        <v>44513</v>
      </c>
      <c r="B108" s="110" t="s">
        <v>2531</v>
      </c>
      <c r="C108" s="110">
        <v>1</v>
      </c>
    </row>
    <row r="109" spans="1:3" x14ac:dyDescent="0.25">
      <c r="A109" s="109">
        <f>A107+7</f>
        <v>44514</v>
      </c>
      <c r="B109" s="110" t="s">
        <v>2532</v>
      </c>
      <c r="C109" s="110">
        <v>1</v>
      </c>
    </row>
    <row r="110" spans="1:3" x14ac:dyDescent="0.25">
      <c r="A110" s="109">
        <v>44515</v>
      </c>
      <c r="B110" s="110" t="s">
        <v>2530</v>
      </c>
      <c r="C110" s="110">
        <v>1</v>
      </c>
    </row>
    <row r="111" spans="1:3" x14ac:dyDescent="0.25">
      <c r="A111" s="109">
        <f>A108+7</f>
        <v>44520</v>
      </c>
      <c r="B111" s="110" t="s">
        <v>2531</v>
      </c>
      <c r="C111" s="110">
        <v>1</v>
      </c>
    </row>
    <row r="112" spans="1:3" x14ac:dyDescent="0.25">
      <c r="A112" s="109">
        <f>A109+7</f>
        <v>44521</v>
      </c>
      <c r="B112" s="110" t="s">
        <v>2532</v>
      </c>
      <c r="C112" s="110">
        <v>1</v>
      </c>
    </row>
    <row r="113" spans="1:3" x14ac:dyDescent="0.25">
      <c r="A113" s="109">
        <f>A111+7</f>
        <v>44527</v>
      </c>
      <c r="B113" s="110" t="s">
        <v>2531</v>
      </c>
      <c r="C113" s="110">
        <v>1</v>
      </c>
    </row>
    <row r="114" spans="1:3" x14ac:dyDescent="0.25">
      <c r="A114" s="109">
        <f>A112+7</f>
        <v>44528</v>
      </c>
      <c r="B114" s="110" t="s">
        <v>2532</v>
      </c>
      <c r="C114" s="110">
        <v>1</v>
      </c>
    </row>
    <row r="115" spans="1:3" x14ac:dyDescent="0.25">
      <c r="A115" s="109">
        <f>A113+7</f>
        <v>44534</v>
      </c>
      <c r="B115" s="110" t="s">
        <v>2531</v>
      </c>
      <c r="C115" s="110">
        <v>1</v>
      </c>
    </row>
    <row r="116" spans="1:3" x14ac:dyDescent="0.25">
      <c r="A116" s="109">
        <f>A114+7</f>
        <v>44535</v>
      </c>
      <c r="B116" s="110" t="s">
        <v>2532</v>
      </c>
      <c r="C116" s="110">
        <v>1</v>
      </c>
    </row>
    <row r="117" spans="1:3" x14ac:dyDescent="0.25">
      <c r="A117" s="109">
        <v>44538</v>
      </c>
      <c r="B117" s="110" t="s">
        <v>2530</v>
      </c>
      <c r="C117" s="110">
        <v>1</v>
      </c>
    </row>
    <row r="118" spans="1:3" x14ac:dyDescent="0.25">
      <c r="A118" s="109">
        <f>A115+7</f>
        <v>44541</v>
      </c>
      <c r="B118" s="110" t="s">
        <v>2531</v>
      </c>
      <c r="C118" s="110">
        <v>1</v>
      </c>
    </row>
    <row r="119" spans="1:3" x14ac:dyDescent="0.25">
      <c r="A119" s="109">
        <f>A116+7</f>
        <v>44542</v>
      </c>
      <c r="B119" s="110" t="s">
        <v>2532</v>
      </c>
      <c r="C119" s="110">
        <v>1</v>
      </c>
    </row>
    <row r="120" spans="1:3" x14ac:dyDescent="0.25">
      <c r="A120" s="109">
        <f t="shared" ref="A120:A127" si="4">A118+7</f>
        <v>44548</v>
      </c>
      <c r="B120" s="110" t="s">
        <v>2531</v>
      </c>
      <c r="C120" s="110">
        <v>1</v>
      </c>
    </row>
    <row r="121" spans="1:3" x14ac:dyDescent="0.25">
      <c r="A121" s="109">
        <f t="shared" si="4"/>
        <v>44549</v>
      </c>
      <c r="B121" s="110" t="s">
        <v>2532</v>
      </c>
      <c r="C121" s="110">
        <v>1</v>
      </c>
    </row>
    <row r="122" spans="1:3" x14ac:dyDescent="0.25">
      <c r="A122" s="109">
        <f t="shared" si="4"/>
        <v>44555</v>
      </c>
      <c r="B122" s="110" t="s">
        <v>2531</v>
      </c>
      <c r="C122" s="110">
        <v>1</v>
      </c>
    </row>
    <row r="123" spans="1:3" x14ac:dyDescent="0.25">
      <c r="A123" s="109">
        <f t="shared" si="4"/>
        <v>44556</v>
      </c>
      <c r="B123" s="110" t="s">
        <v>2532</v>
      </c>
      <c r="C123" s="110">
        <v>1</v>
      </c>
    </row>
    <row r="124" spans="1:3" x14ac:dyDescent="0.25">
      <c r="A124" s="109">
        <f t="shared" si="4"/>
        <v>44562</v>
      </c>
      <c r="B124" s="110" t="s">
        <v>2531</v>
      </c>
      <c r="C124" s="110">
        <v>1</v>
      </c>
    </row>
    <row r="125" spans="1:3" x14ac:dyDescent="0.25">
      <c r="A125" s="109">
        <f t="shared" si="4"/>
        <v>44563</v>
      </c>
      <c r="B125" s="110" t="s">
        <v>2532</v>
      </c>
      <c r="C125" s="110">
        <v>1</v>
      </c>
    </row>
    <row r="126" spans="1:3" x14ac:dyDescent="0.25">
      <c r="A126" s="109">
        <f t="shared" si="4"/>
        <v>44569</v>
      </c>
      <c r="B126" s="110" t="s">
        <v>2531</v>
      </c>
      <c r="C126" s="110">
        <v>1</v>
      </c>
    </row>
    <row r="127" spans="1:3" x14ac:dyDescent="0.25">
      <c r="A127" s="109">
        <f t="shared" si="4"/>
        <v>44570</v>
      </c>
      <c r="B127" s="110" t="s">
        <v>2532</v>
      </c>
      <c r="C127" s="110">
        <v>1</v>
      </c>
    </row>
    <row r="128" spans="1:3" x14ac:dyDescent="0.25">
      <c r="A128" s="109">
        <v>44571</v>
      </c>
      <c r="B128" s="110" t="s">
        <v>2530</v>
      </c>
      <c r="C128" s="110">
        <v>1</v>
      </c>
    </row>
    <row r="129" spans="1:3" x14ac:dyDescent="0.25">
      <c r="A129" s="109">
        <f>A126+7</f>
        <v>44576</v>
      </c>
      <c r="B129" s="110" t="s">
        <v>2531</v>
      </c>
      <c r="C129" s="110">
        <v>1</v>
      </c>
    </row>
    <row r="130" spans="1:3" x14ac:dyDescent="0.25">
      <c r="A130" s="109">
        <f>A127+7</f>
        <v>44577</v>
      </c>
      <c r="B130" s="110" t="s">
        <v>2532</v>
      </c>
      <c r="C130" s="110">
        <v>1</v>
      </c>
    </row>
    <row r="131" spans="1:3" x14ac:dyDescent="0.25">
      <c r="A131" s="109">
        <f t="shared" ref="A131:A148" si="5">A129+7</f>
        <v>44583</v>
      </c>
      <c r="B131" s="110" t="s">
        <v>2531</v>
      </c>
      <c r="C131" s="110">
        <v>1</v>
      </c>
    </row>
    <row r="132" spans="1:3" x14ac:dyDescent="0.25">
      <c r="A132" s="109">
        <f t="shared" si="5"/>
        <v>44584</v>
      </c>
      <c r="B132" s="110" t="s">
        <v>2532</v>
      </c>
      <c r="C132" s="110">
        <v>1</v>
      </c>
    </row>
    <row r="133" spans="1:3" x14ac:dyDescent="0.25">
      <c r="A133" s="109">
        <f t="shared" si="5"/>
        <v>44590</v>
      </c>
      <c r="B133" s="110" t="s">
        <v>2531</v>
      </c>
      <c r="C133" s="110">
        <v>1</v>
      </c>
    </row>
    <row r="134" spans="1:3" x14ac:dyDescent="0.25">
      <c r="A134" s="109">
        <f t="shared" si="5"/>
        <v>44591</v>
      </c>
      <c r="B134" s="110" t="s">
        <v>2532</v>
      </c>
      <c r="C134" s="110">
        <v>1</v>
      </c>
    </row>
    <row r="135" spans="1:3" x14ac:dyDescent="0.25">
      <c r="A135" s="109">
        <f t="shared" si="5"/>
        <v>44597</v>
      </c>
      <c r="B135" s="110" t="s">
        <v>2531</v>
      </c>
      <c r="C135" s="110">
        <v>1</v>
      </c>
    </row>
    <row r="136" spans="1:3" x14ac:dyDescent="0.25">
      <c r="A136" s="109">
        <f t="shared" si="5"/>
        <v>44598</v>
      </c>
      <c r="B136" s="110" t="s">
        <v>2532</v>
      </c>
      <c r="C136" s="110">
        <v>1</v>
      </c>
    </row>
    <row r="137" spans="1:3" x14ac:dyDescent="0.25">
      <c r="A137" s="109">
        <f t="shared" si="5"/>
        <v>44604</v>
      </c>
      <c r="B137" s="110" t="s">
        <v>2531</v>
      </c>
      <c r="C137" s="110">
        <v>1</v>
      </c>
    </row>
    <row r="138" spans="1:3" x14ac:dyDescent="0.25">
      <c r="A138" s="109">
        <f t="shared" si="5"/>
        <v>44605</v>
      </c>
      <c r="B138" s="110" t="s">
        <v>2532</v>
      </c>
      <c r="C138" s="110">
        <v>1</v>
      </c>
    </row>
    <row r="139" spans="1:3" x14ac:dyDescent="0.25">
      <c r="A139" s="109">
        <f t="shared" si="5"/>
        <v>44611</v>
      </c>
      <c r="B139" s="110" t="s">
        <v>2531</v>
      </c>
      <c r="C139" s="110">
        <v>1</v>
      </c>
    </row>
    <row r="140" spans="1:3" x14ac:dyDescent="0.25">
      <c r="A140" s="109">
        <f t="shared" si="5"/>
        <v>44612</v>
      </c>
      <c r="B140" s="110" t="s">
        <v>2532</v>
      </c>
      <c r="C140" s="110">
        <v>1</v>
      </c>
    </row>
    <row r="141" spans="1:3" x14ac:dyDescent="0.25">
      <c r="A141" s="109">
        <f t="shared" si="5"/>
        <v>44618</v>
      </c>
      <c r="B141" s="110" t="s">
        <v>2531</v>
      </c>
      <c r="C141" s="110">
        <v>1</v>
      </c>
    </row>
    <row r="142" spans="1:3" x14ac:dyDescent="0.25">
      <c r="A142" s="109">
        <f t="shared" si="5"/>
        <v>44619</v>
      </c>
      <c r="B142" s="110" t="s">
        <v>2532</v>
      </c>
      <c r="C142" s="110">
        <v>1</v>
      </c>
    </row>
    <row r="143" spans="1:3" x14ac:dyDescent="0.25">
      <c r="A143" s="109">
        <f t="shared" si="5"/>
        <v>44625</v>
      </c>
      <c r="B143" s="110" t="s">
        <v>2531</v>
      </c>
      <c r="C143" s="110">
        <v>1</v>
      </c>
    </row>
    <row r="144" spans="1:3" x14ac:dyDescent="0.25">
      <c r="A144" s="109">
        <f t="shared" si="5"/>
        <v>44626</v>
      </c>
      <c r="B144" s="110" t="s">
        <v>2532</v>
      </c>
      <c r="C144" s="110">
        <v>1</v>
      </c>
    </row>
    <row r="145" spans="1:3" x14ac:dyDescent="0.25">
      <c r="A145" s="109">
        <f t="shared" si="5"/>
        <v>44632</v>
      </c>
      <c r="B145" s="110" t="s">
        <v>2531</v>
      </c>
      <c r="C145" s="110">
        <v>1</v>
      </c>
    </row>
    <row r="146" spans="1:3" x14ac:dyDescent="0.25">
      <c r="A146" s="109">
        <f t="shared" si="5"/>
        <v>44633</v>
      </c>
      <c r="B146" s="110" t="s">
        <v>2532</v>
      </c>
      <c r="C146" s="110">
        <v>1</v>
      </c>
    </row>
    <row r="147" spans="1:3" x14ac:dyDescent="0.25">
      <c r="A147" s="109">
        <f t="shared" si="5"/>
        <v>44639</v>
      </c>
      <c r="B147" s="110" t="s">
        <v>2531</v>
      </c>
      <c r="C147" s="110">
        <v>1</v>
      </c>
    </row>
    <row r="148" spans="1:3" x14ac:dyDescent="0.25">
      <c r="A148" s="109">
        <f t="shared" si="5"/>
        <v>44640</v>
      </c>
      <c r="B148" s="110" t="s">
        <v>2532</v>
      </c>
      <c r="C148" s="110">
        <v>1</v>
      </c>
    </row>
    <row r="149" spans="1:3" x14ac:dyDescent="0.25">
      <c r="A149" s="109">
        <v>44641</v>
      </c>
      <c r="B149" s="110" t="s">
        <v>2530</v>
      </c>
      <c r="C149" s="110">
        <v>1</v>
      </c>
    </row>
    <row r="150" spans="1:3" x14ac:dyDescent="0.25">
      <c r="A150" s="109">
        <f>A147+7</f>
        <v>44646</v>
      </c>
      <c r="B150" s="110" t="s">
        <v>2531</v>
      </c>
      <c r="C150" s="110">
        <v>1</v>
      </c>
    </row>
    <row r="151" spans="1:3" x14ac:dyDescent="0.25">
      <c r="A151" s="109">
        <f>A148+7</f>
        <v>44647</v>
      </c>
      <c r="B151" s="110" t="s">
        <v>2532</v>
      </c>
      <c r="C151" s="110">
        <v>1</v>
      </c>
    </row>
    <row r="152" spans="1:3" x14ac:dyDescent="0.25">
      <c r="A152" s="109">
        <f>A150+7</f>
        <v>44653</v>
      </c>
      <c r="B152" s="110" t="s">
        <v>2531</v>
      </c>
      <c r="C152" s="110">
        <v>1</v>
      </c>
    </row>
    <row r="153" spans="1:3" x14ac:dyDescent="0.25">
      <c r="A153" s="109">
        <f>A151+7</f>
        <v>44654</v>
      </c>
      <c r="B153" s="110" t="s">
        <v>2532</v>
      </c>
      <c r="C153" s="110">
        <v>1</v>
      </c>
    </row>
    <row r="154" spans="1:3" x14ac:dyDescent="0.25">
      <c r="A154" s="109">
        <f>A152+7</f>
        <v>44660</v>
      </c>
      <c r="B154" s="110" t="s">
        <v>2531</v>
      </c>
      <c r="C154" s="110">
        <v>1</v>
      </c>
    </row>
    <row r="155" spans="1:3" x14ac:dyDescent="0.25">
      <c r="A155" s="109">
        <f>A153+7</f>
        <v>44661</v>
      </c>
      <c r="B155" s="110" t="s">
        <v>2532</v>
      </c>
      <c r="C155" s="110">
        <v>1</v>
      </c>
    </row>
    <row r="156" spans="1:3" x14ac:dyDescent="0.25">
      <c r="A156" s="109">
        <v>44662</v>
      </c>
      <c r="B156" s="110" t="s">
        <v>2533</v>
      </c>
      <c r="C156" s="110">
        <v>1</v>
      </c>
    </row>
    <row r="157" spans="1:3" x14ac:dyDescent="0.25">
      <c r="A157" s="109">
        <v>44663</v>
      </c>
      <c r="B157" s="110" t="s">
        <v>2533</v>
      </c>
      <c r="C157" s="110">
        <v>1</v>
      </c>
    </row>
    <row r="158" spans="1:3" x14ac:dyDescent="0.25">
      <c r="A158" s="109">
        <v>44664</v>
      </c>
      <c r="B158" s="110" t="s">
        <v>2533</v>
      </c>
      <c r="C158" s="110">
        <v>1</v>
      </c>
    </row>
    <row r="159" spans="1:3" x14ac:dyDescent="0.25">
      <c r="A159" s="109">
        <v>44665</v>
      </c>
      <c r="B159" s="110" t="s">
        <v>2533</v>
      </c>
      <c r="C159" s="110">
        <v>1</v>
      </c>
    </row>
    <row r="160" spans="1:3" x14ac:dyDescent="0.25">
      <c r="A160" s="109">
        <v>44666</v>
      </c>
      <c r="B160" s="110" t="s">
        <v>2533</v>
      </c>
      <c r="C160" s="110">
        <v>1</v>
      </c>
    </row>
    <row r="161" spans="1:3" x14ac:dyDescent="0.25">
      <c r="A161" s="109">
        <v>44667</v>
      </c>
      <c r="B161" s="110" t="s">
        <v>2531</v>
      </c>
      <c r="C161" s="110">
        <v>1</v>
      </c>
    </row>
    <row r="162" spans="1:3" x14ac:dyDescent="0.25">
      <c r="A162" s="109">
        <v>44668</v>
      </c>
      <c r="B162" s="110" t="s">
        <v>2532</v>
      </c>
      <c r="C162" s="110">
        <v>1</v>
      </c>
    </row>
    <row r="163" spans="1:3" x14ac:dyDescent="0.25">
      <c r="A163" s="109">
        <f t="shared" ref="A163:A174" si="6">A161+7</f>
        <v>44674</v>
      </c>
      <c r="B163" s="110" t="s">
        <v>2531</v>
      </c>
      <c r="C163" s="110">
        <v>1</v>
      </c>
    </row>
    <row r="164" spans="1:3" x14ac:dyDescent="0.25">
      <c r="A164" s="109">
        <f t="shared" si="6"/>
        <v>44675</v>
      </c>
      <c r="B164" s="110" t="s">
        <v>2532</v>
      </c>
      <c r="C164" s="110">
        <v>1</v>
      </c>
    </row>
    <row r="165" spans="1:3" x14ac:dyDescent="0.25">
      <c r="A165" s="109">
        <f t="shared" si="6"/>
        <v>44681</v>
      </c>
      <c r="B165" s="110" t="s">
        <v>2531</v>
      </c>
      <c r="C165" s="110">
        <v>1</v>
      </c>
    </row>
    <row r="166" spans="1:3" x14ac:dyDescent="0.25">
      <c r="A166" s="109">
        <f t="shared" si="6"/>
        <v>44682</v>
      </c>
      <c r="B166" s="110" t="s">
        <v>2532</v>
      </c>
      <c r="C166" s="110">
        <v>1</v>
      </c>
    </row>
    <row r="167" spans="1:3" x14ac:dyDescent="0.25">
      <c r="A167" s="109">
        <f t="shared" si="6"/>
        <v>44688</v>
      </c>
      <c r="B167" s="110" t="s">
        <v>2531</v>
      </c>
      <c r="C167" s="110">
        <v>1</v>
      </c>
    </row>
    <row r="168" spans="1:3" x14ac:dyDescent="0.25">
      <c r="A168" s="109">
        <f t="shared" si="6"/>
        <v>44689</v>
      </c>
      <c r="B168" s="110" t="s">
        <v>2532</v>
      </c>
      <c r="C168" s="110">
        <v>1</v>
      </c>
    </row>
    <row r="169" spans="1:3" x14ac:dyDescent="0.25">
      <c r="A169" s="109">
        <f t="shared" si="6"/>
        <v>44695</v>
      </c>
      <c r="B169" s="110" t="s">
        <v>2531</v>
      </c>
      <c r="C169" s="110">
        <v>1</v>
      </c>
    </row>
    <row r="170" spans="1:3" x14ac:dyDescent="0.25">
      <c r="A170" s="109">
        <f t="shared" si="6"/>
        <v>44696</v>
      </c>
      <c r="B170" s="110" t="s">
        <v>2532</v>
      </c>
      <c r="C170" s="110">
        <v>1</v>
      </c>
    </row>
    <row r="171" spans="1:3" x14ac:dyDescent="0.25">
      <c r="A171" s="109">
        <f t="shared" si="6"/>
        <v>44702</v>
      </c>
      <c r="B171" s="110" t="s">
        <v>2531</v>
      </c>
      <c r="C171" s="110">
        <v>1</v>
      </c>
    </row>
    <row r="172" spans="1:3" x14ac:dyDescent="0.25">
      <c r="A172" s="109">
        <f t="shared" si="6"/>
        <v>44703</v>
      </c>
      <c r="B172" s="110" t="s">
        <v>2532</v>
      </c>
      <c r="C172" s="110">
        <v>1</v>
      </c>
    </row>
    <row r="173" spans="1:3" x14ac:dyDescent="0.25">
      <c r="A173" s="109">
        <f t="shared" si="6"/>
        <v>44709</v>
      </c>
      <c r="B173" s="110" t="s">
        <v>2531</v>
      </c>
      <c r="C173" s="110">
        <v>1</v>
      </c>
    </row>
    <row r="174" spans="1:3" x14ac:dyDescent="0.25">
      <c r="A174" s="109">
        <f t="shared" si="6"/>
        <v>44710</v>
      </c>
      <c r="B174" s="110" t="s">
        <v>2532</v>
      </c>
      <c r="C174" s="110">
        <v>1</v>
      </c>
    </row>
    <row r="175" spans="1:3" x14ac:dyDescent="0.25">
      <c r="A175" s="109">
        <v>44711</v>
      </c>
      <c r="B175" s="110" t="s">
        <v>2530</v>
      </c>
      <c r="C175" s="110">
        <v>1</v>
      </c>
    </row>
    <row r="176" spans="1:3" x14ac:dyDescent="0.25">
      <c r="A176" s="109">
        <f>A173+7</f>
        <v>44716</v>
      </c>
      <c r="B176" s="110" t="s">
        <v>2531</v>
      </c>
      <c r="C176" s="110">
        <v>1</v>
      </c>
    </row>
    <row r="177" spans="1:3" x14ac:dyDescent="0.25">
      <c r="A177" s="109">
        <f>A174+7</f>
        <v>44717</v>
      </c>
      <c r="B177" s="110" t="s">
        <v>2532</v>
      </c>
      <c r="C177" s="110">
        <v>1</v>
      </c>
    </row>
    <row r="178" spans="1:3" x14ac:dyDescent="0.25">
      <c r="A178" s="109">
        <f>A176+7</f>
        <v>44723</v>
      </c>
      <c r="B178" s="110" t="s">
        <v>2531</v>
      </c>
      <c r="C178" s="110">
        <v>1</v>
      </c>
    </row>
    <row r="179" spans="1:3" x14ac:dyDescent="0.25">
      <c r="A179" s="109">
        <f>A177+7</f>
        <v>44724</v>
      </c>
      <c r="B179" s="110" t="s">
        <v>2532</v>
      </c>
      <c r="C179" s="110">
        <v>1</v>
      </c>
    </row>
    <row r="180" spans="1:3" x14ac:dyDescent="0.25">
      <c r="A180" s="109">
        <f>A178+7</f>
        <v>44730</v>
      </c>
      <c r="B180" s="110" t="s">
        <v>2531</v>
      </c>
      <c r="C180" s="110">
        <v>1</v>
      </c>
    </row>
    <row r="181" spans="1:3" x14ac:dyDescent="0.25">
      <c r="A181" s="109">
        <f>A179+7</f>
        <v>44731</v>
      </c>
      <c r="B181" s="110" t="s">
        <v>2532</v>
      </c>
      <c r="C181" s="110">
        <v>1</v>
      </c>
    </row>
    <row r="182" spans="1:3" x14ac:dyDescent="0.25">
      <c r="A182" s="109">
        <v>44732</v>
      </c>
      <c r="B182" s="110" t="s">
        <v>2530</v>
      </c>
      <c r="C182" s="110">
        <v>1</v>
      </c>
    </row>
    <row r="183" spans="1:3" x14ac:dyDescent="0.25">
      <c r="A183" s="109">
        <f>A180+7</f>
        <v>44737</v>
      </c>
      <c r="B183" s="110" t="s">
        <v>2531</v>
      </c>
      <c r="C183" s="110">
        <v>1</v>
      </c>
    </row>
    <row r="184" spans="1:3" x14ac:dyDescent="0.25">
      <c r="A184" s="109">
        <f>A181+7</f>
        <v>44738</v>
      </c>
      <c r="B184" s="110" t="s">
        <v>2532</v>
      </c>
      <c r="C184" s="110">
        <v>1</v>
      </c>
    </row>
    <row r="185" spans="1:3" x14ac:dyDescent="0.25">
      <c r="A185" s="109">
        <v>44739</v>
      </c>
      <c r="B185" s="110" t="s">
        <v>2530</v>
      </c>
      <c r="C185" s="110">
        <v>1</v>
      </c>
    </row>
    <row r="186" spans="1:3" x14ac:dyDescent="0.25">
      <c r="A186" s="109">
        <f>A183+7</f>
        <v>44744</v>
      </c>
      <c r="B186" s="110" t="s">
        <v>2531</v>
      </c>
      <c r="C186" s="110">
        <v>1</v>
      </c>
    </row>
    <row r="187" spans="1:3" x14ac:dyDescent="0.25">
      <c r="A187" s="109">
        <f>A184+7</f>
        <v>44745</v>
      </c>
      <c r="B187" s="110" t="s">
        <v>2532</v>
      </c>
      <c r="C187" s="110">
        <v>1</v>
      </c>
    </row>
    <row r="188" spans="1:3" x14ac:dyDescent="0.25">
      <c r="A188" s="109">
        <v>44746</v>
      </c>
      <c r="B188" s="110" t="s">
        <v>2530</v>
      </c>
      <c r="C188" s="110">
        <v>1</v>
      </c>
    </row>
    <row r="189" spans="1:3" x14ac:dyDescent="0.25">
      <c r="A189" s="109">
        <f>A186+7</f>
        <v>44751</v>
      </c>
      <c r="B189" s="110" t="s">
        <v>2531</v>
      </c>
      <c r="C189" s="110">
        <v>1</v>
      </c>
    </row>
    <row r="190" spans="1:3" x14ac:dyDescent="0.25">
      <c r="A190" s="109">
        <f>A187+7</f>
        <v>44752</v>
      </c>
      <c r="B190" s="110" t="s">
        <v>2532</v>
      </c>
      <c r="C190" s="110">
        <v>1</v>
      </c>
    </row>
    <row r="191" spans="1:3" x14ac:dyDescent="0.25">
      <c r="A191" s="109">
        <f>A189+7</f>
        <v>44758</v>
      </c>
      <c r="B191" s="110" t="s">
        <v>2531</v>
      </c>
      <c r="C191" s="110">
        <v>1</v>
      </c>
    </row>
    <row r="192" spans="1:3" x14ac:dyDescent="0.25">
      <c r="A192" s="109">
        <f>A190+7</f>
        <v>44759</v>
      </c>
      <c r="B192" s="110" t="s">
        <v>2532</v>
      </c>
      <c r="C192" s="110">
        <v>1</v>
      </c>
    </row>
    <row r="193" spans="1:3" x14ac:dyDescent="0.25">
      <c r="A193" s="109">
        <v>44762</v>
      </c>
      <c r="B193" s="110" t="s">
        <v>2530</v>
      </c>
      <c r="C193" s="110">
        <v>1</v>
      </c>
    </row>
    <row r="194" spans="1:3" x14ac:dyDescent="0.25">
      <c r="A194" s="109">
        <f>A191+7</f>
        <v>44765</v>
      </c>
      <c r="B194" s="110" t="s">
        <v>2531</v>
      </c>
      <c r="C194" s="110">
        <v>1</v>
      </c>
    </row>
    <row r="195" spans="1:3" x14ac:dyDescent="0.25">
      <c r="A195" s="109">
        <f>A192+7</f>
        <v>44766</v>
      </c>
      <c r="B195" s="110" t="s">
        <v>2532</v>
      </c>
      <c r="C195" s="110">
        <v>1</v>
      </c>
    </row>
    <row r="196" spans="1:3" x14ac:dyDescent="0.25">
      <c r="A196" s="109">
        <f t="shared" ref="A196:A201" si="7">A194+7</f>
        <v>44772</v>
      </c>
      <c r="B196" s="110" t="s">
        <v>2531</v>
      </c>
      <c r="C196" s="110">
        <v>1</v>
      </c>
    </row>
    <row r="197" spans="1:3" x14ac:dyDescent="0.25">
      <c r="A197" s="109">
        <f t="shared" si="7"/>
        <v>44773</v>
      </c>
      <c r="B197" s="110" t="s">
        <v>2532</v>
      </c>
      <c r="C197" s="110">
        <v>1</v>
      </c>
    </row>
    <row r="198" spans="1:3" x14ac:dyDescent="0.25">
      <c r="A198" s="109">
        <f t="shared" si="7"/>
        <v>44779</v>
      </c>
      <c r="B198" s="110" t="s">
        <v>2531</v>
      </c>
      <c r="C198" s="110">
        <v>1</v>
      </c>
    </row>
    <row r="199" spans="1:3" x14ac:dyDescent="0.25">
      <c r="A199" s="109">
        <f t="shared" si="7"/>
        <v>44780</v>
      </c>
      <c r="B199" s="110" t="s">
        <v>2532</v>
      </c>
      <c r="C199" s="110">
        <v>1</v>
      </c>
    </row>
    <row r="200" spans="1:3" x14ac:dyDescent="0.25">
      <c r="A200" s="109">
        <f t="shared" si="7"/>
        <v>44786</v>
      </c>
      <c r="B200" s="110" t="s">
        <v>2531</v>
      </c>
      <c r="C200" s="110">
        <v>1</v>
      </c>
    </row>
    <row r="201" spans="1:3" x14ac:dyDescent="0.25">
      <c r="A201" s="109">
        <f t="shared" si="7"/>
        <v>44787</v>
      </c>
      <c r="B201" s="110" t="s">
        <v>2532</v>
      </c>
      <c r="C201" s="110">
        <v>1</v>
      </c>
    </row>
    <row r="202" spans="1:3" x14ac:dyDescent="0.25">
      <c r="A202" s="109">
        <v>44788</v>
      </c>
      <c r="B202" s="110" t="s">
        <v>2530</v>
      </c>
      <c r="C202" s="110">
        <v>1</v>
      </c>
    </row>
    <row r="203" spans="1:3" x14ac:dyDescent="0.25">
      <c r="A203" s="109">
        <f>A200+7</f>
        <v>44793</v>
      </c>
      <c r="B203" s="110" t="s">
        <v>2531</v>
      </c>
      <c r="C203" s="110">
        <v>1</v>
      </c>
    </row>
    <row r="204" spans="1:3" x14ac:dyDescent="0.25">
      <c r="A204" s="109">
        <f>A201+7</f>
        <v>44794</v>
      </c>
      <c r="B204" s="110" t="s">
        <v>2532</v>
      </c>
      <c r="C204" s="110">
        <v>1</v>
      </c>
    </row>
    <row r="205" spans="1:3" x14ac:dyDescent="0.25">
      <c r="A205" s="109">
        <f t="shared" ref="A205:A220" si="8">A203+7</f>
        <v>44800</v>
      </c>
      <c r="B205" s="110" t="s">
        <v>2531</v>
      </c>
      <c r="C205" s="110">
        <v>1</v>
      </c>
    </row>
    <row r="206" spans="1:3" x14ac:dyDescent="0.25">
      <c r="A206" s="109">
        <f t="shared" si="8"/>
        <v>44801</v>
      </c>
      <c r="B206" s="110" t="s">
        <v>2532</v>
      </c>
      <c r="C206" s="110">
        <v>1</v>
      </c>
    </row>
    <row r="207" spans="1:3" x14ac:dyDescent="0.25">
      <c r="A207" s="109">
        <f t="shared" si="8"/>
        <v>44807</v>
      </c>
      <c r="B207" s="110" t="s">
        <v>2531</v>
      </c>
      <c r="C207" s="110">
        <v>1</v>
      </c>
    </row>
    <row r="208" spans="1:3" x14ac:dyDescent="0.25">
      <c r="A208" s="109">
        <f t="shared" si="8"/>
        <v>44808</v>
      </c>
      <c r="B208" s="110" t="s">
        <v>2532</v>
      </c>
      <c r="C208" s="110">
        <v>1</v>
      </c>
    </row>
    <row r="209" spans="1:3" x14ac:dyDescent="0.25">
      <c r="A209" s="109">
        <f t="shared" si="8"/>
        <v>44814</v>
      </c>
      <c r="B209" s="110" t="s">
        <v>2531</v>
      </c>
      <c r="C209" s="110">
        <v>1</v>
      </c>
    </row>
    <row r="210" spans="1:3" x14ac:dyDescent="0.25">
      <c r="A210" s="109">
        <f t="shared" si="8"/>
        <v>44815</v>
      </c>
      <c r="B210" s="110" t="s">
        <v>2532</v>
      </c>
      <c r="C210" s="110">
        <v>1</v>
      </c>
    </row>
    <row r="211" spans="1:3" x14ac:dyDescent="0.25">
      <c r="A211" s="109">
        <f t="shared" si="8"/>
        <v>44821</v>
      </c>
      <c r="B211" s="110" t="s">
        <v>2531</v>
      </c>
      <c r="C211" s="110">
        <v>1</v>
      </c>
    </row>
    <row r="212" spans="1:3" x14ac:dyDescent="0.25">
      <c r="A212" s="109">
        <f t="shared" si="8"/>
        <v>44822</v>
      </c>
      <c r="B212" s="110" t="s">
        <v>2532</v>
      </c>
      <c r="C212" s="110">
        <v>1</v>
      </c>
    </row>
    <row r="213" spans="1:3" x14ac:dyDescent="0.25">
      <c r="A213" s="109">
        <f t="shared" si="8"/>
        <v>44828</v>
      </c>
      <c r="B213" s="110" t="s">
        <v>2531</v>
      </c>
      <c r="C213" s="110">
        <v>1</v>
      </c>
    </row>
    <row r="214" spans="1:3" x14ac:dyDescent="0.25">
      <c r="A214" s="109">
        <f t="shared" si="8"/>
        <v>44829</v>
      </c>
      <c r="B214" s="110" t="s">
        <v>2532</v>
      </c>
      <c r="C214" s="110">
        <v>1</v>
      </c>
    </row>
    <row r="215" spans="1:3" x14ac:dyDescent="0.25">
      <c r="A215" s="109">
        <f t="shared" si="8"/>
        <v>44835</v>
      </c>
      <c r="B215" s="110" t="s">
        <v>2531</v>
      </c>
      <c r="C215" s="110">
        <v>1</v>
      </c>
    </row>
    <row r="216" spans="1:3" x14ac:dyDescent="0.25">
      <c r="A216" s="109">
        <f t="shared" si="8"/>
        <v>44836</v>
      </c>
      <c r="B216" s="110" t="s">
        <v>2532</v>
      </c>
      <c r="C216" s="110">
        <v>1</v>
      </c>
    </row>
    <row r="217" spans="1:3" x14ac:dyDescent="0.25">
      <c r="A217" s="109">
        <f t="shared" si="8"/>
        <v>44842</v>
      </c>
      <c r="B217" s="110" t="s">
        <v>2531</v>
      </c>
      <c r="C217" s="110">
        <v>1</v>
      </c>
    </row>
    <row r="218" spans="1:3" x14ac:dyDescent="0.25">
      <c r="A218" s="109">
        <f t="shared" si="8"/>
        <v>44843</v>
      </c>
      <c r="B218" s="110" t="s">
        <v>2532</v>
      </c>
      <c r="C218" s="110">
        <v>1</v>
      </c>
    </row>
    <row r="219" spans="1:3" x14ac:dyDescent="0.25">
      <c r="A219" s="109">
        <f t="shared" si="8"/>
        <v>44849</v>
      </c>
      <c r="B219" s="110" t="s">
        <v>2531</v>
      </c>
      <c r="C219" s="110">
        <v>1</v>
      </c>
    </row>
    <row r="220" spans="1:3" x14ac:dyDescent="0.25">
      <c r="A220" s="109">
        <f t="shared" si="8"/>
        <v>44850</v>
      </c>
      <c r="B220" s="110" t="s">
        <v>2532</v>
      </c>
      <c r="C220" s="110">
        <v>1</v>
      </c>
    </row>
    <row r="221" spans="1:3" x14ac:dyDescent="0.25">
      <c r="A221" s="109">
        <v>44851</v>
      </c>
      <c r="B221" s="110" t="s">
        <v>2530</v>
      </c>
      <c r="C221" s="110">
        <v>1</v>
      </c>
    </row>
    <row r="222" spans="1:3" x14ac:dyDescent="0.25">
      <c r="A222" s="109">
        <f>A219+7</f>
        <v>44856</v>
      </c>
      <c r="B222" s="110" t="s">
        <v>2531</v>
      </c>
      <c r="C222" s="110">
        <v>1</v>
      </c>
    </row>
    <row r="223" spans="1:3" x14ac:dyDescent="0.25">
      <c r="A223" s="109">
        <f>A220+7</f>
        <v>44857</v>
      </c>
      <c r="B223" s="110" t="s">
        <v>2532</v>
      </c>
      <c r="C223" s="110">
        <v>1</v>
      </c>
    </row>
    <row r="224" spans="1:3" x14ac:dyDescent="0.25">
      <c r="A224" s="109">
        <f>A222+7</f>
        <v>44863</v>
      </c>
      <c r="B224" s="110" t="s">
        <v>2531</v>
      </c>
      <c r="C224" s="110">
        <v>1</v>
      </c>
    </row>
    <row r="225" spans="1:3" x14ac:dyDescent="0.25">
      <c r="A225" s="109">
        <f>A223+7</f>
        <v>44864</v>
      </c>
      <c r="B225" s="110" t="s">
        <v>2532</v>
      </c>
      <c r="C225" s="110">
        <v>1</v>
      </c>
    </row>
    <row r="226" spans="1:3" x14ac:dyDescent="0.25">
      <c r="A226" s="109">
        <f>A224+7</f>
        <v>44870</v>
      </c>
      <c r="B226" s="110" t="s">
        <v>2531</v>
      </c>
      <c r="C226" s="110">
        <v>1</v>
      </c>
    </row>
    <row r="227" spans="1:3" x14ac:dyDescent="0.25">
      <c r="A227" s="109">
        <f>A225+7</f>
        <v>44871</v>
      </c>
      <c r="B227" s="110" t="s">
        <v>2532</v>
      </c>
      <c r="C227" s="110">
        <v>1</v>
      </c>
    </row>
    <row r="228" spans="1:3" x14ac:dyDescent="0.25">
      <c r="A228" s="109">
        <v>44872</v>
      </c>
      <c r="B228" s="110" t="s">
        <v>2530</v>
      </c>
      <c r="C228" s="110">
        <v>1</v>
      </c>
    </row>
    <row r="229" spans="1:3" x14ac:dyDescent="0.25">
      <c r="A229" s="109">
        <f>A226+7</f>
        <v>44877</v>
      </c>
      <c r="B229" s="110" t="s">
        <v>2531</v>
      </c>
      <c r="C229" s="110">
        <v>1</v>
      </c>
    </row>
    <row r="230" spans="1:3" x14ac:dyDescent="0.25">
      <c r="A230" s="109">
        <f>A227+7</f>
        <v>44878</v>
      </c>
      <c r="B230" s="110" t="s">
        <v>2532</v>
      </c>
      <c r="C230" s="110">
        <v>1</v>
      </c>
    </row>
    <row r="231" spans="1:3" x14ac:dyDescent="0.25">
      <c r="A231" s="109">
        <v>44879</v>
      </c>
      <c r="B231" s="110" t="s">
        <v>2530</v>
      </c>
      <c r="C231" s="110">
        <v>1</v>
      </c>
    </row>
    <row r="232" spans="1:3" x14ac:dyDescent="0.25">
      <c r="A232" s="109">
        <f>A229+7</f>
        <v>44884</v>
      </c>
      <c r="B232" s="110" t="s">
        <v>2531</v>
      </c>
      <c r="C232" s="110">
        <v>1</v>
      </c>
    </row>
    <row r="233" spans="1:3" x14ac:dyDescent="0.25">
      <c r="A233" s="109">
        <f>A230+7</f>
        <v>44885</v>
      </c>
      <c r="B233" s="110" t="s">
        <v>2532</v>
      </c>
      <c r="C233" s="110">
        <v>1</v>
      </c>
    </row>
    <row r="234" spans="1:3" x14ac:dyDescent="0.25">
      <c r="A234" s="109">
        <f>A232+7</f>
        <v>44891</v>
      </c>
      <c r="B234" s="110" t="s">
        <v>2531</v>
      </c>
      <c r="C234" s="110">
        <v>1</v>
      </c>
    </row>
    <row r="235" spans="1:3" x14ac:dyDescent="0.25">
      <c r="A235" s="109">
        <f>A233+7</f>
        <v>44892</v>
      </c>
      <c r="B235" s="110" t="s">
        <v>2532</v>
      </c>
      <c r="C235" s="110">
        <v>1</v>
      </c>
    </row>
    <row r="236" spans="1:3" x14ac:dyDescent="0.25">
      <c r="A236" s="109">
        <f>A234+7</f>
        <v>44898</v>
      </c>
      <c r="B236" s="110" t="s">
        <v>2531</v>
      </c>
      <c r="C236" s="110">
        <v>1</v>
      </c>
    </row>
    <row r="237" spans="1:3" x14ac:dyDescent="0.25">
      <c r="A237" s="109">
        <f>A235+7</f>
        <v>44899</v>
      </c>
      <c r="B237" s="110" t="s">
        <v>2532</v>
      </c>
      <c r="C237" s="110">
        <v>1</v>
      </c>
    </row>
    <row r="238" spans="1:3" x14ac:dyDescent="0.25">
      <c r="A238" s="109">
        <v>44903</v>
      </c>
      <c r="B238" s="110" t="s">
        <v>2530</v>
      </c>
      <c r="C238" s="110">
        <v>1</v>
      </c>
    </row>
    <row r="239" spans="1:3" x14ac:dyDescent="0.25">
      <c r="A239" s="109">
        <f>A236+7</f>
        <v>44905</v>
      </c>
      <c r="B239" s="110" t="s">
        <v>2531</v>
      </c>
      <c r="C239" s="110">
        <v>1</v>
      </c>
    </row>
    <row r="240" spans="1:3" x14ac:dyDescent="0.25">
      <c r="A240" s="109">
        <f>A237+7</f>
        <v>44906</v>
      </c>
      <c r="B240" s="110" t="s">
        <v>2532</v>
      </c>
      <c r="C240" s="110">
        <v>1</v>
      </c>
    </row>
    <row r="241" spans="1:3" x14ac:dyDescent="0.25">
      <c r="A241" s="109">
        <f>A239+7</f>
        <v>44912</v>
      </c>
      <c r="B241" s="110" t="s">
        <v>2531</v>
      </c>
      <c r="C241" s="110">
        <v>1</v>
      </c>
    </row>
    <row r="242" spans="1:3" x14ac:dyDescent="0.25">
      <c r="A242" s="109">
        <f>A240+7</f>
        <v>44913</v>
      </c>
      <c r="B242" s="110" t="s">
        <v>2532</v>
      </c>
      <c r="C242" s="110">
        <v>1</v>
      </c>
    </row>
    <row r="243" spans="1:3" x14ac:dyDescent="0.25">
      <c r="A243" s="109">
        <v>44918</v>
      </c>
      <c r="B243" s="110" t="s">
        <v>2534</v>
      </c>
      <c r="C243" s="110">
        <v>1</v>
      </c>
    </row>
    <row r="244" spans="1:3" x14ac:dyDescent="0.25">
      <c r="A244" s="109">
        <f>A241+7</f>
        <v>44919</v>
      </c>
      <c r="B244" s="110" t="s">
        <v>2531</v>
      </c>
      <c r="C244" s="110">
        <v>1</v>
      </c>
    </row>
    <row r="245" spans="1:3" x14ac:dyDescent="0.25">
      <c r="A245" s="109">
        <f>A242+7</f>
        <v>44920</v>
      </c>
      <c r="B245" s="110" t="s">
        <v>2532</v>
      </c>
      <c r="C245" s="110">
        <v>1</v>
      </c>
    </row>
    <row r="246" spans="1:3" x14ac:dyDescent="0.25">
      <c r="A246" s="109">
        <v>44921</v>
      </c>
      <c r="B246" s="110" t="s">
        <v>2534</v>
      </c>
      <c r="C246" s="110">
        <v>1</v>
      </c>
    </row>
    <row r="247" spans="1:3" x14ac:dyDescent="0.25">
      <c r="A247" s="109">
        <v>44922</v>
      </c>
      <c r="B247" s="110" t="s">
        <v>2534</v>
      </c>
      <c r="C247" s="110">
        <v>1</v>
      </c>
    </row>
    <row r="248" spans="1:3" x14ac:dyDescent="0.25">
      <c r="A248" s="109">
        <v>44923</v>
      </c>
      <c r="B248" s="110" t="s">
        <v>2534</v>
      </c>
      <c r="C248" s="110">
        <v>1</v>
      </c>
    </row>
    <row r="249" spans="1:3" x14ac:dyDescent="0.25">
      <c r="A249" s="109">
        <v>44924</v>
      </c>
      <c r="B249" s="110" t="s">
        <v>2534</v>
      </c>
      <c r="C249" s="110">
        <v>1</v>
      </c>
    </row>
    <row r="250" spans="1:3" x14ac:dyDescent="0.25">
      <c r="A250" s="109">
        <v>44925</v>
      </c>
      <c r="B250" s="110" t="s">
        <v>2534</v>
      </c>
      <c r="C250" s="110">
        <v>1</v>
      </c>
    </row>
    <row r="251" spans="1:3" x14ac:dyDescent="0.25">
      <c r="A251" s="109">
        <f>A244+7</f>
        <v>44926</v>
      </c>
      <c r="B251" s="110" t="s">
        <v>2534</v>
      </c>
      <c r="C251" s="110">
        <v>1</v>
      </c>
    </row>
    <row r="252" spans="1:3" x14ac:dyDescent="0.25">
      <c r="A252" s="109">
        <f>A245+7</f>
        <v>44927</v>
      </c>
      <c r="B252" s="110" t="s">
        <v>2534</v>
      </c>
      <c r="C252" s="110">
        <v>1</v>
      </c>
    </row>
    <row r="253" spans="1:3" x14ac:dyDescent="0.25">
      <c r="A253" s="109">
        <f t="shared" ref="A253:A266" si="9">A246+7</f>
        <v>44928</v>
      </c>
      <c r="B253" s="110" t="s">
        <v>2534</v>
      </c>
      <c r="C253" s="110">
        <v>1</v>
      </c>
    </row>
    <row r="254" spans="1:3" x14ac:dyDescent="0.25">
      <c r="A254" s="109">
        <f t="shared" si="9"/>
        <v>44929</v>
      </c>
      <c r="B254" s="110" t="s">
        <v>2534</v>
      </c>
      <c r="C254" s="110">
        <v>1</v>
      </c>
    </row>
    <row r="255" spans="1:3" x14ac:dyDescent="0.25">
      <c r="A255" s="109">
        <f t="shared" si="9"/>
        <v>44930</v>
      </c>
      <c r="B255" s="110" t="s">
        <v>2534</v>
      </c>
      <c r="C255" s="110">
        <v>1</v>
      </c>
    </row>
    <row r="256" spans="1:3" x14ac:dyDescent="0.25">
      <c r="A256" s="109">
        <f t="shared" si="9"/>
        <v>44931</v>
      </c>
      <c r="B256" s="110" t="s">
        <v>2534</v>
      </c>
      <c r="C256" s="110">
        <v>1</v>
      </c>
    </row>
    <row r="257" spans="1:3" x14ac:dyDescent="0.25">
      <c r="A257" s="109">
        <f t="shared" si="9"/>
        <v>44932</v>
      </c>
      <c r="B257" s="110" t="s">
        <v>2534</v>
      </c>
      <c r="C257" s="110">
        <v>1</v>
      </c>
    </row>
    <row r="258" spans="1:3" x14ac:dyDescent="0.25">
      <c r="A258" s="109">
        <f t="shared" si="9"/>
        <v>44933</v>
      </c>
      <c r="B258" s="110" t="s">
        <v>2534</v>
      </c>
      <c r="C258" s="110">
        <v>1</v>
      </c>
    </row>
    <row r="259" spans="1:3" x14ac:dyDescent="0.25">
      <c r="A259" s="109">
        <f t="shared" si="9"/>
        <v>44934</v>
      </c>
      <c r="B259" s="110" t="s">
        <v>2534</v>
      </c>
      <c r="C259" s="110">
        <v>1</v>
      </c>
    </row>
    <row r="260" spans="1:3" x14ac:dyDescent="0.25">
      <c r="A260" s="109">
        <f t="shared" si="9"/>
        <v>44935</v>
      </c>
      <c r="B260" s="110" t="s">
        <v>2534</v>
      </c>
      <c r="C260" s="110">
        <v>1</v>
      </c>
    </row>
    <row r="261" spans="1:3" x14ac:dyDescent="0.25">
      <c r="A261" s="109">
        <f t="shared" si="9"/>
        <v>44936</v>
      </c>
      <c r="B261" s="110" t="s">
        <v>2534</v>
      </c>
      <c r="C261" s="110">
        <v>1</v>
      </c>
    </row>
    <row r="262" spans="1:3" x14ac:dyDescent="0.25">
      <c r="A262" s="109">
        <f t="shared" si="9"/>
        <v>44937</v>
      </c>
      <c r="B262" s="110" t="s">
        <v>2534</v>
      </c>
      <c r="C262" s="110">
        <v>1</v>
      </c>
    </row>
    <row r="263" spans="1:3" x14ac:dyDescent="0.25">
      <c r="A263" s="109">
        <f t="shared" si="9"/>
        <v>44938</v>
      </c>
      <c r="B263" s="110" t="s">
        <v>2534</v>
      </c>
      <c r="C263" s="110">
        <v>1</v>
      </c>
    </row>
    <row r="264" spans="1:3" x14ac:dyDescent="0.25">
      <c r="A264" s="109">
        <f t="shared" si="9"/>
        <v>44939</v>
      </c>
      <c r="B264" s="110" t="s">
        <v>2534</v>
      </c>
      <c r="C264" s="110">
        <v>1</v>
      </c>
    </row>
    <row r="265" spans="1:3" x14ac:dyDescent="0.25">
      <c r="A265" s="109">
        <f t="shared" si="9"/>
        <v>44940</v>
      </c>
      <c r="B265" s="110" t="s">
        <v>2534</v>
      </c>
      <c r="C265" s="110">
        <v>1</v>
      </c>
    </row>
    <row r="266" spans="1:3" x14ac:dyDescent="0.25">
      <c r="A266" s="109">
        <f t="shared" si="9"/>
        <v>44941</v>
      </c>
      <c r="B266" s="110" t="s">
        <v>2534</v>
      </c>
      <c r="C266" s="110">
        <v>1</v>
      </c>
    </row>
    <row r="267" spans="1:3" x14ac:dyDescent="0.25">
      <c r="A267" s="109">
        <f t="shared" ref="A267:A284" si="10">A265+7</f>
        <v>44947</v>
      </c>
      <c r="B267" s="110" t="s">
        <v>2531</v>
      </c>
      <c r="C267" s="110">
        <v>1</v>
      </c>
    </row>
    <row r="268" spans="1:3" x14ac:dyDescent="0.25">
      <c r="A268" s="109">
        <f t="shared" si="10"/>
        <v>44948</v>
      </c>
      <c r="B268" s="110" t="s">
        <v>2532</v>
      </c>
      <c r="C268" s="110">
        <v>1</v>
      </c>
    </row>
    <row r="269" spans="1:3" x14ac:dyDescent="0.25">
      <c r="A269" s="109">
        <f t="shared" si="10"/>
        <v>44954</v>
      </c>
      <c r="B269" s="110" t="s">
        <v>2531</v>
      </c>
      <c r="C269" s="110">
        <v>1</v>
      </c>
    </row>
    <row r="270" spans="1:3" x14ac:dyDescent="0.25">
      <c r="A270" s="109">
        <f t="shared" si="10"/>
        <v>44955</v>
      </c>
      <c r="B270" s="110" t="s">
        <v>2532</v>
      </c>
      <c r="C270" s="110">
        <v>1</v>
      </c>
    </row>
    <row r="271" spans="1:3" x14ac:dyDescent="0.25">
      <c r="A271" s="109">
        <f t="shared" si="10"/>
        <v>44961</v>
      </c>
      <c r="B271" s="110" t="s">
        <v>2531</v>
      </c>
      <c r="C271" s="110">
        <v>1</v>
      </c>
    </row>
    <row r="272" spans="1:3" x14ac:dyDescent="0.25">
      <c r="A272" s="109">
        <f t="shared" si="10"/>
        <v>44962</v>
      </c>
      <c r="B272" s="110" t="s">
        <v>2532</v>
      </c>
      <c r="C272" s="110">
        <v>1</v>
      </c>
    </row>
    <row r="273" spans="1:3" x14ac:dyDescent="0.25">
      <c r="A273" s="109">
        <f t="shared" si="10"/>
        <v>44968</v>
      </c>
      <c r="B273" s="110" t="s">
        <v>2531</v>
      </c>
      <c r="C273" s="110">
        <v>1</v>
      </c>
    </row>
    <row r="274" spans="1:3" x14ac:dyDescent="0.25">
      <c r="A274" s="109">
        <f t="shared" si="10"/>
        <v>44969</v>
      </c>
      <c r="B274" s="110" t="s">
        <v>2532</v>
      </c>
      <c r="C274" s="110">
        <v>1</v>
      </c>
    </row>
    <row r="275" spans="1:3" x14ac:dyDescent="0.25">
      <c r="A275" s="109">
        <f t="shared" si="10"/>
        <v>44975</v>
      </c>
      <c r="B275" s="110" t="s">
        <v>2531</v>
      </c>
      <c r="C275" s="110">
        <v>1</v>
      </c>
    </row>
    <row r="276" spans="1:3" x14ac:dyDescent="0.25">
      <c r="A276" s="109">
        <f t="shared" si="10"/>
        <v>44976</v>
      </c>
      <c r="B276" s="110" t="s">
        <v>2532</v>
      </c>
      <c r="C276" s="110">
        <v>1</v>
      </c>
    </row>
    <row r="277" spans="1:3" x14ac:dyDescent="0.25">
      <c r="A277" s="109">
        <f t="shared" si="10"/>
        <v>44982</v>
      </c>
      <c r="B277" s="110" t="s">
        <v>2531</v>
      </c>
      <c r="C277" s="110">
        <v>1</v>
      </c>
    </row>
    <row r="278" spans="1:3" x14ac:dyDescent="0.25">
      <c r="A278" s="109">
        <f t="shared" si="10"/>
        <v>44983</v>
      </c>
      <c r="B278" s="110" t="s">
        <v>2532</v>
      </c>
      <c r="C278" s="110">
        <v>1</v>
      </c>
    </row>
    <row r="279" spans="1:3" x14ac:dyDescent="0.25">
      <c r="A279" s="109">
        <f t="shared" si="10"/>
        <v>44989</v>
      </c>
      <c r="B279" s="110" t="s">
        <v>2531</v>
      </c>
      <c r="C279" s="110">
        <v>1</v>
      </c>
    </row>
    <row r="280" spans="1:3" x14ac:dyDescent="0.25">
      <c r="A280" s="109">
        <f t="shared" si="10"/>
        <v>44990</v>
      </c>
      <c r="B280" s="110" t="s">
        <v>2532</v>
      </c>
      <c r="C280" s="110">
        <v>1</v>
      </c>
    </row>
    <row r="281" spans="1:3" x14ac:dyDescent="0.25">
      <c r="A281" s="109">
        <f t="shared" si="10"/>
        <v>44996</v>
      </c>
      <c r="B281" s="110" t="s">
        <v>2531</v>
      </c>
      <c r="C281" s="110">
        <v>1</v>
      </c>
    </row>
    <row r="282" spans="1:3" x14ac:dyDescent="0.25">
      <c r="A282" s="109">
        <f t="shared" si="10"/>
        <v>44997</v>
      </c>
      <c r="B282" s="110" t="s">
        <v>2532</v>
      </c>
      <c r="C282" s="110">
        <v>1</v>
      </c>
    </row>
    <row r="283" spans="1:3" x14ac:dyDescent="0.25">
      <c r="A283" s="109">
        <f t="shared" si="10"/>
        <v>45003</v>
      </c>
      <c r="B283" s="110" t="s">
        <v>2531</v>
      </c>
      <c r="C283" s="110">
        <v>1</v>
      </c>
    </row>
    <row r="284" spans="1:3" x14ac:dyDescent="0.25">
      <c r="A284" s="109">
        <f t="shared" si="10"/>
        <v>45004</v>
      </c>
      <c r="B284" s="110" t="s">
        <v>2532</v>
      </c>
      <c r="C284" s="110">
        <v>1</v>
      </c>
    </row>
    <row r="285" spans="1:3" x14ac:dyDescent="0.25">
      <c r="A285" s="109">
        <v>45005</v>
      </c>
      <c r="B285" s="110" t="s">
        <v>2530</v>
      </c>
      <c r="C285" s="110">
        <v>1</v>
      </c>
    </row>
    <row r="286" spans="1:3" x14ac:dyDescent="0.25">
      <c r="A286" s="109">
        <f>A283+7</f>
        <v>45010</v>
      </c>
      <c r="B286" s="110" t="s">
        <v>2531</v>
      </c>
      <c r="C286" s="110">
        <v>1</v>
      </c>
    </row>
    <row r="287" spans="1:3" x14ac:dyDescent="0.25">
      <c r="A287" s="109">
        <f>A284+7</f>
        <v>45011</v>
      </c>
      <c r="B287" s="110" t="s">
        <v>2532</v>
      </c>
      <c r="C287" s="110">
        <v>1</v>
      </c>
    </row>
    <row r="288" spans="1:3" x14ac:dyDescent="0.25">
      <c r="A288" s="109">
        <f>A286+7</f>
        <v>45017</v>
      </c>
      <c r="B288" s="110" t="s">
        <v>2531</v>
      </c>
      <c r="C288" s="110">
        <v>1</v>
      </c>
    </row>
    <row r="289" spans="1:3" x14ac:dyDescent="0.25">
      <c r="A289" s="109">
        <f>A287+7</f>
        <v>45018</v>
      </c>
      <c r="B289" s="110" t="s">
        <v>2532</v>
      </c>
      <c r="C289" s="110">
        <v>1</v>
      </c>
    </row>
    <row r="290" spans="1:3" x14ac:dyDescent="0.25">
      <c r="A290" s="109">
        <v>45019</v>
      </c>
      <c r="B290" s="110" t="s">
        <v>2533</v>
      </c>
      <c r="C290" s="110">
        <v>1</v>
      </c>
    </row>
    <row r="291" spans="1:3" x14ac:dyDescent="0.25">
      <c r="A291" s="109">
        <v>45020</v>
      </c>
      <c r="B291" s="110" t="s">
        <v>2533</v>
      </c>
      <c r="C291" s="110">
        <v>1</v>
      </c>
    </row>
    <row r="292" spans="1:3" x14ac:dyDescent="0.25">
      <c r="A292" s="109">
        <v>45021</v>
      </c>
      <c r="B292" s="110" t="s">
        <v>2533</v>
      </c>
      <c r="C292" s="110">
        <v>1</v>
      </c>
    </row>
    <row r="293" spans="1:3" x14ac:dyDescent="0.25">
      <c r="A293" s="109">
        <v>45022</v>
      </c>
      <c r="B293" s="110" t="s">
        <v>2533</v>
      </c>
      <c r="C293" s="110">
        <v>1</v>
      </c>
    </row>
    <row r="294" spans="1:3" x14ac:dyDescent="0.25">
      <c r="A294" s="109">
        <v>45023</v>
      </c>
      <c r="B294" s="110" t="s">
        <v>2533</v>
      </c>
      <c r="C294" s="110">
        <v>1</v>
      </c>
    </row>
    <row r="295" spans="1:3" x14ac:dyDescent="0.25">
      <c r="A295" s="109">
        <f>A288+7</f>
        <v>45024</v>
      </c>
      <c r="B295" s="110" t="s">
        <v>2531</v>
      </c>
      <c r="C295" s="110">
        <v>1</v>
      </c>
    </row>
    <row r="296" spans="1:3" x14ac:dyDescent="0.25">
      <c r="A296" s="109">
        <f>A289+7</f>
        <v>45025</v>
      </c>
      <c r="B296" s="110" t="s">
        <v>2532</v>
      </c>
      <c r="C296" s="110">
        <v>1</v>
      </c>
    </row>
    <row r="297" spans="1:3" x14ac:dyDescent="0.25">
      <c r="A297" s="109">
        <f t="shared" ref="A297:A302" si="11">A295+7</f>
        <v>45031</v>
      </c>
      <c r="B297" s="110" t="s">
        <v>2531</v>
      </c>
      <c r="C297" s="110">
        <v>1</v>
      </c>
    </row>
    <row r="298" spans="1:3" x14ac:dyDescent="0.25">
      <c r="A298" s="109">
        <f t="shared" si="11"/>
        <v>45032</v>
      </c>
      <c r="B298" s="110" t="s">
        <v>2532</v>
      </c>
      <c r="C298" s="110">
        <v>1</v>
      </c>
    </row>
    <row r="299" spans="1:3" x14ac:dyDescent="0.25">
      <c r="A299" s="109">
        <f t="shared" si="11"/>
        <v>45038</v>
      </c>
      <c r="B299" s="110" t="s">
        <v>2531</v>
      </c>
      <c r="C299" s="110">
        <v>1</v>
      </c>
    </row>
    <row r="300" spans="1:3" x14ac:dyDescent="0.25">
      <c r="A300" s="109">
        <f t="shared" si="11"/>
        <v>45039</v>
      </c>
      <c r="B300" s="110" t="s">
        <v>2532</v>
      </c>
      <c r="C300" s="110">
        <v>1</v>
      </c>
    </row>
    <row r="301" spans="1:3" x14ac:dyDescent="0.25">
      <c r="A301" s="109">
        <f t="shared" si="11"/>
        <v>45045</v>
      </c>
      <c r="B301" s="110" t="s">
        <v>2531</v>
      </c>
      <c r="C301" s="110">
        <v>1</v>
      </c>
    </row>
    <row r="302" spans="1:3" x14ac:dyDescent="0.25">
      <c r="A302" s="109">
        <f t="shared" si="11"/>
        <v>45046</v>
      </c>
      <c r="B302" s="110" t="s">
        <v>2532</v>
      </c>
      <c r="C302" s="110">
        <v>1</v>
      </c>
    </row>
    <row r="303" spans="1:3" x14ac:dyDescent="0.25">
      <c r="A303" s="109">
        <v>45047</v>
      </c>
      <c r="B303" s="110" t="s">
        <v>2530</v>
      </c>
      <c r="C303" s="110">
        <v>1</v>
      </c>
    </row>
    <row r="304" spans="1:3" x14ac:dyDescent="0.25">
      <c r="A304" s="109">
        <f>A301+7</f>
        <v>45052</v>
      </c>
      <c r="B304" s="110" t="s">
        <v>2531</v>
      </c>
      <c r="C304" s="110">
        <v>1</v>
      </c>
    </row>
    <row r="305" spans="1:3" x14ac:dyDescent="0.25">
      <c r="A305" s="109">
        <f>A302+7</f>
        <v>45053</v>
      </c>
      <c r="B305" s="110" t="s">
        <v>2532</v>
      </c>
      <c r="C305" s="110">
        <v>1</v>
      </c>
    </row>
    <row r="306" spans="1:3" x14ac:dyDescent="0.25">
      <c r="A306" s="109">
        <f t="shared" ref="A306:A315" si="12">A304+7</f>
        <v>45059</v>
      </c>
      <c r="B306" s="110" t="s">
        <v>2531</v>
      </c>
      <c r="C306" s="110">
        <v>1</v>
      </c>
    </row>
    <row r="307" spans="1:3" x14ac:dyDescent="0.25">
      <c r="A307" s="109">
        <f t="shared" si="12"/>
        <v>45060</v>
      </c>
      <c r="B307" s="110" t="s">
        <v>2532</v>
      </c>
      <c r="C307" s="110">
        <v>1</v>
      </c>
    </row>
    <row r="308" spans="1:3" x14ac:dyDescent="0.25">
      <c r="A308" s="109">
        <f t="shared" si="12"/>
        <v>45066</v>
      </c>
      <c r="B308" s="110" t="s">
        <v>2531</v>
      </c>
      <c r="C308" s="110">
        <v>1</v>
      </c>
    </row>
    <row r="309" spans="1:3" x14ac:dyDescent="0.25">
      <c r="A309" s="109">
        <f t="shared" si="12"/>
        <v>45067</v>
      </c>
      <c r="B309" s="110" t="s">
        <v>2532</v>
      </c>
      <c r="C309" s="110">
        <v>1</v>
      </c>
    </row>
    <row r="310" spans="1:3" x14ac:dyDescent="0.25">
      <c r="A310" s="109">
        <f t="shared" si="12"/>
        <v>45073</v>
      </c>
      <c r="B310" s="110" t="s">
        <v>2531</v>
      </c>
      <c r="C310" s="110">
        <v>1</v>
      </c>
    </row>
    <row r="311" spans="1:3" x14ac:dyDescent="0.25">
      <c r="A311" s="109">
        <f t="shared" si="12"/>
        <v>45074</v>
      </c>
      <c r="B311" s="110" t="s">
        <v>2532</v>
      </c>
      <c r="C311" s="110">
        <v>1</v>
      </c>
    </row>
    <row r="312" spans="1:3" x14ac:dyDescent="0.25">
      <c r="A312" s="109">
        <f t="shared" si="12"/>
        <v>45080</v>
      </c>
      <c r="B312" s="110" t="s">
        <v>2531</v>
      </c>
      <c r="C312" s="110">
        <v>1</v>
      </c>
    </row>
    <row r="313" spans="1:3" x14ac:dyDescent="0.25">
      <c r="A313" s="109">
        <f t="shared" si="12"/>
        <v>45081</v>
      </c>
      <c r="B313" s="110" t="s">
        <v>2532</v>
      </c>
      <c r="C313" s="110">
        <v>1</v>
      </c>
    </row>
    <row r="314" spans="1:3" x14ac:dyDescent="0.25">
      <c r="A314" s="109">
        <f t="shared" si="12"/>
        <v>45087</v>
      </c>
      <c r="B314" s="110" t="s">
        <v>2531</v>
      </c>
      <c r="C314" s="110">
        <v>1</v>
      </c>
    </row>
    <row r="315" spans="1:3" x14ac:dyDescent="0.25">
      <c r="A315" s="109">
        <f t="shared" si="12"/>
        <v>45088</v>
      </c>
      <c r="B315" s="110" t="s">
        <v>2532</v>
      </c>
      <c r="C315" s="110">
        <v>1</v>
      </c>
    </row>
    <row r="316" spans="1:3" x14ac:dyDescent="0.25">
      <c r="A316" s="109">
        <v>45089</v>
      </c>
      <c r="B316" s="110" t="s">
        <v>2530</v>
      </c>
      <c r="C316" s="110">
        <v>1</v>
      </c>
    </row>
    <row r="317" spans="1:3" x14ac:dyDescent="0.25">
      <c r="A317" s="109">
        <f>A314+7</f>
        <v>45094</v>
      </c>
      <c r="B317" s="110" t="s">
        <v>2531</v>
      </c>
      <c r="C317" s="110">
        <v>1</v>
      </c>
    </row>
    <row r="318" spans="1:3" x14ac:dyDescent="0.25">
      <c r="A318" s="109">
        <f>A315+7</f>
        <v>45095</v>
      </c>
      <c r="B318" s="110" t="s">
        <v>2532</v>
      </c>
      <c r="C318" s="110">
        <v>1</v>
      </c>
    </row>
    <row r="319" spans="1:3" x14ac:dyDescent="0.25">
      <c r="A319" s="109">
        <v>45096</v>
      </c>
      <c r="B319" s="110" t="s">
        <v>2530</v>
      </c>
      <c r="C319" s="110">
        <v>1</v>
      </c>
    </row>
    <row r="320" spans="1:3" x14ac:dyDescent="0.25">
      <c r="A320" s="109">
        <f>A317+7</f>
        <v>45101</v>
      </c>
      <c r="B320" s="110" t="s">
        <v>2531</v>
      </c>
      <c r="C320" s="110">
        <v>1</v>
      </c>
    </row>
    <row r="321" spans="1:3" x14ac:dyDescent="0.25">
      <c r="A321" s="109">
        <f>A318+7</f>
        <v>45102</v>
      </c>
      <c r="B321" s="110" t="s">
        <v>2532</v>
      </c>
      <c r="C321" s="110">
        <v>1</v>
      </c>
    </row>
    <row r="322" spans="1:3" x14ac:dyDescent="0.25">
      <c r="A322" s="109">
        <f>A320+7</f>
        <v>45108</v>
      </c>
      <c r="B322" s="110" t="s">
        <v>2531</v>
      </c>
      <c r="C322" s="110">
        <v>1</v>
      </c>
    </row>
    <row r="323" spans="1:3" x14ac:dyDescent="0.25">
      <c r="A323" s="109">
        <f>A321+7</f>
        <v>45109</v>
      </c>
      <c r="B323" s="110" t="s">
        <v>2532</v>
      </c>
      <c r="C323" s="110">
        <v>1</v>
      </c>
    </row>
    <row r="324" spans="1:3" x14ac:dyDescent="0.25">
      <c r="A324" s="109">
        <v>45110</v>
      </c>
      <c r="B324" s="110" t="s">
        <v>2530</v>
      </c>
      <c r="C324" s="110">
        <v>1</v>
      </c>
    </row>
    <row r="325" spans="1:3" x14ac:dyDescent="0.25">
      <c r="A325" s="109">
        <f>A322+7</f>
        <v>45115</v>
      </c>
      <c r="B325" s="110" t="s">
        <v>2531</v>
      </c>
      <c r="C325" s="110">
        <v>1</v>
      </c>
    </row>
    <row r="326" spans="1:3" x14ac:dyDescent="0.25">
      <c r="A326" s="109">
        <f>A323+7</f>
        <v>45116</v>
      </c>
      <c r="B326" s="110" t="s">
        <v>2532</v>
      </c>
      <c r="C326" s="110">
        <v>1</v>
      </c>
    </row>
    <row r="327" spans="1:3" x14ac:dyDescent="0.25">
      <c r="A327" s="109">
        <f>A325+7</f>
        <v>45122</v>
      </c>
      <c r="B327" s="110" t="s">
        <v>2531</v>
      </c>
      <c r="C327" s="110">
        <v>1</v>
      </c>
    </row>
    <row r="328" spans="1:3" x14ac:dyDescent="0.25">
      <c r="A328" s="109">
        <f>A326+7</f>
        <v>45123</v>
      </c>
      <c r="B328" s="110" t="s">
        <v>2532</v>
      </c>
      <c r="C328" s="110">
        <v>1</v>
      </c>
    </row>
    <row r="329" spans="1:3" x14ac:dyDescent="0.25">
      <c r="A329" s="109">
        <v>45127</v>
      </c>
      <c r="B329" s="110" t="s">
        <v>2530</v>
      </c>
      <c r="C329" s="110">
        <v>1</v>
      </c>
    </row>
    <row r="330" spans="1:3" x14ac:dyDescent="0.25">
      <c r="A330" s="109">
        <f>A327+7</f>
        <v>45129</v>
      </c>
      <c r="B330" s="110" t="s">
        <v>2531</v>
      </c>
      <c r="C330" s="110">
        <v>1</v>
      </c>
    </row>
    <row r="331" spans="1:3" x14ac:dyDescent="0.25">
      <c r="A331" s="109">
        <f>A328+7</f>
        <v>45130</v>
      </c>
      <c r="B331" s="110" t="s">
        <v>2532</v>
      </c>
      <c r="C331" s="110">
        <v>1</v>
      </c>
    </row>
    <row r="332" spans="1:3" x14ac:dyDescent="0.25">
      <c r="A332" s="109">
        <f>A330+7</f>
        <v>45136</v>
      </c>
      <c r="B332" s="110" t="s">
        <v>2531</v>
      </c>
      <c r="C332" s="110">
        <v>1</v>
      </c>
    </row>
    <row r="333" spans="1:3" x14ac:dyDescent="0.25">
      <c r="A333" s="109">
        <f>A331+7</f>
        <v>45137</v>
      </c>
      <c r="B333" s="110" t="s">
        <v>2532</v>
      </c>
      <c r="C333" s="110">
        <v>1</v>
      </c>
    </row>
    <row r="334" spans="1:3" x14ac:dyDescent="0.25">
      <c r="A334" s="109">
        <f>A332+7</f>
        <v>45143</v>
      </c>
      <c r="B334" s="110" t="s">
        <v>2531</v>
      </c>
      <c r="C334" s="110">
        <v>1</v>
      </c>
    </row>
    <row r="335" spans="1:3" x14ac:dyDescent="0.25">
      <c r="A335" s="109">
        <f>A333+7</f>
        <v>45144</v>
      </c>
      <c r="B335" s="110" t="s">
        <v>2532</v>
      </c>
      <c r="C335" s="110">
        <v>1</v>
      </c>
    </row>
    <row r="336" spans="1:3" x14ac:dyDescent="0.25">
      <c r="A336" s="109">
        <v>45145</v>
      </c>
      <c r="B336" s="110" t="s">
        <v>2530</v>
      </c>
      <c r="C336" s="110">
        <v>1</v>
      </c>
    </row>
    <row r="337" spans="1:3" x14ac:dyDescent="0.25">
      <c r="A337" s="109">
        <f>A334+7</f>
        <v>45150</v>
      </c>
      <c r="B337" s="110" t="s">
        <v>2531</v>
      </c>
      <c r="C337" s="110">
        <v>1</v>
      </c>
    </row>
    <row r="338" spans="1:3" x14ac:dyDescent="0.25">
      <c r="A338" s="109">
        <f>A335+7</f>
        <v>45151</v>
      </c>
      <c r="B338" s="110" t="s">
        <v>2532</v>
      </c>
      <c r="C338" s="110">
        <v>1</v>
      </c>
    </row>
    <row r="339" spans="1:3" x14ac:dyDescent="0.25">
      <c r="A339" s="109">
        <f>A337+7</f>
        <v>45157</v>
      </c>
      <c r="B339" s="110" t="s">
        <v>2531</v>
      </c>
      <c r="C339" s="110">
        <v>1</v>
      </c>
    </row>
    <row r="340" spans="1:3" x14ac:dyDescent="0.25">
      <c r="A340" s="109">
        <f>A338+7</f>
        <v>45158</v>
      </c>
      <c r="B340" s="110" t="s">
        <v>2532</v>
      </c>
      <c r="C340" s="110">
        <v>1</v>
      </c>
    </row>
    <row r="341" spans="1:3" x14ac:dyDescent="0.25">
      <c r="A341" s="109">
        <v>45159</v>
      </c>
      <c r="B341" s="110" t="s">
        <v>2530</v>
      </c>
      <c r="C341" s="110">
        <v>1</v>
      </c>
    </row>
    <row r="342" spans="1:3" x14ac:dyDescent="0.25">
      <c r="A342" s="109">
        <f>A339+7</f>
        <v>45164</v>
      </c>
      <c r="B342" s="110" t="s">
        <v>2531</v>
      </c>
      <c r="C342" s="110">
        <v>1</v>
      </c>
    </row>
    <row r="343" spans="1:3" x14ac:dyDescent="0.25">
      <c r="A343" s="109">
        <f>A340+7</f>
        <v>45165</v>
      </c>
      <c r="B343" s="110" t="s">
        <v>2532</v>
      </c>
      <c r="C343" s="110">
        <v>1</v>
      </c>
    </row>
    <row r="344" spans="1:3" x14ac:dyDescent="0.25">
      <c r="A344" s="109">
        <f t="shared" ref="A344:A357" si="13">A342+7</f>
        <v>45171</v>
      </c>
      <c r="B344" s="110" t="s">
        <v>2531</v>
      </c>
      <c r="C344" s="110">
        <v>1</v>
      </c>
    </row>
    <row r="345" spans="1:3" x14ac:dyDescent="0.25">
      <c r="A345" s="109">
        <f t="shared" si="13"/>
        <v>45172</v>
      </c>
      <c r="B345" s="110" t="s">
        <v>2532</v>
      </c>
      <c r="C345" s="110">
        <v>1</v>
      </c>
    </row>
    <row r="346" spans="1:3" x14ac:dyDescent="0.25">
      <c r="A346" s="109">
        <f t="shared" si="13"/>
        <v>45178</v>
      </c>
      <c r="B346" s="110" t="s">
        <v>2531</v>
      </c>
      <c r="C346" s="110">
        <v>1</v>
      </c>
    </row>
    <row r="347" spans="1:3" x14ac:dyDescent="0.25">
      <c r="A347" s="109">
        <f t="shared" si="13"/>
        <v>45179</v>
      </c>
      <c r="B347" s="110" t="s">
        <v>2532</v>
      </c>
      <c r="C347" s="110">
        <v>1</v>
      </c>
    </row>
    <row r="348" spans="1:3" x14ac:dyDescent="0.25">
      <c r="A348" s="109">
        <f t="shared" si="13"/>
        <v>45185</v>
      </c>
      <c r="B348" s="110" t="s">
        <v>2531</v>
      </c>
      <c r="C348" s="110">
        <v>1</v>
      </c>
    </row>
    <row r="349" spans="1:3" x14ac:dyDescent="0.25">
      <c r="A349" s="109">
        <f t="shared" si="13"/>
        <v>45186</v>
      </c>
      <c r="B349" s="110" t="s">
        <v>2532</v>
      </c>
      <c r="C349" s="110">
        <v>1</v>
      </c>
    </row>
    <row r="350" spans="1:3" x14ac:dyDescent="0.25">
      <c r="A350" s="109">
        <f t="shared" si="13"/>
        <v>45192</v>
      </c>
      <c r="B350" s="110" t="s">
        <v>2531</v>
      </c>
      <c r="C350" s="110">
        <v>1</v>
      </c>
    </row>
    <row r="351" spans="1:3" x14ac:dyDescent="0.25">
      <c r="A351" s="109">
        <f t="shared" si="13"/>
        <v>45193</v>
      </c>
      <c r="B351" s="110" t="s">
        <v>2532</v>
      </c>
      <c r="C351" s="110">
        <v>1</v>
      </c>
    </row>
    <row r="352" spans="1:3" x14ac:dyDescent="0.25">
      <c r="A352" s="109">
        <f t="shared" si="13"/>
        <v>45199</v>
      </c>
      <c r="B352" s="110" t="s">
        <v>2531</v>
      </c>
      <c r="C352" s="110">
        <v>1</v>
      </c>
    </row>
    <row r="353" spans="1:3" x14ac:dyDescent="0.25">
      <c r="A353" s="109">
        <f t="shared" si="13"/>
        <v>45200</v>
      </c>
      <c r="B353" s="110" t="s">
        <v>2532</v>
      </c>
      <c r="C353" s="110">
        <v>1</v>
      </c>
    </row>
    <row r="354" spans="1:3" x14ac:dyDescent="0.25">
      <c r="A354" s="109">
        <f t="shared" si="13"/>
        <v>45206</v>
      </c>
      <c r="B354" s="110" t="s">
        <v>2531</v>
      </c>
      <c r="C354" s="110">
        <v>1</v>
      </c>
    </row>
    <row r="355" spans="1:3" x14ac:dyDescent="0.25">
      <c r="A355" s="109">
        <f t="shared" si="13"/>
        <v>45207</v>
      </c>
      <c r="B355" s="110" t="s">
        <v>2532</v>
      </c>
      <c r="C355" s="110">
        <v>1</v>
      </c>
    </row>
    <row r="356" spans="1:3" x14ac:dyDescent="0.25">
      <c r="A356" s="109">
        <f t="shared" si="13"/>
        <v>45213</v>
      </c>
      <c r="B356" s="110" t="s">
        <v>2531</v>
      </c>
      <c r="C356" s="110">
        <v>1</v>
      </c>
    </row>
    <row r="357" spans="1:3" x14ac:dyDescent="0.25">
      <c r="A357" s="109">
        <f t="shared" si="13"/>
        <v>45214</v>
      </c>
      <c r="B357" s="110" t="s">
        <v>2532</v>
      </c>
      <c r="C357" s="110">
        <v>1</v>
      </c>
    </row>
    <row r="358" spans="1:3" x14ac:dyDescent="0.25">
      <c r="A358" s="109">
        <v>45215</v>
      </c>
      <c r="B358" s="110" t="s">
        <v>2530</v>
      </c>
      <c r="C358" s="110">
        <v>1</v>
      </c>
    </row>
    <row r="359" spans="1:3" x14ac:dyDescent="0.25">
      <c r="A359" s="109">
        <f>A356+7</f>
        <v>45220</v>
      </c>
      <c r="B359" s="110" t="s">
        <v>2531</v>
      </c>
      <c r="C359" s="110">
        <v>1</v>
      </c>
    </row>
    <row r="360" spans="1:3" x14ac:dyDescent="0.25">
      <c r="A360" s="109">
        <f>A357+7</f>
        <v>45221</v>
      </c>
      <c r="B360" s="110" t="s">
        <v>2532</v>
      </c>
      <c r="C360" s="110">
        <v>1</v>
      </c>
    </row>
    <row r="361" spans="1:3" x14ac:dyDescent="0.25">
      <c r="A361" s="109">
        <f>A359+7</f>
        <v>45227</v>
      </c>
      <c r="B361" s="110" t="s">
        <v>2531</v>
      </c>
      <c r="C361" s="110">
        <v>1</v>
      </c>
    </row>
    <row r="362" spans="1:3" x14ac:dyDescent="0.25">
      <c r="A362" s="109">
        <f>A360+7</f>
        <v>45228</v>
      </c>
      <c r="B362" s="110" t="s">
        <v>2532</v>
      </c>
      <c r="C362" s="110">
        <v>1</v>
      </c>
    </row>
    <row r="363" spans="1:3" x14ac:dyDescent="0.25">
      <c r="A363" s="109">
        <f>A361+7</f>
        <v>45234</v>
      </c>
      <c r="B363" s="110" t="s">
        <v>2531</v>
      </c>
      <c r="C363" s="110">
        <v>1</v>
      </c>
    </row>
    <row r="364" spans="1:3" x14ac:dyDescent="0.25">
      <c r="A364" s="109">
        <f>A362+7</f>
        <v>45235</v>
      </c>
      <c r="B364" s="110" t="s">
        <v>2532</v>
      </c>
      <c r="C364" s="110">
        <v>1</v>
      </c>
    </row>
    <row r="365" spans="1:3" x14ac:dyDescent="0.25">
      <c r="A365" s="109">
        <v>45236</v>
      </c>
      <c r="B365" s="110" t="s">
        <v>2530</v>
      </c>
      <c r="C365" s="110">
        <v>1</v>
      </c>
    </row>
    <row r="366" spans="1:3" x14ac:dyDescent="0.25">
      <c r="A366" s="109">
        <f>A363+7</f>
        <v>45241</v>
      </c>
      <c r="B366" s="110" t="s">
        <v>2531</v>
      </c>
      <c r="C366" s="110">
        <v>1</v>
      </c>
    </row>
    <row r="367" spans="1:3" x14ac:dyDescent="0.25">
      <c r="A367" s="109">
        <f>A364+7</f>
        <v>45242</v>
      </c>
      <c r="B367" s="110" t="s">
        <v>2532</v>
      </c>
      <c r="C367" s="110">
        <v>1</v>
      </c>
    </row>
    <row r="368" spans="1:3" x14ac:dyDescent="0.25">
      <c r="A368" s="109">
        <v>45243</v>
      </c>
      <c r="B368" s="110" t="s">
        <v>2530</v>
      </c>
      <c r="C368" s="110">
        <v>1</v>
      </c>
    </row>
    <row r="369" spans="1:3" x14ac:dyDescent="0.25">
      <c r="A369" s="109">
        <f>A366+7</f>
        <v>45248</v>
      </c>
      <c r="B369" s="110" t="s">
        <v>2531</v>
      </c>
      <c r="C369" s="110">
        <v>1</v>
      </c>
    </row>
    <row r="370" spans="1:3" x14ac:dyDescent="0.25">
      <c r="A370" s="109">
        <f>A367+7</f>
        <v>45249</v>
      </c>
      <c r="B370" s="110" t="s">
        <v>2532</v>
      </c>
      <c r="C370" s="110">
        <v>1</v>
      </c>
    </row>
    <row r="371" spans="1:3" x14ac:dyDescent="0.25">
      <c r="A371" s="109">
        <f>A369+7</f>
        <v>45255</v>
      </c>
      <c r="B371" s="110" t="s">
        <v>2531</v>
      </c>
      <c r="C371" s="110">
        <v>1</v>
      </c>
    </row>
    <row r="372" spans="1:3" x14ac:dyDescent="0.25">
      <c r="A372" s="109">
        <f>A370+7</f>
        <v>45256</v>
      </c>
      <c r="B372" s="110" t="s">
        <v>2532</v>
      </c>
      <c r="C372" s="110">
        <v>1</v>
      </c>
    </row>
    <row r="373" spans="1:3" x14ac:dyDescent="0.25">
      <c r="A373" s="109">
        <f>A371+7</f>
        <v>45262</v>
      </c>
      <c r="B373" s="110" t="s">
        <v>2531</v>
      </c>
      <c r="C373" s="110">
        <v>1</v>
      </c>
    </row>
    <row r="374" spans="1:3" x14ac:dyDescent="0.25">
      <c r="A374" s="109">
        <f>A372+7</f>
        <v>45263</v>
      </c>
      <c r="B374" s="110" t="s">
        <v>2532</v>
      </c>
      <c r="C374" s="110">
        <v>1</v>
      </c>
    </row>
    <row r="375" spans="1:3" x14ac:dyDescent="0.25">
      <c r="A375" s="109">
        <v>45268</v>
      </c>
      <c r="B375" s="110" t="s">
        <v>2530</v>
      </c>
      <c r="C375" s="110">
        <v>1</v>
      </c>
    </row>
    <row r="376" spans="1:3" x14ac:dyDescent="0.25">
      <c r="A376" s="109">
        <f>A373+7</f>
        <v>45269</v>
      </c>
      <c r="B376" s="110" t="s">
        <v>2531</v>
      </c>
      <c r="C376" s="110">
        <v>1</v>
      </c>
    </row>
    <row r="377" spans="1:3" x14ac:dyDescent="0.25">
      <c r="A377" s="109">
        <f>A374+7</f>
        <v>45270</v>
      </c>
      <c r="B377" s="110" t="s">
        <v>2532</v>
      </c>
      <c r="C377" s="110">
        <v>1</v>
      </c>
    </row>
    <row r="378" spans="1:3" x14ac:dyDescent="0.25">
      <c r="A378" s="109">
        <f>A376+7</f>
        <v>45276</v>
      </c>
      <c r="B378" s="110" t="s">
        <v>2531</v>
      </c>
      <c r="C378" s="110">
        <v>1</v>
      </c>
    </row>
    <row r="379" spans="1:3" x14ac:dyDescent="0.25">
      <c r="A379" s="109">
        <f>A377+7</f>
        <v>45277</v>
      </c>
      <c r="B379" s="110" t="s">
        <v>2532</v>
      </c>
      <c r="C379" s="110">
        <v>1</v>
      </c>
    </row>
    <row r="380" spans="1:3" x14ac:dyDescent="0.25">
      <c r="A380" s="109">
        <f>A378+7</f>
        <v>45283</v>
      </c>
      <c r="B380" s="110" t="s">
        <v>2531</v>
      </c>
      <c r="C380" s="110">
        <v>1</v>
      </c>
    </row>
    <row r="381" spans="1:3" x14ac:dyDescent="0.25">
      <c r="A381" s="109">
        <f>A379+7</f>
        <v>45284</v>
      </c>
      <c r="B381" s="110" t="s">
        <v>2532</v>
      </c>
      <c r="C381" s="110">
        <v>1</v>
      </c>
    </row>
    <row r="382" spans="1:3" x14ac:dyDescent="0.25">
      <c r="A382" s="109">
        <v>45285</v>
      </c>
      <c r="B382" s="110" t="s">
        <v>2530</v>
      </c>
      <c r="C382" s="110">
        <v>1</v>
      </c>
    </row>
    <row r="383" spans="1:3" x14ac:dyDescent="0.25">
      <c r="A383" s="109">
        <v>45286</v>
      </c>
      <c r="B383" s="110" t="s">
        <v>2534</v>
      </c>
      <c r="C383" s="110">
        <v>1</v>
      </c>
    </row>
    <row r="384" spans="1:3" x14ac:dyDescent="0.25">
      <c r="A384" s="109">
        <v>45287</v>
      </c>
      <c r="B384" s="110" t="s">
        <v>2534</v>
      </c>
      <c r="C384" s="110">
        <v>1</v>
      </c>
    </row>
    <row r="385" spans="1:3" x14ac:dyDescent="0.25">
      <c r="A385" s="109">
        <v>45288</v>
      </c>
      <c r="B385" s="110" t="s">
        <v>2534</v>
      </c>
      <c r="C385" s="110">
        <v>1</v>
      </c>
    </row>
    <row r="386" spans="1:3" x14ac:dyDescent="0.25">
      <c r="A386" s="109">
        <v>45289</v>
      </c>
      <c r="B386" s="110" t="s">
        <v>2534</v>
      </c>
      <c r="C386" s="110">
        <v>1</v>
      </c>
    </row>
    <row r="387" spans="1:3" x14ac:dyDescent="0.25">
      <c r="A387" s="109">
        <f>A380+7</f>
        <v>45290</v>
      </c>
      <c r="B387" s="110" t="s">
        <v>2531</v>
      </c>
      <c r="C387" s="110">
        <v>1</v>
      </c>
    </row>
    <row r="388" spans="1:3" x14ac:dyDescent="0.25">
      <c r="A388" s="109">
        <f>A381+7</f>
        <v>45291</v>
      </c>
      <c r="B388" s="110" t="s">
        <v>2532</v>
      </c>
      <c r="C388" s="110">
        <v>1</v>
      </c>
    </row>
    <row r="389" spans="1:3" x14ac:dyDescent="0.25">
      <c r="A389" s="109">
        <v>45292</v>
      </c>
      <c r="B389" s="110" t="s">
        <v>2534</v>
      </c>
      <c r="C389" s="110">
        <v>1</v>
      </c>
    </row>
    <row r="390" spans="1:3" x14ac:dyDescent="0.25">
      <c r="A390" s="109">
        <v>45293</v>
      </c>
      <c r="B390" s="110" t="s">
        <v>2534</v>
      </c>
      <c r="C390" s="110">
        <v>1</v>
      </c>
    </row>
    <row r="391" spans="1:3" x14ac:dyDescent="0.25">
      <c r="A391" s="109">
        <v>45294</v>
      </c>
      <c r="B391" s="110" t="s">
        <v>2534</v>
      </c>
      <c r="C391" s="110">
        <v>1</v>
      </c>
    </row>
    <row r="392" spans="1:3" x14ac:dyDescent="0.25">
      <c r="A392" s="109">
        <v>45295</v>
      </c>
      <c r="B392" s="110" t="s">
        <v>2534</v>
      </c>
      <c r="C392" s="110">
        <v>1</v>
      </c>
    </row>
    <row r="393" spans="1:3" x14ac:dyDescent="0.25">
      <c r="A393" s="109">
        <v>45296</v>
      </c>
      <c r="B393" s="110" t="s">
        <v>2534</v>
      </c>
      <c r="C393" s="110">
        <v>1</v>
      </c>
    </row>
    <row r="394" spans="1:3" x14ac:dyDescent="0.25">
      <c r="A394" s="109">
        <v>45297</v>
      </c>
      <c r="B394" s="110" t="s">
        <v>2534</v>
      </c>
      <c r="C394" s="110">
        <v>1</v>
      </c>
    </row>
    <row r="395" spans="1:3" x14ac:dyDescent="0.25">
      <c r="A395" s="109">
        <v>45298</v>
      </c>
      <c r="B395" s="110" t="s">
        <v>2534</v>
      </c>
      <c r="C395" s="110">
        <v>1</v>
      </c>
    </row>
    <row r="396" spans="1:3" x14ac:dyDescent="0.25">
      <c r="A396" s="109">
        <v>45299</v>
      </c>
      <c r="B396" s="110" t="s">
        <v>2534</v>
      </c>
      <c r="C396" s="110">
        <v>1</v>
      </c>
    </row>
    <row r="397" spans="1:3" x14ac:dyDescent="0.25">
      <c r="A397" s="109">
        <v>45300</v>
      </c>
      <c r="B397" s="110" t="s">
        <v>2534</v>
      </c>
      <c r="C397" s="110">
        <v>1</v>
      </c>
    </row>
    <row r="398" spans="1:3" x14ac:dyDescent="0.25">
      <c r="A398" s="109">
        <v>45301</v>
      </c>
      <c r="B398" s="110" t="s">
        <v>2534</v>
      </c>
      <c r="C398" s="110">
        <v>1</v>
      </c>
    </row>
    <row r="399" spans="1:3" x14ac:dyDescent="0.25">
      <c r="A399" s="109">
        <v>45302</v>
      </c>
      <c r="B399" s="110" t="s">
        <v>2534</v>
      </c>
      <c r="C399" s="110">
        <v>1</v>
      </c>
    </row>
    <row r="400" spans="1:3" x14ac:dyDescent="0.25">
      <c r="A400" s="109">
        <v>45303</v>
      </c>
      <c r="B400" s="110" t="s">
        <v>2534</v>
      </c>
      <c r="C400" s="110">
        <v>1</v>
      </c>
    </row>
    <row r="401" spans="1:3" x14ac:dyDescent="0.25">
      <c r="A401" s="109">
        <v>45304</v>
      </c>
      <c r="B401" s="110" t="s">
        <v>2531</v>
      </c>
      <c r="C401" s="110">
        <v>1</v>
      </c>
    </row>
    <row r="402" spans="1:3" x14ac:dyDescent="0.25">
      <c r="A402" s="109">
        <v>45305</v>
      </c>
      <c r="B402" s="110" t="s">
        <v>2532</v>
      </c>
      <c r="C402" s="110">
        <v>1</v>
      </c>
    </row>
    <row r="403" spans="1:3" x14ac:dyDescent="0.25">
      <c r="A403" s="109">
        <f t="shared" ref="A403:A422" si="14">A401+7</f>
        <v>45311</v>
      </c>
      <c r="B403" s="110" t="s">
        <v>2531</v>
      </c>
      <c r="C403" s="110">
        <v>1</v>
      </c>
    </row>
    <row r="404" spans="1:3" x14ac:dyDescent="0.25">
      <c r="A404" s="109">
        <f t="shared" si="14"/>
        <v>45312</v>
      </c>
      <c r="B404" s="110" t="s">
        <v>2532</v>
      </c>
      <c r="C404" s="110">
        <v>1</v>
      </c>
    </row>
    <row r="405" spans="1:3" x14ac:dyDescent="0.25">
      <c r="A405" s="109">
        <f t="shared" si="14"/>
        <v>45318</v>
      </c>
      <c r="B405" s="110" t="s">
        <v>2531</v>
      </c>
      <c r="C405" s="110">
        <v>1</v>
      </c>
    </row>
    <row r="406" spans="1:3" x14ac:dyDescent="0.25">
      <c r="A406" s="109">
        <f t="shared" si="14"/>
        <v>45319</v>
      </c>
      <c r="B406" s="110" t="s">
        <v>2532</v>
      </c>
      <c r="C406" s="110">
        <v>1</v>
      </c>
    </row>
    <row r="407" spans="1:3" x14ac:dyDescent="0.25">
      <c r="A407" s="109">
        <f t="shared" si="14"/>
        <v>45325</v>
      </c>
      <c r="B407" s="110" t="s">
        <v>2531</v>
      </c>
      <c r="C407" s="110">
        <v>1</v>
      </c>
    </row>
    <row r="408" spans="1:3" x14ac:dyDescent="0.25">
      <c r="A408" s="109">
        <f t="shared" si="14"/>
        <v>45326</v>
      </c>
      <c r="B408" s="110" t="s">
        <v>2532</v>
      </c>
      <c r="C408" s="110">
        <v>1</v>
      </c>
    </row>
    <row r="409" spans="1:3" x14ac:dyDescent="0.25">
      <c r="A409" s="109">
        <f t="shared" si="14"/>
        <v>45332</v>
      </c>
      <c r="B409" s="110" t="s">
        <v>2531</v>
      </c>
      <c r="C409" s="110">
        <v>1</v>
      </c>
    </row>
    <row r="410" spans="1:3" x14ac:dyDescent="0.25">
      <c r="A410" s="109">
        <f t="shared" si="14"/>
        <v>45333</v>
      </c>
      <c r="B410" s="110" t="s">
        <v>2532</v>
      </c>
      <c r="C410" s="110">
        <v>1</v>
      </c>
    </row>
    <row r="411" spans="1:3" x14ac:dyDescent="0.25">
      <c r="A411" s="109">
        <f t="shared" si="14"/>
        <v>45339</v>
      </c>
      <c r="B411" s="110" t="s">
        <v>2531</v>
      </c>
      <c r="C411" s="110">
        <v>1</v>
      </c>
    </row>
    <row r="412" spans="1:3" x14ac:dyDescent="0.25">
      <c r="A412" s="109">
        <f t="shared" si="14"/>
        <v>45340</v>
      </c>
      <c r="B412" s="110" t="s">
        <v>2532</v>
      </c>
      <c r="C412" s="110">
        <v>1</v>
      </c>
    </row>
    <row r="413" spans="1:3" x14ac:dyDescent="0.25">
      <c r="A413" s="109">
        <f t="shared" si="14"/>
        <v>45346</v>
      </c>
      <c r="B413" s="110" t="s">
        <v>2531</v>
      </c>
      <c r="C413" s="110">
        <v>1</v>
      </c>
    </row>
    <row r="414" spans="1:3" x14ac:dyDescent="0.25">
      <c r="A414" s="109">
        <f t="shared" si="14"/>
        <v>45347</v>
      </c>
      <c r="B414" s="110" t="s">
        <v>2532</v>
      </c>
      <c r="C414" s="110">
        <v>1</v>
      </c>
    </row>
    <row r="415" spans="1:3" x14ac:dyDescent="0.25">
      <c r="A415" s="109">
        <f t="shared" si="14"/>
        <v>45353</v>
      </c>
      <c r="B415" s="110" t="s">
        <v>2531</v>
      </c>
      <c r="C415" s="110">
        <v>1</v>
      </c>
    </row>
    <row r="416" spans="1:3" x14ac:dyDescent="0.25">
      <c r="A416" s="109">
        <f t="shared" si="14"/>
        <v>45354</v>
      </c>
      <c r="B416" s="110" t="s">
        <v>2532</v>
      </c>
      <c r="C416" s="110">
        <v>1</v>
      </c>
    </row>
    <row r="417" spans="1:3" x14ac:dyDescent="0.25">
      <c r="A417" s="109">
        <f t="shared" si="14"/>
        <v>45360</v>
      </c>
      <c r="B417" s="110" t="s">
        <v>2531</v>
      </c>
      <c r="C417" s="110">
        <v>1</v>
      </c>
    </row>
    <row r="418" spans="1:3" x14ac:dyDescent="0.25">
      <c r="A418" s="109">
        <f t="shared" si="14"/>
        <v>45361</v>
      </c>
      <c r="B418" s="110" t="s">
        <v>2532</v>
      </c>
      <c r="C418" s="110">
        <v>1</v>
      </c>
    </row>
    <row r="419" spans="1:3" x14ac:dyDescent="0.25">
      <c r="A419" s="109">
        <f t="shared" si="14"/>
        <v>45367</v>
      </c>
      <c r="B419" s="110" t="s">
        <v>2531</v>
      </c>
      <c r="C419" s="110">
        <v>1</v>
      </c>
    </row>
    <row r="420" spans="1:3" x14ac:dyDescent="0.25">
      <c r="A420" s="109">
        <f t="shared" si="14"/>
        <v>45368</v>
      </c>
      <c r="B420" s="110" t="s">
        <v>2532</v>
      </c>
      <c r="C420" s="110">
        <v>1</v>
      </c>
    </row>
    <row r="421" spans="1:3" x14ac:dyDescent="0.25">
      <c r="A421" s="109">
        <f t="shared" si="14"/>
        <v>45374</v>
      </c>
      <c r="B421" s="110" t="s">
        <v>2531</v>
      </c>
      <c r="C421" s="110">
        <v>1</v>
      </c>
    </row>
    <row r="422" spans="1:3" x14ac:dyDescent="0.25">
      <c r="A422" s="109">
        <f t="shared" si="14"/>
        <v>45375</v>
      </c>
      <c r="B422" s="110" t="s">
        <v>2532</v>
      </c>
      <c r="C422" s="110">
        <v>1</v>
      </c>
    </row>
    <row r="423" spans="1:3" x14ac:dyDescent="0.25">
      <c r="A423" s="109">
        <v>45376</v>
      </c>
      <c r="B423" s="110" t="s">
        <v>2533</v>
      </c>
      <c r="C423" s="110">
        <v>1</v>
      </c>
    </row>
    <row r="424" spans="1:3" x14ac:dyDescent="0.25">
      <c r="A424" s="109">
        <v>45377</v>
      </c>
      <c r="B424" s="110" t="s">
        <v>2533</v>
      </c>
      <c r="C424" s="110">
        <v>1</v>
      </c>
    </row>
    <row r="425" spans="1:3" x14ac:dyDescent="0.25">
      <c r="A425" s="109">
        <v>45378</v>
      </c>
      <c r="B425" s="110" t="s">
        <v>2533</v>
      </c>
      <c r="C425" s="110">
        <v>1</v>
      </c>
    </row>
    <row r="426" spans="1:3" x14ac:dyDescent="0.25">
      <c r="A426" s="109">
        <v>45379</v>
      </c>
      <c r="B426" s="110" t="s">
        <v>2533</v>
      </c>
      <c r="C426" s="110">
        <v>1</v>
      </c>
    </row>
    <row r="427" spans="1:3" x14ac:dyDescent="0.25">
      <c r="A427" s="109">
        <v>45380</v>
      </c>
      <c r="B427" s="110" t="s">
        <v>2533</v>
      </c>
      <c r="C427" s="110">
        <v>1</v>
      </c>
    </row>
    <row r="428" spans="1:3" x14ac:dyDescent="0.25">
      <c r="A428" s="109">
        <v>45381</v>
      </c>
      <c r="B428" s="110" t="s">
        <v>2533</v>
      </c>
      <c r="C428" s="110">
        <v>1</v>
      </c>
    </row>
    <row r="429" spans="1:3" x14ac:dyDescent="0.25">
      <c r="A429" s="109">
        <v>45382</v>
      </c>
      <c r="B429" s="110" t="s">
        <v>2532</v>
      </c>
      <c r="C429" s="110">
        <v>1</v>
      </c>
    </row>
    <row r="430" spans="1:3" x14ac:dyDescent="0.25">
      <c r="A430" s="109">
        <f t="shared" ref="A430:A437" si="15">A428+7</f>
        <v>45388</v>
      </c>
      <c r="B430" s="110" t="s">
        <v>2531</v>
      </c>
      <c r="C430" s="110">
        <v>1</v>
      </c>
    </row>
    <row r="431" spans="1:3" x14ac:dyDescent="0.25">
      <c r="A431" s="109">
        <f t="shared" si="15"/>
        <v>45389</v>
      </c>
      <c r="B431" s="110" t="s">
        <v>2532</v>
      </c>
      <c r="C431" s="110">
        <v>1</v>
      </c>
    </row>
    <row r="432" spans="1:3" x14ac:dyDescent="0.25">
      <c r="A432" s="109">
        <f t="shared" si="15"/>
        <v>45395</v>
      </c>
      <c r="B432" s="110" t="s">
        <v>2531</v>
      </c>
      <c r="C432" s="110">
        <v>1</v>
      </c>
    </row>
    <row r="433" spans="1:3" x14ac:dyDescent="0.25">
      <c r="A433" s="109">
        <f t="shared" si="15"/>
        <v>45396</v>
      </c>
      <c r="B433" s="110" t="s">
        <v>2532</v>
      </c>
      <c r="C433" s="110">
        <v>1</v>
      </c>
    </row>
    <row r="434" spans="1:3" x14ac:dyDescent="0.25">
      <c r="A434" s="109">
        <f t="shared" si="15"/>
        <v>45402</v>
      </c>
      <c r="B434" s="110" t="s">
        <v>2531</v>
      </c>
      <c r="C434" s="110">
        <v>1</v>
      </c>
    </row>
    <row r="435" spans="1:3" x14ac:dyDescent="0.25">
      <c r="A435" s="109">
        <f t="shared" si="15"/>
        <v>45403</v>
      </c>
      <c r="B435" s="110" t="s">
        <v>2532</v>
      </c>
      <c r="C435" s="110">
        <v>1</v>
      </c>
    </row>
    <row r="436" spans="1:3" x14ac:dyDescent="0.25">
      <c r="A436" s="109">
        <f t="shared" si="15"/>
        <v>45409</v>
      </c>
      <c r="B436" s="110" t="s">
        <v>2531</v>
      </c>
      <c r="C436" s="110">
        <v>1</v>
      </c>
    </row>
    <row r="437" spans="1:3" x14ac:dyDescent="0.25">
      <c r="A437" s="109">
        <f t="shared" si="15"/>
        <v>45410</v>
      </c>
      <c r="B437" s="110" t="s">
        <v>2532</v>
      </c>
      <c r="C437" s="110">
        <v>1</v>
      </c>
    </row>
    <row r="438" spans="1:3" x14ac:dyDescent="0.25">
      <c r="A438" s="109">
        <v>45413</v>
      </c>
      <c r="B438" s="110" t="s">
        <v>2530</v>
      </c>
      <c r="C438" s="110">
        <v>1</v>
      </c>
    </row>
    <row r="439" spans="1:3" x14ac:dyDescent="0.25">
      <c r="A439" s="109">
        <f>A436+7</f>
        <v>45416</v>
      </c>
      <c r="B439" s="110" t="s">
        <v>2531</v>
      </c>
      <c r="C439" s="110">
        <v>1</v>
      </c>
    </row>
    <row r="440" spans="1:3" x14ac:dyDescent="0.25">
      <c r="A440" s="109">
        <f>A437+7</f>
        <v>45417</v>
      </c>
      <c r="B440" s="110" t="s">
        <v>2532</v>
      </c>
      <c r="C440" s="110">
        <v>1</v>
      </c>
    </row>
    <row r="441" spans="1:3" x14ac:dyDescent="0.25">
      <c r="A441" s="109">
        <f>A439+7</f>
        <v>45423</v>
      </c>
      <c r="B441" s="110" t="s">
        <v>2531</v>
      </c>
      <c r="C441" s="110">
        <v>1</v>
      </c>
    </row>
    <row r="442" spans="1:3" x14ac:dyDescent="0.25">
      <c r="A442" s="109">
        <f>A440+7</f>
        <v>45424</v>
      </c>
      <c r="B442" s="110" t="s">
        <v>2532</v>
      </c>
      <c r="C442" s="110">
        <v>1</v>
      </c>
    </row>
    <row r="443" spans="1:3" x14ac:dyDescent="0.25">
      <c r="A443" s="109">
        <v>45425</v>
      </c>
      <c r="B443" s="110" t="s">
        <v>2530</v>
      </c>
      <c r="C443" s="110">
        <v>1</v>
      </c>
    </row>
    <row r="444" spans="1:3" x14ac:dyDescent="0.25">
      <c r="A444" s="109">
        <f>A441+7</f>
        <v>45430</v>
      </c>
      <c r="B444" s="110" t="s">
        <v>2531</v>
      </c>
      <c r="C444" s="110">
        <v>1</v>
      </c>
    </row>
    <row r="445" spans="1:3" x14ac:dyDescent="0.25">
      <c r="A445" s="109">
        <f>A442+7</f>
        <v>45431</v>
      </c>
      <c r="B445" s="110" t="s">
        <v>2532</v>
      </c>
      <c r="C445" s="110">
        <v>1</v>
      </c>
    </row>
    <row r="446" spans="1:3" x14ac:dyDescent="0.25">
      <c r="A446" s="109">
        <f>A444+7</f>
        <v>45437</v>
      </c>
      <c r="B446" s="110" t="s">
        <v>2531</v>
      </c>
      <c r="C446" s="110">
        <v>1</v>
      </c>
    </row>
    <row r="447" spans="1:3" x14ac:dyDescent="0.25">
      <c r="A447" s="109">
        <f>A445+7</f>
        <v>45438</v>
      </c>
      <c r="B447" s="110" t="s">
        <v>2532</v>
      </c>
      <c r="C447" s="110">
        <v>1</v>
      </c>
    </row>
    <row r="448" spans="1:3" x14ac:dyDescent="0.25">
      <c r="A448" s="109">
        <f>A446+7</f>
        <v>45444</v>
      </c>
      <c r="B448" s="110" t="s">
        <v>2531</v>
      </c>
      <c r="C448" s="110">
        <v>1</v>
      </c>
    </row>
    <row r="449" spans="1:3" x14ac:dyDescent="0.25">
      <c r="A449" s="109">
        <f>A447+7</f>
        <v>45445</v>
      </c>
      <c r="B449" s="110" t="s">
        <v>2532</v>
      </c>
      <c r="C449" s="110">
        <v>1</v>
      </c>
    </row>
    <row r="450" spans="1:3" x14ac:dyDescent="0.25">
      <c r="A450" s="109">
        <v>45446</v>
      </c>
      <c r="B450" s="110" t="s">
        <v>2530</v>
      </c>
      <c r="C450" s="110">
        <v>1</v>
      </c>
    </row>
    <row r="451" spans="1:3" x14ac:dyDescent="0.25">
      <c r="A451" s="109">
        <f>A448+7</f>
        <v>45451</v>
      </c>
      <c r="B451" s="110" t="s">
        <v>2531</v>
      </c>
      <c r="C451" s="110">
        <v>1</v>
      </c>
    </row>
    <row r="452" spans="1:3" x14ac:dyDescent="0.25">
      <c r="A452" s="109">
        <f>A449+7</f>
        <v>45452</v>
      </c>
      <c r="B452" s="110" t="s">
        <v>2532</v>
      </c>
      <c r="C452" s="110">
        <v>1</v>
      </c>
    </row>
    <row r="453" spans="1:3" x14ac:dyDescent="0.25">
      <c r="A453" s="109">
        <v>45453</v>
      </c>
      <c r="B453" s="110" t="s">
        <v>2530</v>
      </c>
      <c r="C453" s="110">
        <v>1</v>
      </c>
    </row>
    <row r="454" spans="1:3" x14ac:dyDescent="0.25">
      <c r="A454" s="109">
        <f>A451+7</f>
        <v>45458</v>
      </c>
      <c r="B454" s="110" t="s">
        <v>2531</v>
      </c>
      <c r="C454" s="110">
        <v>1</v>
      </c>
    </row>
    <row r="455" spans="1:3" x14ac:dyDescent="0.25">
      <c r="A455" s="109">
        <f>A452+7</f>
        <v>45459</v>
      </c>
      <c r="B455" s="110" t="s">
        <v>2532</v>
      </c>
      <c r="C455" s="110">
        <v>1</v>
      </c>
    </row>
    <row r="456" spans="1:3" x14ac:dyDescent="0.25">
      <c r="A456" s="109">
        <f>A454+7</f>
        <v>45465</v>
      </c>
      <c r="B456" s="110" t="s">
        <v>2531</v>
      </c>
      <c r="C456" s="110">
        <v>1</v>
      </c>
    </row>
    <row r="457" spans="1:3" x14ac:dyDescent="0.25">
      <c r="A457" s="109">
        <f>A455+7</f>
        <v>45466</v>
      </c>
      <c r="B457" s="110" t="s">
        <v>2532</v>
      </c>
      <c r="C457" s="110">
        <v>1</v>
      </c>
    </row>
    <row r="458" spans="1:3" x14ac:dyDescent="0.25">
      <c r="A458" s="109">
        <f>A456+7</f>
        <v>45472</v>
      </c>
      <c r="B458" s="110" t="s">
        <v>2531</v>
      </c>
      <c r="C458" s="110">
        <v>1</v>
      </c>
    </row>
    <row r="459" spans="1:3" x14ac:dyDescent="0.25">
      <c r="A459" s="109">
        <f>A457+7</f>
        <v>45473</v>
      </c>
      <c r="B459" s="110" t="s">
        <v>2532</v>
      </c>
      <c r="C459" s="110">
        <v>1</v>
      </c>
    </row>
    <row r="460" spans="1:3" x14ac:dyDescent="0.25">
      <c r="A460" s="109">
        <v>45474</v>
      </c>
      <c r="B460" s="110" t="s">
        <v>2530</v>
      </c>
      <c r="C460" s="110">
        <v>1</v>
      </c>
    </row>
    <row r="461" spans="1:3" x14ac:dyDescent="0.25">
      <c r="A461" s="109">
        <f>A458+7</f>
        <v>45479</v>
      </c>
      <c r="B461" s="110" t="s">
        <v>2531</v>
      </c>
      <c r="C461" s="110">
        <v>1</v>
      </c>
    </row>
    <row r="462" spans="1:3" x14ac:dyDescent="0.25">
      <c r="A462" s="109">
        <f>A459+7</f>
        <v>45480</v>
      </c>
      <c r="B462" s="110" t="s">
        <v>2532</v>
      </c>
      <c r="C462" s="110">
        <v>1</v>
      </c>
    </row>
    <row r="463" spans="1:3" x14ac:dyDescent="0.25">
      <c r="A463" s="109">
        <f t="shared" ref="A463:A470" si="16">A461+7</f>
        <v>45486</v>
      </c>
      <c r="B463" s="110" t="s">
        <v>2531</v>
      </c>
      <c r="C463" s="110">
        <v>1</v>
      </c>
    </row>
    <row r="464" spans="1:3" x14ac:dyDescent="0.25">
      <c r="A464" s="109">
        <f t="shared" si="16"/>
        <v>45487</v>
      </c>
      <c r="B464" s="110" t="s">
        <v>2532</v>
      </c>
      <c r="C464" s="110">
        <v>1</v>
      </c>
    </row>
    <row r="465" spans="1:3" x14ac:dyDescent="0.25">
      <c r="A465" s="109">
        <f t="shared" si="16"/>
        <v>45493</v>
      </c>
      <c r="B465" s="110" t="s">
        <v>2531</v>
      </c>
      <c r="C465" s="110">
        <v>1</v>
      </c>
    </row>
    <row r="466" spans="1:3" x14ac:dyDescent="0.25">
      <c r="A466" s="109">
        <f t="shared" si="16"/>
        <v>45494</v>
      </c>
      <c r="B466" s="110" t="s">
        <v>2532</v>
      </c>
      <c r="C466" s="110">
        <v>1</v>
      </c>
    </row>
    <row r="467" spans="1:3" x14ac:dyDescent="0.25">
      <c r="A467" s="109">
        <f t="shared" si="16"/>
        <v>45500</v>
      </c>
      <c r="B467" s="110" t="s">
        <v>2531</v>
      </c>
      <c r="C467" s="110">
        <v>1</v>
      </c>
    </row>
    <row r="468" spans="1:3" x14ac:dyDescent="0.25">
      <c r="A468" s="109">
        <f t="shared" si="16"/>
        <v>45501</v>
      </c>
      <c r="B468" s="110" t="s">
        <v>2532</v>
      </c>
      <c r="C468" s="110">
        <v>1</v>
      </c>
    </row>
    <row r="469" spans="1:3" x14ac:dyDescent="0.25">
      <c r="A469" s="109">
        <f t="shared" si="16"/>
        <v>45507</v>
      </c>
      <c r="B469" s="110" t="s">
        <v>2531</v>
      </c>
      <c r="C469" s="110">
        <v>1</v>
      </c>
    </row>
    <row r="470" spans="1:3" x14ac:dyDescent="0.25">
      <c r="A470" s="109">
        <f t="shared" si="16"/>
        <v>45508</v>
      </c>
      <c r="B470" s="110" t="s">
        <v>2532</v>
      </c>
      <c r="C470" s="110">
        <v>1</v>
      </c>
    </row>
    <row r="471" spans="1:3" x14ac:dyDescent="0.25">
      <c r="A471" s="109">
        <v>45511</v>
      </c>
      <c r="B471" s="110" t="s">
        <v>2530</v>
      </c>
      <c r="C471" s="110">
        <v>1</v>
      </c>
    </row>
    <row r="472" spans="1:3" x14ac:dyDescent="0.25">
      <c r="A472" s="109">
        <f>A469+7</f>
        <v>45514</v>
      </c>
      <c r="B472" s="110" t="s">
        <v>2531</v>
      </c>
      <c r="C472" s="110">
        <v>1</v>
      </c>
    </row>
    <row r="473" spans="1:3" x14ac:dyDescent="0.25">
      <c r="A473" s="109">
        <f>A470+7</f>
        <v>45515</v>
      </c>
      <c r="B473" s="110" t="s">
        <v>2532</v>
      </c>
      <c r="C473" s="110">
        <v>1</v>
      </c>
    </row>
    <row r="474" spans="1:3" x14ac:dyDescent="0.25">
      <c r="A474" s="109">
        <f>A472+7</f>
        <v>45521</v>
      </c>
      <c r="B474" s="110" t="s">
        <v>2531</v>
      </c>
      <c r="C474" s="110">
        <v>1</v>
      </c>
    </row>
    <row r="475" spans="1:3" x14ac:dyDescent="0.25">
      <c r="A475" s="109">
        <f>A473+7</f>
        <v>45522</v>
      </c>
      <c r="B475" s="110" t="s">
        <v>2532</v>
      </c>
      <c r="C475" s="110">
        <v>1</v>
      </c>
    </row>
    <row r="476" spans="1:3" x14ac:dyDescent="0.25">
      <c r="A476" s="109">
        <v>45523</v>
      </c>
      <c r="B476" s="110" t="s">
        <v>2530</v>
      </c>
      <c r="C476" s="110">
        <v>1</v>
      </c>
    </row>
    <row r="477" spans="1:3" x14ac:dyDescent="0.25">
      <c r="A477" s="109">
        <f>A474+7</f>
        <v>45528</v>
      </c>
      <c r="B477" s="110" t="s">
        <v>2531</v>
      </c>
      <c r="C477" s="110">
        <v>1</v>
      </c>
    </row>
    <row r="478" spans="1:3" x14ac:dyDescent="0.25">
      <c r="A478" s="109">
        <f>A475+7</f>
        <v>45529</v>
      </c>
      <c r="B478" s="110" t="s">
        <v>2532</v>
      </c>
      <c r="C478" s="110">
        <v>1</v>
      </c>
    </row>
    <row r="479" spans="1:3" x14ac:dyDescent="0.25">
      <c r="A479" s="109">
        <f t="shared" ref="A479:A492" si="17">A477+7</f>
        <v>45535</v>
      </c>
      <c r="B479" s="110" t="s">
        <v>2531</v>
      </c>
      <c r="C479" s="110">
        <v>1</v>
      </c>
    </row>
    <row r="480" spans="1:3" x14ac:dyDescent="0.25">
      <c r="A480" s="109">
        <f t="shared" si="17"/>
        <v>45536</v>
      </c>
      <c r="B480" s="110" t="s">
        <v>2532</v>
      </c>
      <c r="C480" s="110">
        <v>1</v>
      </c>
    </row>
    <row r="481" spans="1:3" x14ac:dyDescent="0.25">
      <c r="A481" s="109">
        <f t="shared" si="17"/>
        <v>45542</v>
      </c>
      <c r="B481" s="110" t="s">
        <v>2531</v>
      </c>
      <c r="C481" s="110">
        <v>1</v>
      </c>
    </row>
    <row r="482" spans="1:3" x14ac:dyDescent="0.25">
      <c r="A482" s="109">
        <f t="shared" si="17"/>
        <v>45543</v>
      </c>
      <c r="B482" s="110" t="s">
        <v>2532</v>
      </c>
      <c r="C482" s="110">
        <v>1</v>
      </c>
    </row>
    <row r="483" spans="1:3" x14ac:dyDescent="0.25">
      <c r="A483" s="109">
        <f t="shared" si="17"/>
        <v>45549</v>
      </c>
      <c r="B483" s="110" t="s">
        <v>2531</v>
      </c>
      <c r="C483" s="110">
        <v>1</v>
      </c>
    </row>
    <row r="484" spans="1:3" x14ac:dyDescent="0.25">
      <c r="A484" s="109">
        <f t="shared" si="17"/>
        <v>45550</v>
      </c>
      <c r="B484" s="110" t="s">
        <v>2532</v>
      </c>
      <c r="C484" s="110">
        <v>1</v>
      </c>
    </row>
    <row r="485" spans="1:3" x14ac:dyDescent="0.25">
      <c r="A485" s="109">
        <f t="shared" si="17"/>
        <v>45556</v>
      </c>
      <c r="B485" s="110" t="s">
        <v>2531</v>
      </c>
      <c r="C485" s="110">
        <v>1</v>
      </c>
    </row>
    <row r="486" spans="1:3" x14ac:dyDescent="0.25">
      <c r="A486" s="109">
        <f t="shared" si="17"/>
        <v>45557</v>
      </c>
      <c r="B486" s="110" t="s">
        <v>2532</v>
      </c>
      <c r="C486" s="110">
        <v>1</v>
      </c>
    </row>
    <row r="487" spans="1:3" x14ac:dyDescent="0.25">
      <c r="A487" s="109">
        <f t="shared" si="17"/>
        <v>45563</v>
      </c>
      <c r="B487" s="110" t="s">
        <v>2531</v>
      </c>
      <c r="C487" s="110">
        <v>1</v>
      </c>
    </row>
    <row r="488" spans="1:3" x14ac:dyDescent="0.25">
      <c r="A488" s="109">
        <f t="shared" si="17"/>
        <v>45564</v>
      </c>
      <c r="B488" s="110" t="s">
        <v>2532</v>
      </c>
      <c r="C488" s="110">
        <v>1</v>
      </c>
    </row>
    <row r="489" spans="1:3" x14ac:dyDescent="0.25">
      <c r="A489" s="109">
        <f t="shared" si="17"/>
        <v>45570</v>
      </c>
      <c r="B489" s="110" t="s">
        <v>2531</v>
      </c>
      <c r="C489" s="110">
        <v>1</v>
      </c>
    </row>
    <row r="490" spans="1:3" x14ac:dyDescent="0.25">
      <c r="A490" s="109">
        <f t="shared" si="17"/>
        <v>45571</v>
      </c>
      <c r="B490" s="110" t="s">
        <v>2532</v>
      </c>
      <c r="C490" s="110">
        <v>1</v>
      </c>
    </row>
    <row r="491" spans="1:3" x14ac:dyDescent="0.25">
      <c r="A491" s="109">
        <f t="shared" si="17"/>
        <v>45577</v>
      </c>
      <c r="B491" s="110" t="s">
        <v>2531</v>
      </c>
      <c r="C491" s="110">
        <v>1</v>
      </c>
    </row>
    <row r="492" spans="1:3" x14ac:dyDescent="0.25">
      <c r="A492" s="109">
        <f t="shared" si="17"/>
        <v>45578</v>
      </c>
      <c r="B492" s="110" t="s">
        <v>2532</v>
      </c>
      <c r="C492" s="110">
        <v>1</v>
      </c>
    </row>
    <row r="493" spans="1:3" x14ac:dyDescent="0.25">
      <c r="A493" s="109">
        <v>45579</v>
      </c>
      <c r="B493" s="110" t="s">
        <v>2530</v>
      </c>
      <c r="C493" s="110">
        <v>1</v>
      </c>
    </row>
    <row r="494" spans="1:3" x14ac:dyDescent="0.25">
      <c r="A494" s="109">
        <f>A491+7</f>
        <v>45584</v>
      </c>
      <c r="B494" s="110" t="s">
        <v>2531</v>
      </c>
      <c r="C494" s="110">
        <v>1</v>
      </c>
    </row>
    <row r="495" spans="1:3" x14ac:dyDescent="0.25">
      <c r="A495" s="109">
        <f>A492+7</f>
        <v>45585</v>
      </c>
      <c r="B495" s="110" t="s">
        <v>2532</v>
      </c>
      <c r="C495" s="110">
        <v>1</v>
      </c>
    </row>
    <row r="496" spans="1:3" x14ac:dyDescent="0.25">
      <c r="A496" s="109">
        <f>A494+7</f>
        <v>45591</v>
      </c>
      <c r="B496" s="110" t="s">
        <v>2531</v>
      </c>
      <c r="C496" s="110">
        <v>1</v>
      </c>
    </row>
    <row r="497" spans="1:3" x14ac:dyDescent="0.25">
      <c r="A497" s="109">
        <f>A495+7</f>
        <v>45592</v>
      </c>
      <c r="B497" s="110" t="s">
        <v>2532</v>
      </c>
      <c r="C497" s="110">
        <v>1</v>
      </c>
    </row>
    <row r="498" spans="1:3" x14ac:dyDescent="0.25">
      <c r="A498" s="109">
        <f>A496+7</f>
        <v>45598</v>
      </c>
      <c r="B498" s="110" t="s">
        <v>2531</v>
      </c>
      <c r="C498" s="110">
        <v>1</v>
      </c>
    </row>
    <row r="499" spans="1:3" x14ac:dyDescent="0.25">
      <c r="A499" s="109">
        <f>A497+7</f>
        <v>45599</v>
      </c>
      <c r="B499" s="110" t="s">
        <v>2532</v>
      </c>
      <c r="C499" s="110">
        <v>1</v>
      </c>
    </row>
    <row r="500" spans="1:3" x14ac:dyDescent="0.25">
      <c r="A500" s="109">
        <v>45600</v>
      </c>
      <c r="B500" s="110" t="s">
        <v>2530</v>
      </c>
      <c r="C500" s="110">
        <v>1</v>
      </c>
    </row>
    <row r="501" spans="1:3" x14ac:dyDescent="0.25">
      <c r="A501" s="109">
        <f>A498+7</f>
        <v>45605</v>
      </c>
      <c r="B501" s="110" t="s">
        <v>2531</v>
      </c>
      <c r="C501" s="110">
        <v>1</v>
      </c>
    </row>
    <row r="502" spans="1:3" x14ac:dyDescent="0.25">
      <c r="A502" s="109">
        <f>A499+7</f>
        <v>45606</v>
      </c>
      <c r="B502" s="110" t="s">
        <v>2532</v>
      </c>
      <c r="C502" s="110">
        <v>1</v>
      </c>
    </row>
    <row r="503" spans="1:3" x14ac:dyDescent="0.25">
      <c r="A503" s="109">
        <v>45607</v>
      </c>
      <c r="B503" s="110" t="s">
        <v>2530</v>
      </c>
      <c r="C503" s="110">
        <v>1</v>
      </c>
    </row>
    <row r="504" spans="1:3" x14ac:dyDescent="0.25">
      <c r="A504" s="109">
        <f>A501+7</f>
        <v>45612</v>
      </c>
      <c r="B504" s="110" t="s">
        <v>2531</v>
      </c>
      <c r="C504" s="110">
        <v>1</v>
      </c>
    </row>
    <row r="505" spans="1:3" x14ac:dyDescent="0.25">
      <c r="A505" s="109">
        <f>A502+7</f>
        <v>45613</v>
      </c>
      <c r="B505" s="110" t="s">
        <v>2532</v>
      </c>
      <c r="C505" s="110">
        <v>1</v>
      </c>
    </row>
    <row r="506" spans="1:3" x14ac:dyDescent="0.25">
      <c r="A506" s="109">
        <f t="shared" ref="A506:A515" si="18">A504+7</f>
        <v>45619</v>
      </c>
      <c r="B506" s="110" t="s">
        <v>2531</v>
      </c>
      <c r="C506" s="110">
        <v>1</v>
      </c>
    </row>
    <row r="507" spans="1:3" x14ac:dyDescent="0.25">
      <c r="A507" s="109">
        <f t="shared" si="18"/>
        <v>45620</v>
      </c>
      <c r="B507" s="110" t="s">
        <v>2532</v>
      </c>
      <c r="C507" s="110">
        <v>1</v>
      </c>
    </row>
    <row r="508" spans="1:3" x14ac:dyDescent="0.25">
      <c r="A508" s="109">
        <f t="shared" si="18"/>
        <v>45626</v>
      </c>
      <c r="B508" s="110" t="s">
        <v>2531</v>
      </c>
      <c r="C508" s="110">
        <v>1</v>
      </c>
    </row>
    <row r="509" spans="1:3" x14ac:dyDescent="0.25">
      <c r="A509" s="109">
        <f t="shared" si="18"/>
        <v>45627</v>
      </c>
      <c r="B509" s="110" t="s">
        <v>2532</v>
      </c>
      <c r="C509" s="110">
        <v>1</v>
      </c>
    </row>
    <row r="510" spans="1:3" x14ac:dyDescent="0.25">
      <c r="A510" s="109">
        <f t="shared" si="18"/>
        <v>45633</v>
      </c>
      <c r="B510" s="110" t="s">
        <v>2531</v>
      </c>
      <c r="C510" s="110">
        <v>1</v>
      </c>
    </row>
    <row r="511" spans="1:3" x14ac:dyDescent="0.25">
      <c r="A511" s="109">
        <f t="shared" si="18"/>
        <v>45634</v>
      </c>
      <c r="B511" s="110" t="s">
        <v>2532</v>
      </c>
      <c r="C511" s="110">
        <v>1</v>
      </c>
    </row>
    <row r="512" spans="1:3" x14ac:dyDescent="0.25">
      <c r="A512" s="109">
        <f t="shared" si="18"/>
        <v>45640</v>
      </c>
      <c r="B512" s="110" t="s">
        <v>2531</v>
      </c>
      <c r="C512" s="110">
        <v>1</v>
      </c>
    </row>
    <row r="513" spans="1:3" x14ac:dyDescent="0.25">
      <c r="A513" s="109">
        <f t="shared" si="18"/>
        <v>45641</v>
      </c>
      <c r="B513" s="110" t="s">
        <v>2532</v>
      </c>
      <c r="C513" s="110">
        <v>1</v>
      </c>
    </row>
    <row r="514" spans="1:3" x14ac:dyDescent="0.25">
      <c r="A514" s="109">
        <f t="shared" si="18"/>
        <v>45647</v>
      </c>
      <c r="B514" s="110" t="s">
        <v>2531</v>
      </c>
      <c r="C514" s="110">
        <v>1</v>
      </c>
    </row>
    <row r="515" spans="1:3" x14ac:dyDescent="0.25">
      <c r="A515" s="109">
        <f t="shared" si="18"/>
        <v>45648</v>
      </c>
      <c r="B515" s="110" t="s">
        <v>2532</v>
      </c>
      <c r="C515" s="110">
        <v>1</v>
      </c>
    </row>
    <row r="516" spans="1:3" x14ac:dyDescent="0.25">
      <c r="A516" s="109">
        <v>45649</v>
      </c>
      <c r="B516" s="110" t="s">
        <v>2534</v>
      </c>
      <c r="C516" s="110">
        <v>1</v>
      </c>
    </row>
    <row r="517" spans="1:3" x14ac:dyDescent="0.25">
      <c r="A517" s="109">
        <v>45650</v>
      </c>
      <c r="B517" s="110" t="s">
        <v>2534</v>
      </c>
      <c r="C517" s="110">
        <v>1</v>
      </c>
    </row>
    <row r="518" spans="1:3" x14ac:dyDescent="0.25">
      <c r="A518" s="109">
        <v>45651</v>
      </c>
      <c r="B518" s="110" t="s">
        <v>2534</v>
      </c>
      <c r="C518" s="110">
        <v>1</v>
      </c>
    </row>
    <row r="519" spans="1:3" x14ac:dyDescent="0.25">
      <c r="A519" s="109">
        <v>45652</v>
      </c>
      <c r="B519" s="110" t="s">
        <v>2534</v>
      </c>
      <c r="C519" s="110">
        <v>1</v>
      </c>
    </row>
    <row r="520" spans="1:3" x14ac:dyDescent="0.25">
      <c r="A520" s="109">
        <v>45653</v>
      </c>
      <c r="B520" s="110" t="s">
        <v>2534</v>
      </c>
      <c r="C520" s="110">
        <v>1</v>
      </c>
    </row>
    <row r="521" spans="1:3" x14ac:dyDescent="0.25">
      <c r="A521" s="109">
        <v>45654</v>
      </c>
      <c r="B521" s="110" t="s">
        <v>2534</v>
      </c>
      <c r="C521" s="110">
        <v>1</v>
      </c>
    </row>
    <row r="522" spans="1:3" x14ac:dyDescent="0.25">
      <c r="A522" s="109">
        <v>45655</v>
      </c>
      <c r="B522" s="110" t="s">
        <v>2534</v>
      </c>
      <c r="C522" s="110">
        <v>1</v>
      </c>
    </row>
    <row r="523" spans="1:3" x14ac:dyDescent="0.25">
      <c r="A523" s="109">
        <v>45656</v>
      </c>
      <c r="B523" s="110" t="s">
        <v>2534</v>
      </c>
      <c r="C523" s="110">
        <v>1</v>
      </c>
    </row>
    <row r="524" spans="1:3" x14ac:dyDescent="0.25">
      <c r="A524" s="109">
        <v>45657</v>
      </c>
      <c r="B524" s="110" t="s">
        <v>2534</v>
      </c>
      <c r="C524" s="110">
        <v>1</v>
      </c>
    </row>
    <row r="525" spans="1:3" x14ac:dyDescent="0.25">
      <c r="A525" s="109"/>
      <c r="B525" s="110"/>
    </row>
  </sheetData>
  <autoFilter ref="A1:E524" xr:uid="{BE12652C-BC09-4724-B1CA-FE98B7C0F84D}"/>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00B050"/>
  </sheetPr>
  <dimension ref="A1:AW1048576"/>
  <sheetViews>
    <sheetView showGridLines="0" tabSelected="1" zoomScale="80" zoomScaleNormal="80" workbookViewId="0">
      <pane xSplit="6" ySplit="3" topLeftCell="M169" activePane="bottomRight" state="frozen"/>
      <selection pane="topRight" activeCell="D1" sqref="D1"/>
      <selection pane="bottomLeft" activeCell="A4" sqref="A4"/>
      <selection pane="bottomRight" activeCell="N174" sqref="N174"/>
    </sheetView>
  </sheetViews>
  <sheetFormatPr baseColWidth="10" defaultColWidth="0" defaultRowHeight="15" zeroHeight="1" x14ac:dyDescent="0.25"/>
  <cols>
    <col min="1" max="1" width="15.140625" customWidth="1"/>
    <col min="2" max="2" width="16" customWidth="1"/>
    <col min="3" max="3" width="13.5703125" customWidth="1"/>
    <col min="4" max="4" width="25.85546875" style="29" customWidth="1"/>
    <col min="5" max="5" width="25.85546875" customWidth="1"/>
    <col min="6" max="7" width="41.5703125" style="29" customWidth="1"/>
    <col min="8" max="8" width="41.5703125" customWidth="1"/>
    <col min="9" max="9" width="28.42578125" style="29" customWidth="1"/>
    <col min="10" max="10" width="28.42578125" customWidth="1"/>
    <col min="11" max="11" width="18.5703125" customWidth="1"/>
    <col min="12" max="12" width="20.140625" style="30" customWidth="1"/>
    <col min="13" max="15" width="18" style="30" customWidth="1"/>
    <col min="16" max="16" width="13.28515625" customWidth="1"/>
    <col min="17" max="22" width="11.42578125" customWidth="1"/>
    <col min="23" max="23" width="21" customWidth="1"/>
    <col min="24" max="24" width="21.5703125" customWidth="1"/>
    <col min="25" max="25" width="21" customWidth="1"/>
    <col min="26" max="29" width="18.28515625" customWidth="1"/>
    <col min="30" max="30" width="18" customWidth="1"/>
    <col min="31" max="31" width="20.5703125" customWidth="1"/>
    <col min="32" max="32" width="11.42578125" customWidth="1"/>
    <col min="33" max="49" width="15" hidden="1" customWidth="1"/>
    <col min="50" max="16384" width="11.42578125" hidden="1"/>
  </cols>
  <sheetData>
    <row r="1" spans="1:31" s="3" customFormat="1" ht="41.25" customHeight="1" x14ac:dyDescent="0.25">
      <c r="A1" s="147" t="s">
        <v>2514</v>
      </c>
      <c r="B1" s="149" t="s">
        <v>0</v>
      </c>
      <c r="C1" s="149"/>
      <c r="D1" s="149"/>
      <c r="E1" s="149"/>
      <c r="F1" s="149"/>
      <c r="G1" s="151" t="s">
        <v>1</v>
      </c>
      <c r="H1" s="151"/>
      <c r="I1" s="151"/>
      <c r="J1" s="151"/>
      <c r="K1" s="151"/>
      <c r="L1" s="151"/>
      <c r="M1" s="151"/>
      <c r="N1" s="151"/>
      <c r="O1" s="83"/>
      <c r="P1" s="153" t="s">
        <v>2</v>
      </c>
      <c r="Q1" s="153"/>
      <c r="R1" s="153"/>
      <c r="S1" s="153"/>
      <c r="T1" s="153"/>
      <c r="U1" s="153"/>
      <c r="V1" s="1"/>
      <c r="W1" s="154" t="s">
        <v>3</v>
      </c>
      <c r="X1" s="154"/>
      <c r="Y1" s="155" t="s">
        <v>4</v>
      </c>
      <c r="Z1" s="155"/>
      <c r="AA1" s="155"/>
      <c r="AB1" s="141" t="s">
        <v>5</v>
      </c>
      <c r="AC1" s="141"/>
      <c r="AD1" s="141"/>
      <c r="AE1" s="2"/>
    </row>
    <row r="2" spans="1:31" s="3" customFormat="1" ht="31.5" customHeight="1" x14ac:dyDescent="0.25">
      <c r="A2" s="148"/>
      <c r="B2" s="150"/>
      <c r="C2" s="150"/>
      <c r="D2" s="150"/>
      <c r="E2" s="150"/>
      <c r="F2" s="150"/>
      <c r="G2" s="152"/>
      <c r="H2" s="152"/>
      <c r="I2" s="152"/>
      <c r="J2" s="152"/>
      <c r="K2" s="152"/>
      <c r="L2" s="152"/>
      <c r="M2" s="152"/>
      <c r="N2" s="152"/>
      <c r="O2" s="84"/>
      <c r="P2" s="82" t="s">
        <v>6</v>
      </c>
      <c r="Q2" s="142" t="s">
        <v>7</v>
      </c>
      <c r="R2" s="142"/>
      <c r="S2" s="143" t="s">
        <v>8</v>
      </c>
      <c r="T2" s="144"/>
      <c r="U2" s="145" t="s">
        <v>9</v>
      </c>
      <c r="V2" s="146"/>
      <c r="W2" s="85" t="s">
        <v>7</v>
      </c>
      <c r="X2" s="85" t="s">
        <v>7</v>
      </c>
      <c r="Y2" s="155"/>
      <c r="Z2" s="155"/>
      <c r="AA2" s="155"/>
      <c r="AB2" s="141"/>
      <c r="AC2" s="141"/>
      <c r="AD2" s="141"/>
      <c r="AE2" s="2"/>
    </row>
    <row r="3" spans="1:31" s="13" customFormat="1" ht="39" customHeight="1" x14ac:dyDescent="0.25">
      <c r="A3" s="4" t="s">
        <v>10</v>
      </c>
      <c r="B3" s="5" t="s">
        <v>11</v>
      </c>
      <c r="C3" s="5" t="s">
        <v>12</v>
      </c>
      <c r="D3" s="5" t="s">
        <v>13</v>
      </c>
      <c r="E3" s="5" t="s">
        <v>14</v>
      </c>
      <c r="F3" s="5" t="s">
        <v>15</v>
      </c>
      <c r="G3" s="6" t="s">
        <v>16</v>
      </c>
      <c r="H3" s="6" t="s">
        <v>17</v>
      </c>
      <c r="I3" s="6" t="s">
        <v>18</v>
      </c>
      <c r="J3" s="6" t="s">
        <v>19</v>
      </c>
      <c r="K3" s="7" t="s">
        <v>20</v>
      </c>
      <c r="L3" s="7" t="s">
        <v>21</v>
      </c>
      <c r="M3" s="7" t="s">
        <v>22</v>
      </c>
      <c r="N3" s="86" t="s">
        <v>23</v>
      </c>
      <c r="O3" s="87" t="s">
        <v>24</v>
      </c>
      <c r="P3" s="8" t="s">
        <v>25</v>
      </c>
      <c r="Q3" s="8" t="s">
        <v>26</v>
      </c>
      <c r="R3" s="8" t="s">
        <v>27</v>
      </c>
      <c r="S3" s="8" t="s">
        <v>28</v>
      </c>
      <c r="T3" s="8" t="s">
        <v>29</v>
      </c>
      <c r="U3" s="8" t="s">
        <v>30</v>
      </c>
      <c r="V3" s="8" t="s">
        <v>31</v>
      </c>
      <c r="W3" s="88" t="s">
        <v>32</v>
      </c>
      <c r="X3" s="88" t="s">
        <v>33</v>
      </c>
      <c r="Y3" s="4" t="s">
        <v>34</v>
      </c>
      <c r="Z3" s="9" t="s">
        <v>35</v>
      </c>
      <c r="AA3" s="9" t="s">
        <v>19</v>
      </c>
      <c r="AB3" s="10" t="s">
        <v>34</v>
      </c>
      <c r="AC3" s="11" t="s">
        <v>36</v>
      </c>
      <c r="AD3" s="11" t="s">
        <v>37</v>
      </c>
      <c r="AE3" s="12" t="s">
        <v>38</v>
      </c>
    </row>
    <row r="4" spans="1:31" s="24" customFormat="1" ht="20.100000000000001" customHeight="1" x14ac:dyDescent="0.25">
      <c r="A4" s="14" t="s">
        <v>39</v>
      </c>
      <c r="B4" s="15" t="s">
        <v>40</v>
      </c>
      <c r="C4" s="16">
        <v>1</v>
      </c>
      <c r="D4" s="17" t="s">
        <v>409</v>
      </c>
      <c r="E4" s="18" t="s">
        <v>2286</v>
      </c>
      <c r="F4" s="17" t="s">
        <v>411</v>
      </c>
      <c r="G4" s="89" t="s">
        <v>2349</v>
      </c>
      <c r="H4" s="19" t="s">
        <v>41</v>
      </c>
      <c r="I4" s="20" t="s">
        <v>411</v>
      </c>
      <c r="J4" s="21">
        <v>44409</v>
      </c>
      <c r="K4" s="22" t="s">
        <v>42</v>
      </c>
      <c r="L4" s="23">
        <v>0</v>
      </c>
      <c r="M4" s="22">
        <v>2021</v>
      </c>
      <c r="N4" s="22">
        <v>100</v>
      </c>
      <c r="O4" s="22">
        <v>1</v>
      </c>
      <c r="P4" s="22">
        <v>0</v>
      </c>
      <c r="Q4" s="22">
        <v>12.5</v>
      </c>
      <c r="R4" s="22">
        <v>25</v>
      </c>
      <c r="S4" s="22">
        <v>37.5</v>
      </c>
      <c r="T4" s="22">
        <v>50</v>
      </c>
      <c r="U4" s="22">
        <v>100</v>
      </c>
      <c r="V4" s="22">
        <v>100</v>
      </c>
      <c r="W4" s="22">
        <v>10</v>
      </c>
      <c r="X4" s="22">
        <v>25</v>
      </c>
      <c r="Y4" s="22" t="s">
        <v>43</v>
      </c>
      <c r="AA4" s="22"/>
      <c r="AB4" s="22" t="s">
        <v>43</v>
      </c>
      <c r="AC4" s="25"/>
      <c r="AD4" s="22"/>
      <c r="AE4" s="16">
        <v>3</v>
      </c>
    </row>
    <row r="5" spans="1:31" s="24" customFormat="1" ht="20.100000000000001" customHeight="1" x14ac:dyDescent="0.25">
      <c r="A5" s="14" t="s">
        <v>44</v>
      </c>
      <c r="B5" s="15" t="s">
        <v>40</v>
      </c>
      <c r="C5" s="16">
        <v>1</v>
      </c>
      <c r="D5" s="17" t="s">
        <v>409</v>
      </c>
      <c r="E5" s="18" t="s">
        <v>2286</v>
      </c>
      <c r="F5" s="17" t="s">
        <v>411</v>
      </c>
      <c r="G5" s="89" t="s">
        <v>2350</v>
      </c>
      <c r="H5" s="19" t="s">
        <v>45</v>
      </c>
      <c r="I5" s="20" t="s">
        <v>411</v>
      </c>
      <c r="J5" s="21">
        <v>44409</v>
      </c>
      <c r="K5" s="22" t="s">
        <v>42</v>
      </c>
      <c r="L5" s="23">
        <v>0</v>
      </c>
      <c r="M5" s="22">
        <v>2021</v>
      </c>
      <c r="N5" s="22">
        <v>9</v>
      </c>
      <c r="O5" s="22">
        <v>8</v>
      </c>
      <c r="P5" s="26">
        <v>1</v>
      </c>
      <c r="Q5" s="26">
        <v>2</v>
      </c>
      <c r="R5" s="26">
        <v>4</v>
      </c>
      <c r="S5" s="26">
        <v>5</v>
      </c>
      <c r="T5" s="26">
        <v>7</v>
      </c>
      <c r="U5" s="26">
        <v>9</v>
      </c>
      <c r="V5" s="26">
        <v>9</v>
      </c>
      <c r="W5" s="22">
        <v>3</v>
      </c>
      <c r="X5" s="22">
        <v>21</v>
      </c>
      <c r="Y5" s="22" t="s">
        <v>43</v>
      </c>
      <c r="Z5" s="22"/>
      <c r="AA5" s="22"/>
      <c r="AB5" s="22" t="s">
        <v>43</v>
      </c>
      <c r="AC5" s="25"/>
      <c r="AD5" s="22"/>
      <c r="AE5" s="16">
        <v>1</v>
      </c>
    </row>
    <row r="6" spans="1:31" s="24" customFormat="1" ht="20.100000000000001" customHeight="1" x14ac:dyDescent="0.25">
      <c r="A6" s="14" t="s">
        <v>46</v>
      </c>
      <c r="B6" s="15" t="s">
        <v>40</v>
      </c>
      <c r="C6" s="16">
        <v>1</v>
      </c>
      <c r="D6" s="17" t="s">
        <v>409</v>
      </c>
      <c r="E6" s="18" t="s">
        <v>2286</v>
      </c>
      <c r="F6" s="17" t="s">
        <v>411</v>
      </c>
      <c r="G6" s="89" t="s">
        <v>2351</v>
      </c>
      <c r="H6" s="19" t="s">
        <v>47</v>
      </c>
      <c r="I6" s="20" t="s">
        <v>411</v>
      </c>
      <c r="J6" s="21">
        <v>44409</v>
      </c>
      <c r="K6" s="22" t="s">
        <v>42</v>
      </c>
      <c r="L6" s="23">
        <v>0</v>
      </c>
      <c r="M6" s="22">
        <v>2021</v>
      </c>
      <c r="N6" s="22">
        <v>15</v>
      </c>
      <c r="O6" s="22">
        <v>15</v>
      </c>
      <c r="P6" s="22">
        <v>0</v>
      </c>
      <c r="Q6" s="22">
        <v>1</v>
      </c>
      <c r="R6" s="22">
        <v>3</v>
      </c>
      <c r="S6" s="22">
        <v>5</v>
      </c>
      <c r="T6" s="22">
        <v>8</v>
      </c>
      <c r="U6" s="22">
        <v>15</v>
      </c>
      <c r="V6" s="22">
        <v>15</v>
      </c>
      <c r="W6" s="22">
        <v>0</v>
      </c>
      <c r="X6" s="22">
        <v>1</v>
      </c>
      <c r="Y6" s="22" t="s">
        <v>43</v>
      </c>
      <c r="Z6" s="22"/>
      <c r="AA6" s="22"/>
      <c r="AB6" s="22" t="s">
        <v>43</v>
      </c>
      <c r="AC6" s="25"/>
      <c r="AD6" s="22"/>
      <c r="AE6" s="16">
        <v>1</v>
      </c>
    </row>
    <row r="7" spans="1:31" s="24" customFormat="1" ht="20.100000000000001" customHeight="1" x14ac:dyDescent="0.25">
      <c r="A7" s="14" t="s">
        <v>48</v>
      </c>
      <c r="B7" s="15" t="s">
        <v>40</v>
      </c>
      <c r="C7" s="16">
        <v>2</v>
      </c>
      <c r="D7" s="17" t="s">
        <v>415</v>
      </c>
      <c r="E7" s="18" t="s">
        <v>2287</v>
      </c>
      <c r="F7" s="17" t="s">
        <v>411</v>
      </c>
      <c r="G7" s="89" t="s">
        <v>2352</v>
      </c>
      <c r="H7" s="19" t="s">
        <v>49</v>
      </c>
      <c r="I7" s="20" t="s">
        <v>411</v>
      </c>
      <c r="J7" s="21">
        <v>44440</v>
      </c>
      <c r="K7" s="22" t="s">
        <v>42</v>
      </c>
      <c r="L7" s="23">
        <v>1</v>
      </c>
      <c r="M7" s="22">
        <v>2020</v>
      </c>
      <c r="N7" s="22">
        <v>5</v>
      </c>
      <c r="O7" s="22">
        <v>5</v>
      </c>
      <c r="P7" s="26">
        <v>0</v>
      </c>
      <c r="Q7" s="26">
        <v>1</v>
      </c>
      <c r="R7" s="26">
        <v>2</v>
      </c>
      <c r="S7" s="26">
        <v>3</v>
      </c>
      <c r="T7" s="26">
        <v>5</v>
      </c>
      <c r="U7" s="26">
        <v>5</v>
      </c>
      <c r="V7" s="26">
        <v>5</v>
      </c>
      <c r="W7" s="22">
        <v>0</v>
      </c>
      <c r="X7" s="22">
        <v>12</v>
      </c>
      <c r="Y7" s="22" t="s">
        <v>43</v>
      </c>
      <c r="Z7" s="22"/>
      <c r="AA7" s="22"/>
      <c r="AB7" s="22" t="s">
        <v>43</v>
      </c>
      <c r="AC7" s="25"/>
      <c r="AD7" s="22"/>
      <c r="AE7" s="16">
        <v>3</v>
      </c>
    </row>
    <row r="8" spans="1:31" s="24" customFormat="1" ht="20.100000000000001" customHeight="1" x14ac:dyDescent="0.25">
      <c r="A8" s="16" t="s">
        <v>50</v>
      </c>
      <c r="B8" s="15" t="s">
        <v>40</v>
      </c>
      <c r="C8" s="16">
        <v>2</v>
      </c>
      <c r="D8" s="17" t="s">
        <v>415</v>
      </c>
      <c r="E8" s="18" t="s">
        <v>2287</v>
      </c>
      <c r="F8" s="17" t="s">
        <v>411</v>
      </c>
      <c r="G8" s="89" t="s">
        <v>2353</v>
      </c>
      <c r="H8" s="27" t="s">
        <v>51</v>
      </c>
      <c r="I8" s="20" t="s">
        <v>411</v>
      </c>
      <c r="J8" s="21">
        <v>44440</v>
      </c>
      <c r="K8" s="22" t="s">
        <v>42</v>
      </c>
      <c r="L8" s="23">
        <v>0</v>
      </c>
      <c r="M8" s="22">
        <v>2020</v>
      </c>
      <c r="N8" s="22">
        <v>9</v>
      </c>
      <c r="O8" s="22">
        <v>9</v>
      </c>
      <c r="P8" s="22">
        <v>1</v>
      </c>
      <c r="Q8" s="22">
        <v>3</v>
      </c>
      <c r="R8" s="22">
        <v>5</v>
      </c>
      <c r="S8" s="22">
        <v>7</v>
      </c>
      <c r="T8" s="22">
        <v>9</v>
      </c>
      <c r="U8" s="22">
        <v>9</v>
      </c>
      <c r="V8" s="22">
        <v>9</v>
      </c>
      <c r="W8" s="22">
        <v>0</v>
      </c>
      <c r="X8" s="22">
        <v>2</v>
      </c>
      <c r="Y8" s="22" t="s">
        <v>43</v>
      </c>
      <c r="Z8" s="22"/>
      <c r="AA8" s="22"/>
      <c r="AB8" s="22" t="s">
        <v>43</v>
      </c>
      <c r="AC8" s="25"/>
      <c r="AD8" s="22"/>
      <c r="AE8" s="16">
        <v>3</v>
      </c>
    </row>
    <row r="9" spans="1:31" s="24" customFormat="1" ht="20.100000000000001" customHeight="1" x14ac:dyDescent="0.25">
      <c r="A9" s="16" t="s">
        <v>52</v>
      </c>
      <c r="B9" s="15" t="s">
        <v>40</v>
      </c>
      <c r="C9" s="16">
        <v>2</v>
      </c>
      <c r="D9" s="17" t="s">
        <v>415</v>
      </c>
      <c r="E9" s="18" t="s">
        <v>2287</v>
      </c>
      <c r="F9" s="17" t="s">
        <v>411</v>
      </c>
      <c r="G9" s="89" t="s">
        <v>2354</v>
      </c>
      <c r="H9" s="27" t="s">
        <v>53</v>
      </c>
      <c r="I9" s="20" t="s">
        <v>411</v>
      </c>
      <c r="J9" s="21">
        <v>44440</v>
      </c>
      <c r="K9" s="22" t="s">
        <v>42</v>
      </c>
      <c r="L9" s="23">
        <v>0</v>
      </c>
      <c r="M9" s="22">
        <v>2020</v>
      </c>
      <c r="N9" s="22">
        <v>5</v>
      </c>
      <c r="O9" s="22">
        <v>5</v>
      </c>
      <c r="P9" s="26">
        <v>1</v>
      </c>
      <c r="Q9" s="26">
        <v>2</v>
      </c>
      <c r="R9" s="26">
        <v>3</v>
      </c>
      <c r="S9" s="26">
        <v>4</v>
      </c>
      <c r="T9" s="26">
        <v>5</v>
      </c>
      <c r="U9" s="26">
        <v>5</v>
      </c>
      <c r="V9" s="26">
        <v>5</v>
      </c>
      <c r="W9" s="22">
        <v>1</v>
      </c>
      <c r="X9" s="22">
        <v>3</v>
      </c>
      <c r="Y9" s="22" t="s">
        <v>43</v>
      </c>
      <c r="Z9" s="22"/>
      <c r="AA9" s="22"/>
      <c r="AB9" s="22" t="s">
        <v>43</v>
      </c>
      <c r="AC9" s="25"/>
      <c r="AD9" s="22"/>
      <c r="AE9" s="16">
        <v>3</v>
      </c>
    </row>
    <row r="10" spans="1:31" s="24" customFormat="1" ht="20.100000000000001" customHeight="1" x14ac:dyDescent="0.25">
      <c r="A10" s="14" t="s">
        <v>54</v>
      </c>
      <c r="B10" s="15" t="s">
        <v>40</v>
      </c>
      <c r="C10" s="16">
        <v>3</v>
      </c>
      <c r="D10" s="17" t="s">
        <v>680</v>
      </c>
      <c r="E10" s="18" t="s">
        <v>2341</v>
      </c>
      <c r="F10" s="17" t="s">
        <v>411</v>
      </c>
      <c r="G10" s="89" t="s">
        <v>2355</v>
      </c>
      <c r="H10" s="19" t="s">
        <v>55</v>
      </c>
      <c r="I10" s="20" t="s">
        <v>411</v>
      </c>
      <c r="J10" s="21">
        <v>44378</v>
      </c>
      <c r="K10" s="22" t="s">
        <v>42</v>
      </c>
      <c r="L10" s="23">
        <v>0</v>
      </c>
      <c r="M10" s="22">
        <v>2020</v>
      </c>
      <c r="N10" s="22">
        <v>100</v>
      </c>
      <c r="O10" s="22">
        <v>1</v>
      </c>
      <c r="P10" s="26">
        <v>0</v>
      </c>
      <c r="Q10" s="26">
        <v>21.5</v>
      </c>
      <c r="R10" s="26">
        <v>43</v>
      </c>
      <c r="S10" s="26">
        <v>64.5</v>
      </c>
      <c r="T10" s="26">
        <v>86</v>
      </c>
      <c r="U10" s="26">
        <v>100</v>
      </c>
      <c r="V10" s="26">
        <v>100</v>
      </c>
      <c r="W10" s="22">
        <v>0</v>
      </c>
      <c r="X10" s="22">
        <v>22</v>
      </c>
      <c r="Y10" s="22" t="s">
        <v>43</v>
      </c>
      <c r="Z10" s="22"/>
      <c r="AA10" s="22"/>
      <c r="AB10" s="22" t="s">
        <v>43</v>
      </c>
      <c r="AC10" s="25"/>
      <c r="AD10" s="22"/>
      <c r="AE10" s="16">
        <v>3</v>
      </c>
    </row>
    <row r="11" spans="1:31" s="24" customFormat="1" ht="20.100000000000001" customHeight="1" x14ac:dyDescent="0.25">
      <c r="A11" s="14" t="s">
        <v>56</v>
      </c>
      <c r="B11" s="15" t="s">
        <v>40</v>
      </c>
      <c r="C11" s="16">
        <v>3</v>
      </c>
      <c r="D11" s="17" t="s">
        <v>680</v>
      </c>
      <c r="E11" s="18" t="s">
        <v>2341</v>
      </c>
      <c r="F11" s="17" t="s">
        <v>411</v>
      </c>
      <c r="G11" s="89" t="s">
        <v>2356</v>
      </c>
      <c r="H11" s="19" t="s">
        <v>57</v>
      </c>
      <c r="I11" s="20" t="s">
        <v>411</v>
      </c>
      <c r="J11" s="21">
        <v>44378</v>
      </c>
      <c r="K11" s="22" t="s">
        <v>42</v>
      </c>
      <c r="L11" s="23">
        <v>0</v>
      </c>
      <c r="M11" s="22">
        <v>2020</v>
      </c>
      <c r="N11" s="22">
        <v>100</v>
      </c>
      <c r="O11" s="22">
        <v>1</v>
      </c>
      <c r="P11" s="26">
        <v>0</v>
      </c>
      <c r="Q11" s="26">
        <v>21.5</v>
      </c>
      <c r="R11" s="26">
        <v>43</v>
      </c>
      <c r="S11" s="26">
        <v>64.5</v>
      </c>
      <c r="T11" s="26">
        <v>86</v>
      </c>
      <c r="U11" s="26">
        <v>100</v>
      </c>
      <c r="V11" s="26">
        <v>100</v>
      </c>
      <c r="W11" s="22">
        <v>0</v>
      </c>
      <c r="X11" s="22">
        <v>22</v>
      </c>
      <c r="Y11" s="22" t="s">
        <v>43</v>
      </c>
      <c r="Z11" s="22"/>
      <c r="AA11" s="22"/>
      <c r="AB11" s="22" t="s">
        <v>43</v>
      </c>
      <c r="AC11" s="25"/>
      <c r="AD11" s="22"/>
      <c r="AE11" s="16">
        <v>3</v>
      </c>
    </row>
    <row r="12" spans="1:31" s="24" customFormat="1" ht="20.100000000000001" customHeight="1" x14ac:dyDescent="0.25">
      <c r="A12" s="14" t="s">
        <v>58</v>
      </c>
      <c r="B12" s="15" t="s">
        <v>40</v>
      </c>
      <c r="C12" s="16">
        <v>3</v>
      </c>
      <c r="D12" s="17" t="s">
        <v>680</v>
      </c>
      <c r="E12" s="18" t="s">
        <v>2341</v>
      </c>
      <c r="F12" s="17" t="s">
        <v>411</v>
      </c>
      <c r="G12" s="89" t="s">
        <v>2357</v>
      </c>
      <c r="H12" s="19" t="s">
        <v>59</v>
      </c>
      <c r="I12" s="20" t="s">
        <v>411</v>
      </c>
      <c r="J12" s="21">
        <v>44378</v>
      </c>
      <c r="K12" s="22" t="s">
        <v>42</v>
      </c>
      <c r="L12" s="23">
        <v>100</v>
      </c>
      <c r="M12" s="22">
        <v>2020</v>
      </c>
      <c r="N12" s="22">
        <v>200</v>
      </c>
      <c r="O12" s="22">
        <v>200</v>
      </c>
      <c r="P12" s="26">
        <v>60</v>
      </c>
      <c r="Q12" s="26">
        <v>90</v>
      </c>
      <c r="R12" s="26">
        <v>120</v>
      </c>
      <c r="S12" s="26">
        <v>150</v>
      </c>
      <c r="T12" s="26">
        <v>180</v>
      </c>
      <c r="U12" s="26">
        <v>200</v>
      </c>
      <c r="V12" s="26">
        <v>200</v>
      </c>
      <c r="W12" s="22">
        <v>95</v>
      </c>
      <c r="X12" s="22">
        <v>125</v>
      </c>
      <c r="Y12" s="22" t="s">
        <v>43</v>
      </c>
      <c r="Z12" s="22"/>
      <c r="AA12" s="22"/>
      <c r="AB12" s="22" t="s">
        <v>43</v>
      </c>
      <c r="AC12" s="25"/>
      <c r="AD12" s="22"/>
      <c r="AE12" s="16">
        <v>3</v>
      </c>
    </row>
    <row r="13" spans="1:31" s="24" customFormat="1" ht="20.100000000000001" customHeight="1" x14ac:dyDescent="0.25">
      <c r="A13" s="14" t="s">
        <v>60</v>
      </c>
      <c r="B13" s="15" t="s">
        <v>40</v>
      </c>
      <c r="C13" s="16">
        <v>3</v>
      </c>
      <c r="D13" s="17" t="s">
        <v>680</v>
      </c>
      <c r="E13" s="18" t="s">
        <v>2341</v>
      </c>
      <c r="F13" s="17" t="s">
        <v>411</v>
      </c>
      <c r="G13" s="89" t="s">
        <v>2358</v>
      </c>
      <c r="H13" s="19" t="s">
        <v>61</v>
      </c>
      <c r="I13" s="20" t="s">
        <v>411</v>
      </c>
      <c r="J13" s="21">
        <v>44378</v>
      </c>
      <c r="K13" s="22" t="s">
        <v>42</v>
      </c>
      <c r="L13" s="23">
        <v>0</v>
      </c>
      <c r="M13" s="22">
        <v>2020</v>
      </c>
      <c r="N13" s="22">
        <v>14</v>
      </c>
      <c r="O13" s="22">
        <v>14</v>
      </c>
      <c r="P13" s="22">
        <v>2</v>
      </c>
      <c r="Q13" s="26">
        <v>4</v>
      </c>
      <c r="R13" s="26">
        <v>5</v>
      </c>
      <c r="S13" s="26">
        <v>8</v>
      </c>
      <c r="T13" s="26">
        <v>9</v>
      </c>
      <c r="U13" s="26">
        <v>14</v>
      </c>
      <c r="V13" s="26">
        <v>14</v>
      </c>
      <c r="W13" s="22">
        <v>1</v>
      </c>
      <c r="X13" s="22">
        <v>3</v>
      </c>
      <c r="Y13" s="22" t="s">
        <v>43</v>
      </c>
      <c r="Z13" s="22"/>
      <c r="AA13" s="22"/>
      <c r="AB13" s="22" t="s">
        <v>43</v>
      </c>
      <c r="AC13" s="25"/>
      <c r="AD13" s="22"/>
      <c r="AE13" s="16">
        <v>3</v>
      </c>
    </row>
    <row r="14" spans="1:31" s="24" customFormat="1" ht="20.100000000000001" customHeight="1" x14ac:dyDescent="0.25">
      <c r="A14" s="14" t="s">
        <v>62</v>
      </c>
      <c r="B14" s="15" t="s">
        <v>40</v>
      </c>
      <c r="C14" s="16">
        <v>4</v>
      </c>
      <c r="D14" s="17" t="s">
        <v>420</v>
      </c>
      <c r="E14" s="18" t="s">
        <v>2288</v>
      </c>
      <c r="F14" s="17" t="s">
        <v>411</v>
      </c>
      <c r="G14" s="89" t="s">
        <v>2359</v>
      </c>
      <c r="H14" s="19" t="s">
        <v>63</v>
      </c>
      <c r="I14" s="20" t="s">
        <v>411</v>
      </c>
      <c r="J14" s="21">
        <v>44409</v>
      </c>
      <c r="K14" s="22" t="s">
        <v>42</v>
      </c>
      <c r="L14" s="23">
        <v>1</v>
      </c>
      <c r="M14" s="22">
        <v>2020</v>
      </c>
      <c r="N14" s="22">
        <v>7</v>
      </c>
      <c r="O14" s="22">
        <v>7</v>
      </c>
      <c r="P14" s="22">
        <v>2</v>
      </c>
      <c r="Q14" s="22">
        <v>3</v>
      </c>
      <c r="R14" s="22">
        <v>4</v>
      </c>
      <c r="S14" s="22">
        <v>5</v>
      </c>
      <c r="T14" s="22">
        <v>6</v>
      </c>
      <c r="U14" s="22">
        <v>7</v>
      </c>
      <c r="V14" s="22">
        <v>7</v>
      </c>
      <c r="W14" s="22">
        <v>2</v>
      </c>
      <c r="X14" s="22">
        <v>8</v>
      </c>
      <c r="Y14" s="22" t="s">
        <v>43</v>
      </c>
      <c r="Z14" s="22"/>
      <c r="AA14" s="22"/>
      <c r="AB14" s="22" t="s">
        <v>43</v>
      </c>
      <c r="AC14" s="25"/>
      <c r="AD14" s="22"/>
      <c r="AE14" s="16">
        <v>3</v>
      </c>
    </row>
    <row r="15" spans="1:31" s="24" customFormat="1" ht="20.100000000000001" customHeight="1" x14ac:dyDescent="0.25">
      <c r="A15" s="16" t="s">
        <v>64</v>
      </c>
      <c r="B15" s="15" t="s">
        <v>40</v>
      </c>
      <c r="C15" s="16">
        <v>4</v>
      </c>
      <c r="D15" s="17" t="s">
        <v>420</v>
      </c>
      <c r="E15" s="18" t="s">
        <v>2288</v>
      </c>
      <c r="F15" s="17" t="s">
        <v>411</v>
      </c>
      <c r="G15" s="89" t="s">
        <v>2360</v>
      </c>
      <c r="H15" s="27" t="s">
        <v>65</v>
      </c>
      <c r="I15" s="20" t="s">
        <v>411</v>
      </c>
      <c r="J15" s="21">
        <v>44409</v>
      </c>
      <c r="K15" s="22" t="s">
        <v>42</v>
      </c>
      <c r="L15" s="23">
        <v>0</v>
      </c>
      <c r="M15" s="22">
        <v>2020</v>
      </c>
      <c r="N15" s="22">
        <v>4</v>
      </c>
      <c r="O15" s="22">
        <v>4</v>
      </c>
      <c r="P15" s="26">
        <v>1</v>
      </c>
      <c r="Q15" s="26">
        <v>1</v>
      </c>
      <c r="R15" s="26">
        <v>2</v>
      </c>
      <c r="S15" s="26">
        <v>3</v>
      </c>
      <c r="T15" s="26">
        <v>4</v>
      </c>
      <c r="U15" s="26">
        <v>4</v>
      </c>
      <c r="V15" s="26">
        <v>4</v>
      </c>
      <c r="W15" s="22">
        <v>1</v>
      </c>
      <c r="X15" s="22">
        <v>2</v>
      </c>
      <c r="Y15" s="22" t="s">
        <v>43</v>
      </c>
      <c r="Z15" s="22"/>
      <c r="AA15" s="22"/>
      <c r="AB15" s="22" t="s">
        <v>43</v>
      </c>
      <c r="AC15" s="25"/>
      <c r="AD15" s="22"/>
      <c r="AE15" s="16">
        <v>3</v>
      </c>
    </row>
    <row r="16" spans="1:31" s="24" customFormat="1" ht="20.100000000000001" customHeight="1" x14ac:dyDescent="0.25">
      <c r="A16" s="16" t="s">
        <v>66</v>
      </c>
      <c r="B16" s="15" t="s">
        <v>40</v>
      </c>
      <c r="C16" s="16">
        <v>4</v>
      </c>
      <c r="D16" s="17" t="s">
        <v>420</v>
      </c>
      <c r="E16" s="18" t="s">
        <v>2288</v>
      </c>
      <c r="F16" s="17" t="s">
        <v>411</v>
      </c>
      <c r="G16" s="89" t="s">
        <v>2361</v>
      </c>
      <c r="H16" s="27" t="s">
        <v>67</v>
      </c>
      <c r="I16" s="20" t="s">
        <v>411</v>
      </c>
      <c r="J16" s="21">
        <v>44409</v>
      </c>
      <c r="K16" s="22" t="s">
        <v>42</v>
      </c>
      <c r="L16" s="23">
        <v>0</v>
      </c>
      <c r="M16" s="22">
        <v>2020</v>
      </c>
      <c r="N16" s="22">
        <v>1</v>
      </c>
      <c r="O16" s="22">
        <v>1</v>
      </c>
      <c r="P16" s="26">
        <v>0</v>
      </c>
      <c r="Q16" s="26">
        <v>0</v>
      </c>
      <c r="R16" s="26">
        <v>0</v>
      </c>
      <c r="S16" s="26">
        <v>0</v>
      </c>
      <c r="T16" s="26">
        <v>0</v>
      </c>
      <c r="U16" s="26">
        <v>1</v>
      </c>
      <c r="V16" s="26">
        <v>1</v>
      </c>
      <c r="W16" s="22">
        <v>0</v>
      </c>
      <c r="X16" s="22">
        <v>0</v>
      </c>
      <c r="Y16" s="22" t="s">
        <v>43</v>
      </c>
      <c r="Z16" s="22"/>
      <c r="AA16" s="22"/>
      <c r="AB16" s="22" t="s">
        <v>43</v>
      </c>
      <c r="AC16" s="25"/>
      <c r="AD16" s="22"/>
      <c r="AE16" s="16">
        <v>1</v>
      </c>
    </row>
    <row r="17" spans="1:31" s="24" customFormat="1" ht="20.100000000000001" customHeight="1" x14ac:dyDescent="0.25">
      <c r="A17" s="16" t="s">
        <v>68</v>
      </c>
      <c r="B17" s="15" t="s">
        <v>40</v>
      </c>
      <c r="C17" s="16">
        <v>5</v>
      </c>
      <c r="D17" s="17" t="s">
        <v>425</v>
      </c>
      <c r="E17" s="18" t="s">
        <v>2289</v>
      </c>
      <c r="F17" s="17" t="s">
        <v>411</v>
      </c>
      <c r="G17" s="89" t="s">
        <v>2362</v>
      </c>
      <c r="H17" s="27" t="s">
        <v>69</v>
      </c>
      <c r="I17" s="20" t="s">
        <v>411</v>
      </c>
      <c r="J17" s="21">
        <v>44287</v>
      </c>
      <c r="K17" s="22" t="s">
        <v>42</v>
      </c>
      <c r="L17" s="23">
        <v>500</v>
      </c>
      <c r="M17" s="22">
        <v>2020</v>
      </c>
      <c r="N17" s="22">
        <v>1050</v>
      </c>
      <c r="O17" s="22">
        <v>1050</v>
      </c>
      <c r="P17" s="26">
        <v>600</v>
      </c>
      <c r="Q17" s="26">
        <v>400</v>
      </c>
      <c r="R17" s="26">
        <v>800</v>
      </c>
      <c r="S17" s="26">
        <v>500</v>
      </c>
      <c r="T17" s="26">
        <v>1000</v>
      </c>
      <c r="U17" s="26">
        <v>1050</v>
      </c>
      <c r="V17" s="26">
        <v>1050</v>
      </c>
      <c r="W17" s="22">
        <v>600</v>
      </c>
      <c r="X17" s="22">
        <v>400</v>
      </c>
      <c r="Y17" s="22" t="s">
        <v>43</v>
      </c>
      <c r="Z17" s="22"/>
      <c r="AA17" s="22"/>
      <c r="AB17" s="22" t="s">
        <v>43</v>
      </c>
      <c r="AC17" s="25"/>
      <c r="AD17" s="22"/>
      <c r="AE17" s="16">
        <v>2</v>
      </c>
    </row>
    <row r="18" spans="1:31" s="24" customFormat="1" ht="20.100000000000001" customHeight="1" x14ac:dyDescent="0.25">
      <c r="A18" s="16" t="s">
        <v>70</v>
      </c>
      <c r="B18" s="15" t="s">
        <v>40</v>
      </c>
      <c r="C18" s="16">
        <v>5</v>
      </c>
      <c r="D18" s="17" t="s">
        <v>425</v>
      </c>
      <c r="E18" s="18" t="s">
        <v>2289</v>
      </c>
      <c r="F18" s="17" t="s">
        <v>411</v>
      </c>
      <c r="G18" s="89" t="s">
        <v>71</v>
      </c>
      <c r="H18" s="27" t="s">
        <v>71</v>
      </c>
      <c r="I18" s="20" t="s">
        <v>411</v>
      </c>
      <c r="J18" s="21">
        <v>44287</v>
      </c>
      <c r="K18" s="22" t="s">
        <v>42</v>
      </c>
      <c r="L18" s="23">
        <v>40</v>
      </c>
      <c r="M18" s="22">
        <v>2020</v>
      </c>
      <c r="N18" s="22">
        <v>60</v>
      </c>
      <c r="O18" s="22">
        <v>60</v>
      </c>
      <c r="P18" s="26">
        <v>45</v>
      </c>
      <c r="Q18" s="26">
        <v>25</v>
      </c>
      <c r="R18" s="26">
        <v>50</v>
      </c>
      <c r="S18" s="26">
        <v>25</v>
      </c>
      <c r="T18" s="26">
        <v>55</v>
      </c>
      <c r="U18" s="26">
        <v>60</v>
      </c>
      <c r="V18" s="26">
        <v>60</v>
      </c>
      <c r="W18" s="22">
        <v>45</v>
      </c>
      <c r="X18" s="22">
        <v>25</v>
      </c>
      <c r="Y18" s="22" t="s">
        <v>43</v>
      </c>
      <c r="Z18" s="22"/>
      <c r="AA18" s="22"/>
      <c r="AB18" s="22" t="s">
        <v>43</v>
      </c>
      <c r="AC18" s="25"/>
      <c r="AD18" s="22"/>
      <c r="AE18" s="16">
        <v>2</v>
      </c>
    </row>
    <row r="19" spans="1:31" s="24" customFormat="1" ht="20.100000000000001" customHeight="1" x14ac:dyDescent="0.25">
      <c r="A19" s="16" t="s">
        <v>72</v>
      </c>
      <c r="B19" s="15" t="s">
        <v>40</v>
      </c>
      <c r="C19" s="16">
        <v>6</v>
      </c>
      <c r="D19" s="17" t="s">
        <v>430</v>
      </c>
      <c r="E19" s="18" t="s">
        <v>2290</v>
      </c>
      <c r="F19" s="17" t="s">
        <v>411</v>
      </c>
      <c r="G19" s="89" t="s">
        <v>73</v>
      </c>
      <c r="H19" s="27" t="s">
        <v>73</v>
      </c>
      <c r="I19" s="20" t="s">
        <v>411</v>
      </c>
      <c r="J19" s="21">
        <v>44287</v>
      </c>
      <c r="K19" s="22" t="s">
        <v>42</v>
      </c>
      <c r="L19" s="23">
        <v>18</v>
      </c>
      <c r="M19" s="22">
        <v>2020</v>
      </c>
      <c r="N19" s="22">
        <v>22</v>
      </c>
      <c r="O19" s="22">
        <v>22</v>
      </c>
      <c r="P19" s="26">
        <v>0</v>
      </c>
      <c r="Q19" s="26">
        <v>5</v>
      </c>
      <c r="R19" s="26">
        <v>10</v>
      </c>
      <c r="S19" s="26">
        <v>15</v>
      </c>
      <c r="T19" s="26">
        <v>20</v>
      </c>
      <c r="U19" s="26">
        <v>22</v>
      </c>
      <c r="V19" s="26">
        <v>22</v>
      </c>
      <c r="W19" s="22">
        <v>0</v>
      </c>
      <c r="X19" s="22">
        <v>5</v>
      </c>
      <c r="Y19" s="22" t="s">
        <v>43</v>
      </c>
      <c r="Z19" s="22"/>
      <c r="AA19" s="22"/>
      <c r="AB19" s="22" t="s">
        <v>43</v>
      </c>
      <c r="AC19" s="25"/>
      <c r="AD19" s="22"/>
      <c r="AE19" s="16">
        <v>3</v>
      </c>
    </row>
    <row r="20" spans="1:31" s="24" customFormat="1" ht="20.100000000000001" customHeight="1" x14ac:dyDescent="0.25">
      <c r="A20" s="16" t="s">
        <v>74</v>
      </c>
      <c r="B20" s="15" t="s">
        <v>40</v>
      </c>
      <c r="C20" s="16">
        <v>6</v>
      </c>
      <c r="D20" s="17" t="s">
        <v>430</v>
      </c>
      <c r="E20" s="18" t="s">
        <v>2290</v>
      </c>
      <c r="F20" s="17" t="s">
        <v>411</v>
      </c>
      <c r="G20" s="89" t="s">
        <v>2363</v>
      </c>
      <c r="H20" s="27" t="s">
        <v>75</v>
      </c>
      <c r="I20" s="20" t="s">
        <v>411</v>
      </c>
      <c r="J20" s="21">
        <v>44287</v>
      </c>
      <c r="K20" s="22" t="s">
        <v>42</v>
      </c>
      <c r="L20" s="23">
        <v>25</v>
      </c>
      <c r="M20" s="22">
        <v>2020</v>
      </c>
      <c r="N20" s="22">
        <v>34</v>
      </c>
      <c r="O20" s="22">
        <v>34</v>
      </c>
      <c r="P20" s="26">
        <v>2</v>
      </c>
      <c r="Q20" s="26">
        <v>9</v>
      </c>
      <c r="R20" s="26">
        <v>17</v>
      </c>
      <c r="S20" s="26">
        <v>24</v>
      </c>
      <c r="T20" s="26">
        <v>32</v>
      </c>
      <c r="U20" s="26">
        <v>34</v>
      </c>
      <c r="V20" s="26">
        <v>34</v>
      </c>
      <c r="W20" s="22">
        <v>1</v>
      </c>
      <c r="X20" s="22">
        <v>8</v>
      </c>
      <c r="Y20" s="22" t="s">
        <v>43</v>
      </c>
      <c r="Z20" s="22"/>
      <c r="AA20" s="22"/>
      <c r="AB20" s="22" t="s">
        <v>43</v>
      </c>
      <c r="AC20" s="25"/>
      <c r="AD20" s="22"/>
      <c r="AE20" s="16">
        <v>3</v>
      </c>
    </row>
    <row r="21" spans="1:31" s="24" customFormat="1" ht="20.100000000000001" customHeight="1" x14ac:dyDescent="0.25">
      <c r="A21" s="16" t="s">
        <v>76</v>
      </c>
      <c r="B21" s="15" t="s">
        <v>40</v>
      </c>
      <c r="C21" s="16">
        <v>6</v>
      </c>
      <c r="D21" s="17" t="s">
        <v>430</v>
      </c>
      <c r="E21" s="18" t="s">
        <v>2290</v>
      </c>
      <c r="F21" s="17" t="s">
        <v>411</v>
      </c>
      <c r="G21" s="89" t="s">
        <v>2364</v>
      </c>
      <c r="H21" s="27" t="s">
        <v>77</v>
      </c>
      <c r="I21" s="20" t="s">
        <v>411</v>
      </c>
      <c r="J21" s="21">
        <v>44287</v>
      </c>
      <c r="K21" s="22" t="s">
        <v>42</v>
      </c>
      <c r="L21" s="23">
        <v>10</v>
      </c>
      <c r="M21" s="22">
        <v>2020</v>
      </c>
      <c r="N21" s="22">
        <v>10</v>
      </c>
      <c r="O21" s="22">
        <v>10</v>
      </c>
      <c r="P21" s="26">
        <v>2</v>
      </c>
      <c r="Q21" s="26">
        <v>3</v>
      </c>
      <c r="R21" s="26">
        <v>5</v>
      </c>
      <c r="S21" s="26">
        <v>7</v>
      </c>
      <c r="T21" s="26">
        <v>9</v>
      </c>
      <c r="U21" s="26">
        <v>10</v>
      </c>
      <c r="V21" s="26">
        <v>10</v>
      </c>
      <c r="W21" s="22">
        <v>2</v>
      </c>
      <c r="X21" s="22">
        <v>3</v>
      </c>
      <c r="Y21" s="22" t="s">
        <v>43</v>
      </c>
      <c r="Z21" s="22"/>
      <c r="AA21" s="22"/>
      <c r="AB21" s="22" t="s">
        <v>43</v>
      </c>
      <c r="AC21" s="25"/>
      <c r="AD21" s="22"/>
      <c r="AE21" s="16">
        <v>3</v>
      </c>
    </row>
    <row r="22" spans="1:31" s="24" customFormat="1" ht="20.100000000000001" customHeight="1" x14ac:dyDescent="0.25">
      <c r="A22" s="14" t="s">
        <v>78</v>
      </c>
      <c r="B22" s="15" t="s">
        <v>40</v>
      </c>
      <c r="C22" s="16">
        <v>6</v>
      </c>
      <c r="D22" s="17" t="s">
        <v>430</v>
      </c>
      <c r="E22" s="18" t="s">
        <v>2290</v>
      </c>
      <c r="F22" s="17" t="s">
        <v>411</v>
      </c>
      <c r="G22" s="89" t="s">
        <v>2365</v>
      </c>
      <c r="H22" s="19" t="s">
        <v>79</v>
      </c>
      <c r="I22" s="20" t="s">
        <v>411</v>
      </c>
      <c r="J22" s="21">
        <v>44287</v>
      </c>
      <c r="K22" s="22" t="s">
        <v>42</v>
      </c>
      <c r="L22" s="23">
        <v>50</v>
      </c>
      <c r="M22" s="22">
        <v>2020</v>
      </c>
      <c r="N22" s="22">
        <v>190</v>
      </c>
      <c r="O22" s="22">
        <v>190</v>
      </c>
      <c r="P22" s="22">
        <v>55</v>
      </c>
      <c r="Q22" s="22">
        <v>80</v>
      </c>
      <c r="R22" s="22">
        <v>115</v>
      </c>
      <c r="S22" s="22">
        <v>145</v>
      </c>
      <c r="T22" s="22">
        <v>180</v>
      </c>
      <c r="U22" s="22">
        <v>190</v>
      </c>
      <c r="V22" s="22">
        <v>190</v>
      </c>
      <c r="W22" s="22">
        <v>55</v>
      </c>
      <c r="X22" s="22">
        <v>83</v>
      </c>
      <c r="Y22" s="22" t="s">
        <v>43</v>
      </c>
      <c r="Z22" s="22"/>
      <c r="AA22" s="22"/>
      <c r="AB22" s="22" t="s">
        <v>43</v>
      </c>
      <c r="AC22" s="25"/>
      <c r="AD22" s="22"/>
      <c r="AE22" s="16">
        <v>3</v>
      </c>
    </row>
    <row r="23" spans="1:31" s="24" customFormat="1" ht="20.100000000000001" customHeight="1" x14ac:dyDescent="0.25">
      <c r="A23" s="14" t="s">
        <v>80</v>
      </c>
      <c r="B23" s="15" t="s">
        <v>40</v>
      </c>
      <c r="C23" s="16">
        <v>7</v>
      </c>
      <c r="D23" s="17" t="s">
        <v>434</v>
      </c>
      <c r="E23" s="18" t="s">
        <v>2291</v>
      </c>
      <c r="F23" s="17" t="s">
        <v>411</v>
      </c>
      <c r="G23" s="89" t="s">
        <v>2366</v>
      </c>
      <c r="H23" s="19" t="s">
        <v>81</v>
      </c>
      <c r="I23" s="20" t="s">
        <v>411</v>
      </c>
      <c r="J23" s="21">
        <v>44378</v>
      </c>
      <c r="K23" s="22" t="s">
        <v>42</v>
      </c>
      <c r="L23" s="23">
        <v>0</v>
      </c>
      <c r="M23" s="22">
        <v>2020</v>
      </c>
      <c r="N23" s="22">
        <v>100</v>
      </c>
      <c r="O23" s="22">
        <v>1</v>
      </c>
      <c r="P23" s="26">
        <v>60</v>
      </c>
      <c r="Q23" s="26">
        <v>90</v>
      </c>
      <c r="R23" s="26">
        <v>100</v>
      </c>
      <c r="S23" s="26">
        <v>100</v>
      </c>
      <c r="T23" s="26">
        <v>100</v>
      </c>
      <c r="U23" s="26">
        <v>100</v>
      </c>
      <c r="V23" s="26">
        <v>100</v>
      </c>
      <c r="W23" s="22">
        <v>60</v>
      </c>
      <c r="X23" s="22">
        <v>90</v>
      </c>
      <c r="Y23" s="22" t="s">
        <v>43</v>
      </c>
      <c r="Z23" s="22"/>
      <c r="AA23" s="22"/>
      <c r="AB23" s="22" t="s">
        <v>43</v>
      </c>
      <c r="AC23" s="25"/>
      <c r="AD23" s="22"/>
      <c r="AE23" s="16">
        <v>3</v>
      </c>
    </row>
    <row r="24" spans="1:31" s="24" customFormat="1" ht="20.100000000000001" customHeight="1" x14ac:dyDescent="0.25">
      <c r="A24" s="16" t="s">
        <v>82</v>
      </c>
      <c r="B24" s="15" t="s">
        <v>40</v>
      </c>
      <c r="C24" s="16">
        <v>7</v>
      </c>
      <c r="D24" s="17" t="s">
        <v>434</v>
      </c>
      <c r="E24" s="18" t="s">
        <v>2291</v>
      </c>
      <c r="F24" s="17" t="s">
        <v>411</v>
      </c>
      <c r="G24" s="89" t="s">
        <v>2367</v>
      </c>
      <c r="H24" s="27" t="s">
        <v>83</v>
      </c>
      <c r="I24" s="20" t="s">
        <v>411</v>
      </c>
      <c r="J24" s="21">
        <v>44378</v>
      </c>
      <c r="K24" s="22" t="s">
        <v>42</v>
      </c>
      <c r="L24" s="23">
        <v>0</v>
      </c>
      <c r="M24" s="22">
        <v>2020</v>
      </c>
      <c r="N24" s="22">
        <v>25</v>
      </c>
      <c r="O24" s="22">
        <v>25</v>
      </c>
      <c r="P24" s="26">
        <v>0</v>
      </c>
      <c r="Q24" s="26">
        <v>10</v>
      </c>
      <c r="R24" s="26">
        <v>15</v>
      </c>
      <c r="S24" s="26">
        <v>20</v>
      </c>
      <c r="T24" s="26">
        <v>25</v>
      </c>
      <c r="U24" s="26">
        <v>25</v>
      </c>
      <c r="V24" s="26">
        <v>25</v>
      </c>
      <c r="W24" s="22">
        <v>0</v>
      </c>
      <c r="X24" s="22">
        <v>10</v>
      </c>
      <c r="Y24" s="22" t="s">
        <v>43</v>
      </c>
      <c r="Z24" s="22"/>
      <c r="AA24" s="22"/>
      <c r="AB24" s="22" t="s">
        <v>43</v>
      </c>
      <c r="AC24" s="25"/>
      <c r="AD24" s="22"/>
      <c r="AE24" s="16">
        <v>3</v>
      </c>
    </row>
    <row r="25" spans="1:31" s="24" customFormat="1" ht="20.100000000000001" customHeight="1" x14ac:dyDescent="0.25">
      <c r="A25" s="14" t="s">
        <v>84</v>
      </c>
      <c r="B25" s="15" t="s">
        <v>40</v>
      </c>
      <c r="C25" s="16">
        <v>8</v>
      </c>
      <c r="D25" s="17" t="s">
        <v>439</v>
      </c>
      <c r="E25" s="18" t="s">
        <v>2292</v>
      </c>
      <c r="F25" s="17" t="s">
        <v>441</v>
      </c>
      <c r="G25" s="89" t="s">
        <v>2368</v>
      </c>
      <c r="H25" s="19" t="s">
        <v>85</v>
      </c>
      <c r="I25" s="20" t="s">
        <v>441</v>
      </c>
      <c r="J25" s="21">
        <v>44409</v>
      </c>
      <c r="K25" s="22" t="s">
        <v>42</v>
      </c>
      <c r="L25" s="23">
        <v>0</v>
      </c>
      <c r="M25" s="22">
        <v>2021</v>
      </c>
      <c r="N25" s="22">
        <v>100</v>
      </c>
      <c r="O25" s="22">
        <v>1</v>
      </c>
      <c r="P25" s="26">
        <v>30</v>
      </c>
      <c r="Q25" s="26">
        <v>65</v>
      </c>
      <c r="R25" s="26">
        <v>100</v>
      </c>
      <c r="S25" s="26">
        <v>100</v>
      </c>
      <c r="T25" s="26">
        <v>100</v>
      </c>
      <c r="U25" s="26">
        <v>100</v>
      </c>
      <c r="V25" s="26">
        <v>100</v>
      </c>
      <c r="W25" s="22">
        <v>48</v>
      </c>
      <c r="X25" s="22">
        <v>83</v>
      </c>
      <c r="Y25" s="22" t="s">
        <v>43</v>
      </c>
      <c r="Z25" s="22"/>
      <c r="AA25" s="22"/>
      <c r="AB25" s="22" t="s">
        <v>43</v>
      </c>
      <c r="AC25" s="25"/>
      <c r="AD25" s="22"/>
      <c r="AE25" s="16">
        <v>3</v>
      </c>
    </row>
    <row r="26" spans="1:31" s="24" customFormat="1" ht="20.100000000000001" customHeight="1" x14ac:dyDescent="0.25">
      <c r="A26" s="14" t="s">
        <v>86</v>
      </c>
      <c r="B26" s="15" t="s">
        <v>40</v>
      </c>
      <c r="C26" s="16">
        <v>8</v>
      </c>
      <c r="D26" s="17" t="s">
        <v>439</v>
      </c>
      <c r="E26" s="18" t="s">
        <v>2292</v>
      </c>
      <c r="F26" s="17" t="s">
        <v>441</v>
      </c>
      <c r="G26" s="89" t="s">
        <v>2369</v>
      </c>
      <c r="H26" s="19" t="s">
        <v>87</v>
      </c>
      <c r="I26" s="20" t="s">
        <v>441</v>
      </c>
      <c r="J26" s="21">
        <v>44409</v>
      </c>
      <c r="K26" s="22" t="s">
        <v>42</v>
      </c>
      <c r="L26" s="23">
        <v>0</v>
      </c>
      <c r="M26" s="22">
        <v>2021</v>
      </c>
      <c r="N26" s="22">
        <v>100</v>
      </c>
      <c r="O26" s="22">
        <v>1</v>
      </c>
      <c r="P26" s="22">
        <v>100</v>
      </c>
      <c r="Q26" s="22">
        <v>100</v>
      </c>
      <c r="R26" s="22">
        <v>100</v>
      </c>
      <c r="S26" s="22">
        <v>100</v>
      </c>
      <c r="T26" s="22">
        <v>100</v>
      </c>
      <c r="U26" s="22">
        <v>100</v>
      </c>
      <c r="V26" s="22">
        <v>100</v>
      </c>
      <c r="W26" s="22">
        <v>1</v>
      </c>
      <c r="X26" s="22">
        <v>0</v>
      </c>
      <c r="Y26" s="22" t="s">
        <v>43</v>
      </c>
      <c r="Z26" s="22"/>
      <c r="AA26" s="22"/>
      <c r="AB26" s="22" t="s">
        <v>43</v>
      </c>
      <c r="AC26" s="25"/>
      <c r="AD26" s="22"/>
      <c r="AE26" s="16">
        <v>2</v>
      </c>
    </row>
    <row r="27" spans="1:31" s="24" customFormat="1" ht="20.100000000000001" customHeight="1" x14ac:dyDescent="0.25">
      <c r="A27" s="14" t="s">
        <v>88</v>
      </c>
      <c r="B27" s="15" t="s">
        <v>40</v>
      </c>
      <c r="C27" s="16">
        <v>8</v>
      </c>
      <c r="D27" s="17" t="s">
        <v>439</v>
      </c>
      <c r="E27" s="18" t="s">
        <v>2292</v>
      </c>
      <c r="F27" s="17" t="s">
        <v>441</v>
      </c>
      <c r="G27" s="89" t="s">
        <v>2370</v>
      </c>
      <c r="H27" s="19" t="s">
        <v>89</v>
      </c>
      <c r="I27" s="20" t="s">
        <v>441</v>
      </c>
      <c r="J27" s="21">
        <v>44409</v>
      </c>
      <c r="K27" s="22" t="s">
        <v>42</v>
      </c>
      <c r="L27" s="23">
        <v>0</v>
      </c>
      <c r="M27" s="22">
        <v>2021</v>
      </c>
      <c r="N27" s="22">
        <v>100</v>
      </c>
      <c r="O27" s="22">
        <v>1</v>
      </c>
      <c r="P27" s="26">
        <v>0</v>
      </c>
      <c r="Q27" s="26">
        <v>70</v>
      </c>
      <c r="R27" s="26">
        <v>100</v>
      </c>
      <c r="S27" s="26">
        <v>100</v>
      </c>
      <c r="T27" s="26">
        <v>100</v>
      </c>
      <c r="U27" s="26">
        <v>100</v>
      </c>
      <c r="V27" s="26">
        <v>100</v>
      </c>
      <c r="W27" s="22">
        <v>0</v>
      </c>
      <c r="X27" s="22">
        <v>0</v>
      </c>
      <c r="Y27" s="22" t="s">
        <v>43</v>
      </c>
      <c r="Z27" s="22"/>
      <c r="AA27" s="22"/>
      <c r="AB27" s="22" t="s">
        <v>43</v>
      </c>
      <c r="AC27" s="25"/>
      <c r="AD27" s="22"/>
      <c r="AE27" s="16">
        <v>3</v>
      </c>
    </row>
    <row r="28" spans="1:31" s="24" customFormat="1" ht="20.100000000000001" customHeight="1" x14ac:dyDescent="0.25">
      <c r="A28" s="16" t="s">
        <v>90</v>
      </c>
      <c r="B28" s="15" t="s">
        <v>40</v>
      </c>
      <c r="C28" s="16">
        <v>9</v>
      </c>
      <c r="D28" s="17" t="s">
        <v>712</v>
      </c>
      <c r="E28" s="18" t="s">
        <v>2348</v>
      </c>
      <c r="F28" s="17" t="s">
        <v>480</v>
      </c>
      <c r="G28" s="89" t="s">
        <v>2371</v>
      </c>
      <c r="H28" s="27" t="s">
        <v>91</v>
      </c>
      <c r="I28" s="20" t="s">
        <v>480</v>
      </c>
      <c r="J28" s="21">
        <v>44440</v>
      </c>
      <c r="K28" s="22" t="s">
        <v>42</v>
      </c>
      <c r="L28" s="23">
        <v>0</v>
      </c>
      <c r="M28" s="22">
        <v>2021</v>
      </c>
      <c r="N28" s="22">
        <v>3</v>
      </c>
      <c r="O28" s="22">
        <v>3</v>
      </c>
      <c r="P28" s="26">
        <v>0</v>
      </c>
      <c r="Q28" s="26">
        <v>0</v>
      </c>
      <c r="R28" s="26">
        <v>1</v>
      </c>
      <c r="S28" s="26">
        <v>1</v>
      </c>
      <c r="T28" s="26">
        <v>2</v>
      </c>
      <c r="U28" s="26">
        <v>3</v>
      </c>
      <c r="V28" s="26">
        <v>3</v>
      </c>
      <c r="W28" s="22">
        <v>0</v>
      </c>
      <c r="X28" s="22">
        <v>0</v>
      </c>
      <c r="Y28" s="22" t="s">
        <v>43</v>
      </c>
      <c r="Z28" s="22"/>
      <c r="AA28" s="22"/>
      <c r="AB28" s="22" t="s">
        <v>43</v>
      </c>
      <c r="AC28" s="25"/>
      <c r="AD28" s="22"/>
      <c r="AE28" s="16">
        <v>1</v>
      </c>
    </row>
    <row r="29" spans="1:31" s="24" customFormat="1" ht="20.100000000000001" customHeight="1" x14ac:dyDescent="0.25">
      <c r="A29" s="16" t="s">
        <v>92</v>
      </c>
      <c r="B29" s="15" t="s">
        <v>40</v>
      </c>
      <c r="C29" s="16">
        <v>9</v>
      </c>
      <c r="D29" s="17" t="s">
        <v>712</v>
      </c>
      <c r="E29" s="18" t="s">
        <v>2348</v>
      </c>
      <c r="F29" s="17" t="s">
        <v>480</v>
      </c>
      <c r="G29" s="89" t="s">
        <v>2372</v>
      </c>
      <c r="H29" s="27" t="s">
        <v>93</v>
      </c>
      <c r="I29" s="20" t="s">
        <v>480</v>
      </c>
      <c r="J29" s="21">
        <v>44440</v>
      </c>
      <c r="K29" s="22" t="s">
        <v>42</v>
      </c>
      <c r="L29" s="23">
        <v>0</v>
      </c>
      <c r="M29" s="22">
        <v>2021</v>
      </c>
      <c r="N29" s="22">
        <v>60</v>
      </c>
      <c r="O29" s="22">
        <v>60</v>
      </c>
      <c r="P29" s="22">
        <v>0</v>
      </c>
      <c r="Q29" s="26">
        <v>8</v>
      </c>
      <c r="R29" s="26">
        <v>20</v>
      </c>
      <c r="S29" s="26">
        <v>36</v>
      </c>
      <c r="T29" s="26">
        <v>44</v>
      </c>
      <c r="U29" s="26">
        <v>60</v>
      </c>
      <c r="V29" s="26">
        <v>60</v>
      </c>
      <c r="W29" s="22">
        <v>0</v>
      </c>
      <c r="X29" s="22">
        <v>0</v>
      </c>
      <c r="Y29" s="22" t="s">
        <v>43</v>
      </c>
      <c r="Z29" s="22"/>
      <c r="AA29" s="22"/>
      <c r="AB29" s="22" t="s">
        <v>43</v>
      </c>
      <c r="AC29" s="25"/>
      <c r="AD29" s="22"/>
      <c r="AE29" s="16">
        <v>2</v>
      </c>
    </row>
    <row r="30" spans="1:31" s="24" customFormat="1" ht="20.100000000000001" customHeight="1" x14ac:dyDescent="0.25">
      <c r="A30" s="14" t="s">
        <v>94</v>
      </c>
      <c r="B30" s="15" t="s">
        <v>40</v>
      </c>
      <c r="C30" s="16">
        <v>9</v>
      </c>
      <c r="D30" s="17" t="s">
        <v>712</v>
      </c>
      <c r="E30" s="18" t="s">
        <v>2348</v>
      </c>
      <c r="F30" s="17" t="s">
        <v>480</v>
      </c>
      <c r="G30" s="89" t="s">
        <v>2373</v>
      </c>
      <c r="H30" s="19" t="s">
        <v>95</v>
      </c>
      <c r="I30" s="20" t="s">
        <v>480</v>
      </c>
      <c r="J30" s="21">
        <v>44440</v>
      </c>
      <c r="K30" s="22" t="s">
        <v>42</v>
      </c>
      <c r="L30" s="23">
        <v>0</v>
      </c>
      <c r="M30" s="22">
        <v>2021</v>
      </c>
      <c r="N30" s="22">
        <v>60</v>
      </c>
      <c r="O30" s="22">
        <v>60</v>
      </c>
      <c r="P30" s="22">
        <v>0</v>
      </c>
      <c r="Q30" s="22">
        <v>0</v>
      </c>
      <c r="R30" s="22">
        <v>12</v>
      </c>
      <c r="S30" s="22">
        <v>24</v>
      </c>
      <c r="T30" s="22">
        <v>42</v>
      </c>
      <c r="U30" s="22">
        <v>60</v>
      </c>
      <c r="V30" s="22">
        <v>60</v>
      </c>
      <c r="W30" s="22">
        <v>0</v>
      </c>
      <c r="X30" s="22">
        <v>0</v>
      </c>
      <c r="Y30" s="22" t="s">
        <v>43</v>
      </c>
      <c r="Z30" s="22"/>
      <c r="AA30" s="22"/>
      <c r="AB30" s="22" t="s">
        <v>43</v>
      </c>
      <c r="AC30" s="25"/>
      <c r="AD30" s="22"/>
      <c r="AE30" s="16">
        <v>1</v>
      </c>
    </row>
    <row r="31" spans="1:31" s="24" customFormat="1" ht="20.100000000000001" customHeight="1" x14ac:dyDescent="0.25">
      <c r="A31" s="16" t="s">
        <v>96</v>
      </c>
      <c r="B31" s="15" t="s">
        <v>40</v>
      </c>
      <c r="C31" s="16">
        <v>10</v>
      </c>
      <c r="D31" s="17" t="s">
        <v>451</v>
      </c>
      <c r="E31" s="18" t="s">
        <v>2294</v>
      </c>
      <c r="F31" s="17" t="s">
        <v>441</v>
      </c>
      <c r="G31" s="89" t="s">
        <v>2374</v>
      </c>
      <c r="H31" s="27" t="s">
        <v>97</v>
      </c>
      <c r="I31" s="20" t="s">
        <v>441</v>
      </c>
      <c r="J31" s="21">
        <v>44440</v>
      </c>
      <c r="K31" s="22" t="s">
        <v>42</v>
      </c>
      <c r="L31" s="23">
        <v>0</v>
      </c>
      <c r="M31" s="22">
        <v>2021</v>
      </c>
      <c r="N31" s="22">
        <v>100</v>
      </c>
      <c r="O31" s="22">
        <v>1</v>
      </c>
      <c r="P31" s="22">
        <v>15</v>
      </c>
      <c r="Q31" s="22">
        <v>40</v>
      </c>
      <c r="R31" s="22">
        <v>65</v>
      </c>
      <c r="S31" s="22">
        <v>85</v>
      </c>
      <c r="T31" s="22">
        <v>100</v>
      </c>
      <c r="U31" s="22">
        <v>100</v>
      </c>
      <c r="V31" s="22">
        <v>100</v>
      </c>
      <c r="W31" s="22">
        <v>15</v>
      </c>
      <c r="X31" s="22">
        <v>30</v>
      </c>
      <c r="Y31" s="22" t="s">
        <v>43</v>
      </c>
      <c r="Z31" s="22"/>
      <c r="AA31" s="22"/>
      <c r="AB31" s="22" t="s">
        <v>43</v>
      </c>
      <c r="AC31" s="25"/>
      <c r="AD31" s="22"/>
      <c r="AE31" s="16">
        <v>3</v>
      </c>
    </row>
    <row r="32" spans="1:31" s="24" customFormat="1" ht="20.100000000000001" customHeight="1" x14ac:dyDescent="0.25">
      <c r="A32" s="16" t="s">
        <v>98</v>
      </c>
      <c r="B32" s="15" t="s">
        <v>40</v>
      </c>
      <c r="C32" s="16">
        <v>11</v>
      </c>
      <c r="D32" s="17" t="s">
        <v>456</v>
      </c>
      <c r="E32" s="18" t="s">
        <v>2295</v>
      </c>
      <c r="F32" s="17" t="s">
        <v>458</v>
      </c>
      <c r="G32" s="89" t="s">
        <v>2375</v>
      </c>
      <c r="H32" s="27" t="s">
        <v>99</v>
      </c>
      <c r="I32" s="20" t="s">
        <v>458</v>
      </c>
      <c r="J32" s="21">
        <v>44440</v>
      </c>
      <c r="K32" s="22" t="s">
        <v>42</v>
      </c>
      <c r="L32" s="23">
        <v>0</v>
      </c>
      <c r="M32" s="22">
        <v>2021</v>
      </c>
      <c r="N32" s="22">
        <v>43</v>
      </c>
      <c r="O32" s="22">
        <v>43</v>
      </c>
      <c r="P32" s="22">
        <v>0</v>
      </c>
      <c r="Q32" s="22">
        <v>10</v>
      </c>
      <c r="R32" s="22">
        <v>20</v>
      </c>
      <c r="S32" s="22">
        <v>30</v>
      </c>
      <c r="T32" s="22">
        <v>40</v>
      </c>
      <c r="U32" s="22">
        <v>43</v>
      </c>
      <c r="V32" s="22">
        <v>43</v>
      </c>
      <c r="W32" s="22">
        <v>4</v>
      </c>
      <c r="X32" s="22">
        <v>16</v>
      </c>
      <c r="Y32" s="22" t="s">
        <v>43</v>
      </c>
      <c r="Z32" s="22"/>
      <c r="AA32" s="22"/>
      <c r="AB32" s="22" t="s">
        <v>43</v>
      </c>
      <c r="AC32" s="25"/>
      <c r="AD32" s="22"/>
      <c r="AE32" s="16">
        <v>3</v>
      </c>
    </row>
    <row r="33" spans="1:31" s="24" customFormat="1" ht="20.100000000000001" customHeight="1" x14ac:dyDescent="0.25">
      <c r="A33" s="14" t="s">
        <v>100</v>
      </c>
      <c r="B33" s="15" t="s">
        <v>40</v>
      </c>
      <c r="C33" s="16">
        <v>11</v>
      </c>
      <c r="D33" s="17" t="s">
        <v>456</v>
      </c>
      <c r="E33" s="18" t="s">
        <v>2295</v>
      </c>
      <c r="F33" s="17" t="s">
        <v>458</v>
      </c>
      <c r="G33" s="89" t="s">
        <v>2375</v>
      </c>
      <c r="H33" s="19" t="s">
        <v>101</v>
      </c>
      <c r="I33" s="20" t="s">
        <v>458</v>
      </c>
      <c r="J33" s="21">
        <v>44440</v>
      </c>
      <c r="K33" s="22" t="s">
        <v>42</v>
      </c>
      <c r="L33" s="23">
        <v>0</v>
      </c>
      <c r="M33" s="22">
        <v>2021</v>
      </c>
      <c r="N33" s="22">
        <v>22</v>
      </c>
      <c r="O33" s="22">
        <v>22</v>
      </c>
      <c r="P33" s="26">
        <v>0</v>
      </c>
      <c r="Q33" s="26">
        <v>5</v>
      </c>
      <c r="R33" s="26">
        <v>10</v>
      </c>
      <c r="S33" s="26">
        <v>15</v>
      </c>
      <c r="T33" s="26">
        <v>20</v>
      </c>
      <c r="U33" s="26">
        <v>22</v>
      </c>
      <c r="V33" s="26">
        <v>22</v>
      </c>
      <c r="W33" s="22">
        <v>0</v>
      </c>
      <c r="X33" s="22">
        <v>5</v>
      </c>
      <c r="Y33" s="22" t="s">
        <v>43</v>
      </c>
      <c r="Z33" s="22"/>
      <c r="AA33" s="22"/>
      <c r="AB33" s="22" t="s">
        <v>43</v>
      </c>
      <c r="AC33" s="25"/>
      <c r="AD33" s="22"/>
      <c r="AE33" s="16">
        <v>3</v>
      </c>
    </row>
    <row r="34" spans="1:31" s="24" customFormat="1" ht="20.100000000000001" customHeight="1" x14ac:dyDescent="0.25">
      <c r="A34" s="14" t="s">
        <v>102</v>
      </c>
      <c r="B34" s="15" t="s">
        <v>40</v>
      </c>
      <c r="C34" s="16">
        <v>11</v>
      </c>
      <c r="D34" s="17" t="s">
        <v>456</v>
      </c>
      <c r="E34" s="18" t="s">
        <v>2295</v>
      </c>
      <c r="F34" s="17" t="s">
        <v>458</v>
      </c>
      <c r="G34" s="89" t="s">
        <v>2376</v>
      </c>
      <c r="H34" s="19" t="s">
        <v>103</v>
      </c>
      <c r="I34" s="20" t="s">
        <v>458</v>
      </c>
      <c r="J34" s="21">
        <v>44440</v>
      </c>
      <c r="K34" s="22" t="s">
        <v>42</v>
      </c>
      <c r="L34" s="23">
        <v>0</v>
      </c>
      <c r="M34" s="22">
        <v>2021</v>
      </c>
      <c r="N34" s="22">
        <v>25</v>
      </c>
      <c r="O34" s="22">
        <v>25</v>
      </c>
      <c r="P34" s="26">
        <v>0</v>
      </c>
      <c r="Q34" s="26">
        <v>6</v>
      </c>
      <c r="R34" s="26">
        <v>11</v>
      </c>
      <c r="S34" s="26">
        <v>17</v>
      </c>
      <c r="T34" s="26">
        <v>22</v>
      </c>
      <c r="U34" s="26">
        <v>25</v>
      </c>
      <c r="V34" s="26">
        <v>25</v>
      </c>
      <c r="W34" s="22">
        <v>0</v>
      </c>
      <c r="X34" s="22">
        <v>6</v>
      </c>
      <c r="Y34" s="22" t="s">
        <v>43</v>
      </c>
      <c r="Z34" s="22"/>
      <c r="AA34" s="22"/>
      <c r="AB34" s="22" t="s">
        <v>43</v>
      </c>
      <c r="AC34" s="25"/>
      <c r="AD34" s="22"/>
      <c r="AE34" s="16">
        <v>3</v>
      </c>
    </row>
    <row r="35" spans="1:31" s="24" customFormat="1" ht="20.100000000000001" customHeight="1" x14ac:dyDescent="0.25">
      <c r="A35" s="14" t="s">
        <v>104</v>
      </c>
      <c r="B35" s="15" t="s">
        <v>40</v>
      </c>
      <c r="C35" s="16">
        <v>12</v>
      </c>
      <c r="D35" s="17" t="s">
        <v>462</v>
      </c>
      <c r="E35" s="18" t="s">
        <v>2296</v>
      </c>
      <c r="F35" s="17" t="s">
        <v>458</v>
      </c>
      <c r="G35" s="89" t="s">
        <v>2377</v>
      </c>
      <c r="H35" s="19" t="s">
        <v>105</v>
      </c>
      <c r="I35" s="20" t="s">
        <v>458</v>
      </c>
      <c r="J35" s="21">
        <v>44440</v>
      </c>
      <c r="K35" s="22" t="s">
        <v>42</v>
      </c>
      <c r="L35" s="23">
        <v>165</v>
      </c>
      <c r="M35" s="22">
        <v>2020</v>
      </c>
      <c r="N35" s="22">
        <v>460</v>
      </c>
      <c r="O35" s="22">
        <v>460</v>
      </c>
      <c r="P35" s="26">
        <v>50</v>
      </c>
      <c r="Q35" s="26">
        <v>150</v>
      </c>
      <c r="R35" s="26">
        <v>250</v>
      </c>
      <c r="S35" s="26">
        <v>350</v>
      </c>
      <c r="T35" s="26">
        <v>450</v>
      </c>
      <c r="U35" s="26">
        <v>460</v>
      </c>
      <c r="V35" s="26">
        <v>460</v>
      </c>
      <c r="W35" s="22">
        <v>214</v>
      </c>
      <c r="X35" s="22">
        <v>390</v>
      </c>
      <c r="Y35" s="22" t="s">
        <v>43</v>
      </c>
      <c r="Z35" s="22"/>
      <c r="AA35" s="22"/>
      <c r="AB35" s="22" t="s">
        <v>43</v>
      </c>
      <c r="AC35" s="25"/>
      <c r="AD35" s="22"/>
      <c r="AE35" s="16">
        <v>3</v>
      </c>
    </row>
    <row r="36" spans="1:31" s="24" customFormat="1" ht="20.100000000000001" customHeight="1" x14ac:dyDescent="0.25">
      <c r="A36" s="14" t="s">
        <v>106</v>
      </c>
      <c r="B36" s="15" t="s">
        <v>40</v>
      </c>
      <c r="C36" s="16">
        <v>12</v>
      </c>
      <c r="D36" s="17" t="s">
        <v>462</v>
      </c>
      <c r="E36" s="18" t="s">
        <v>2296</v>
      </c>
      <c r="F36" s="17" t="s">
        <v>458</v>
      </c>
      <c r="G36" s="89" t="s">
        <v>2378</v>
      </c>
      <c r="H36" s="19" t="s">
        <v>107</v>
      </c>
      <c r="I36" s="20" t="s">
        <v>458</v>
      </c>
      <c r="J36" s="21">
        <v>44440</v>
      </c>
      <c r="K36" s="22" t="s">
        <v>42</v>
      </c>
      <c r="L36" s="23">
        <v>0</v>
      </c>
      <c r="M36" s="22">
        <v>2020</v>
      </c>
      <c r="N36" s="22">
        <v>25</v>
      </c>
      <c r="O36" s="22">
        <v>25</v>
      </c>
      <c r="P36" s="26">
        <v>4</v>
      </c>
      <c r="Q36" s="26">
        <v>9</v>
      </c>
      <c r="R36" s="26">
        <v>14</v>
      </c>
      <c r="S36" s="26">
        <v>19</v>
      </c>
      <c r="T36" s="26">
        <v>24</v>
      </c>
      <c r="U36" s="26">
        <v>25</v>
      </c>
      <c r="V36" s="26">
        <v>25</v>
      </c>
      <c r="W36" s="22">
        <v>4</v>
      </c>
      <c r="X36" s="22">
        <v>11</v>
      </c>
      <c r="Y36" s="22" t="s">
        <v>43</v>
      </c>
      <c r="Z36" s="22"/>
      <c r="AA36" s="22"/>
      <c r="AB36" s="22" t="s">
        <v>43</v>
      </c>
      <c r="AC36" s="25"/>
      <c r="AD36" s="22"/>
      <c r="AE36" s="16">
        <v>3</v>
      </c>
    </row>
    <row r="37" spans="1:31" s="24" customFormat="1" ht="20.100000000000001" customHeight="1" x14ac:dyDescent="0.25">
      <c r="A37" s="14" t="s">
        <v>108</v>
      </c>
      <c r="B37" s="15" t="s">
        <v>40</v>
      </c>
      <c r="C37" s="16">
        <v>12</v>
      </c>
      <c r="D37" s="17" t="s">
        <v>462</v>
      </c>
      <c r="E37" s="18" t="s">
        <v>2296</v>
      </c>
      <c r="F37" s="17" t="s">
        <v>458</v>
      </c>
      <c r="G37" s="89" t="s">
        <v>2379</v>
      </c>
      <c r="H37" s="19" t="s">
        <v>109</v>
      </c>
      <c r="I37" s="20" t="s">
        <v>458</v>
      </c>
      <c r="J37" s="21">
        <v>44440</v>
      </c>
      <c r="K37" s="22" t="s">
        <v>42</v>
      </c>
      <c r="L37" s="23">
        <v>13</v>
      </c>
      <c r="M37" s="22">
        <v>2020</v>
      </c>
      <c r="N37" s="22">
        <v>30</v>
      </c>
      <c r="O37" s="22">
        <v>30</v>
      </c>
      <c r="P37" s="26">
        <v>0</v>
      </c>
      <c r="Q37" s="26">
        <v>8</v>
      </c>
      <c r="R37" s="26">
        <v>15</v>
      </c>
      <c r="S37" s="26">
        <v>23</v>
      </c>
      <c r="T37" s="26">
        <v>30</v>
      </c>
      <c r="U37" s="26">
        <v>30</v>
      </c>
      <c r="V37" s="26">
        <v>30</v>
      </c>
      <c r="W37" s="22">
        <v>0</v>
      </c>
      <c r="X37" s="22">
        <v>6</v>
      </c>
      <c r="Y37" s="22" t="s">
        <v>43</v>
      </c>
      <c r="Z37" s="22"/>
      <c r="AA37" s="22"/>
      <c r="AB37" s="22" t="s">
        <v>43</v>
      </c>
      <c r="AC37" s="25"/>
      <c r="AD37" s="22"/>
      <c r="AE37" s="16">
        <v>3</v>
      </c>
    </row>
    <row r="38" spans="1:31" s="24" customFormat="1" ht="20.100000000000001" customHeight="1" x14ac:dyDescent="0.25">
      <c r="A38" s="14" t="s">
        <v>110</v>
      </c>
      <c r="B38" s="15" t="s">
        <v>40</v>
      </c>
      <c r="C38" s="16">
        <v>13</v>
      </c>
      <c r="D38" s="17" t="s">
        <v>467</v>
      </c>
      <c r="E38" s="18" t="s">
        <v>2297</v>
      </c>
      <c r="F38" s="17" t="s">
        <v>411</v>
      </c>
      <c r="G38" s="89" t="s">
        <v>2380</v>
      </c>
      <c r="H38" s="19" t="s">
        <v>111</v>
      </c>
      <c r="I38" s="20" t="s">
        <v>411</v>
      </c>
      <c r="J38" s="21">
        <v>44409</v>
      </c>
      <c r="K38" s="22" t="s">
        <v>42</v>
      </c>
      <c r="L38" s="23">
        <v>10</v>
      </c>
      <c r="M38" s="22">
        <v>2020</v>
      </c>
      <c r="N38" s="22">
        <v>12</v>
      </c>
      <c r="O38" s="22">
        <v>12</v>
      </c>
      <c r="P38" s="26">
        <v>4</v>
      </c>
      <c r="Q38" s="26">
        <v>9</v>
      </c>
      <c r="R38" s="26">
        <v>9</v>
      </c>
      <c r="S38" s="26">
        <v>12</v>
      </c>
      <c r="T38" s="26">
        <v>12</v>
      </c>
      <c r="U38" s="26">
        <v>12</v>
      </c>
      <c r="V38" s="26">
        <v>12</v>
      </c>
      <c r="W38" s="22">
        <v>19</v>
      </c>
      <c r="X38" s="22">
        <v>38</v>
      </c>
      <c r="Y38" s="22" t="s">
        <v>43</v>
      </c>
      <c r="Z38" s="22"/>
      <c r="AA38" s="22"/>
      <c r="AB38" s="22" t="s">
        <v>43</v>
      </c>
      <c r="AC38" s="25"/>
      <c r="AD38" s="22"/>
      <c r="AE38" s="16">
        <v>3</v>
      </c>
    </row>
    <row r="39" spans="1:31" s="24" customFormat="1" ht="20.100000000000001" customHeight="1" x14ac:dyDescent="0.25">
      <c r="A39" s="14" t="s">
        <v>112</v>
      </c>
      <c r="B39" s="15" t="s">
        <v>40</v>
      </c>
      <c r="C39" s="16">
        <v>13</v>
      </c>
      <c r="D39" s="17" t="s">
        <v>467</v>
      </c>
      <c r="E39" s="18" t="s">
        <v>2297</v>
      </c>
      <c r="F39" s="17" t="s">
        <v>411</v>
      </c>
      <c r="G39" s="89" t="s">
        <v>2381</v>
      </c>
      <c r="H39" s="19" t="s">
        <v>113</v>
      </c>
      <c r="I39" s="20" t="s">
        <v>411</v>
      </c>
      <c r="J39" s="21">
        <v>44409</v>
      </c>
      <c r="K39" s="22" t="s">
        <v>42</v>
      </c>
      <c r="L39" s="23">
        <v>15</v>
      </c>
      <c r="M39" s="22">
        <v>2020</v>
      </c>
      <c r="N39" s="22">
        <v>17</v>
      </c>
      <c r="O39" s="22">
        <v>17</v>
      </c>
      <c r="P39" s="26">
        <v>5</v>
      </c>
      <c r="Q39" s="26">
        <v>5</v>
      </c>
      <c r="R39" s="26">
        <v>10</v>
      </c>
      <c r="S39" s="26">
        <v>12</v>
      </c>
      <c r="T39" s="26">
        <v>15</v>
      </c>
      <c r="U39" s="26">
        <v>17</v>
      </c>
      <c r="V39" s="26">
        <v>17</v>
      </c>
      <c r="W39" s="22">
        <v>360</v>
      </c>
      <c r="X39" s="22">
        <v>1014</v>
      </c>
      <c r="Y39" s="22" t="s">
        <v>43</v>
      </c>
      <c r="Z39" s="22"/>
      <c r="AA39" s="22"/>
      <c r="AB39" s="22" t="s">
        <v>43</v>
      </c>
      <c r="AC39" s="25"/>
      <c r="AD39" s="22"/>
      <c r="AE39" s="16">
        <v>1</v>
      </c>
    </row>
    <row r="40" spans="1:31" s="24" customFormat="1" ht="20.100000000000001" customHeight="1" x14ac:dyDescent="0.25">
      <c r="A40" s="14" t="s">
        <v>114</v>
      </c>
      <c r="B40" s="15" t="s">
        <v>40</v>
      </c>
      <c r="C40" s="16">
        <v>13</v>
      </c>
      <c r="D40" s="17" t="s">
        <v>467</v>
      </c>
      <c r="E40" s="18" t="s">
        <v>2297</v>
      </c>
      <c r="F40" s="17" t="s">
        <v>411</v>
      </c>
      <c r="G40" s="89" t="s">
        <v>2382</v>
      </c>
      <c r="H40" s="19" t="s">
        <v>115</v>
      </c>
      <c r="I40" s="20" t="s">
        <v>411</v>
      </c>
      <c r="J40" s="21">
        <v>44409</v>
      </c>
      <c r="K40" s="22" t="s">
        <v>42</v>
      </c>
      <c r="L40" s="23">
        <v>0</v>
      </c>
      <c r="M40" s="22">
        <v>2020</v>
      </c>
      <c r="N40" s="22">
        <v>8</v>
      </c>
      <c r="O40" s="22">
        <v>8</v>
      </c>
      <c r="P40" s="26">
        <v>2</v>
      </c>
      <c r="Q40" s="26">
        <v>3</v>
      </c>
      <c r="R40" s="26">
        <v>4</v>
      </c>
      <c r="S40" s="26">
        <v>5</v>
      </c>
      <c r="T40" s="26">
        <v>6</v>
      </c>
      <c r="U40" s="26">
        <v>8</v>
      </c>
      <c r="V40" s="26">
        <v>8</v>
      </c>
      <c r="W40" s="22">
        <v>0</v>
      </c>
      <c r="X40" s="22">
        <v>1</v>
      </c>
      <c r="Y40" s="22" t="s">
        <v>43</v>
      </c>
      <c r="Z40" s="22"/>
      <c r="AA40" s="22"/>
      <c r="AB40" s="22" t="s">
        <v>43</v>
      </c>
      <c r="AC40" s="25"/>
      <c r="AD40" s="22"/>
      <c r="AE40" s="16">
        <v>3</v>
      </c>
    </row>
    <row r="41" spans="1:31" s="24" customFormat="1" ht="20.100000000000001" customHeight="1" x14ac:dyDescent="0.25">
      <c r="A41" s="14" t="s">
        <v>116</v>
      </c>
      <c r="B41" s="15" t="s">
        <v>40</v>
      </c>
      <c r="C41" s="16">
        <v>13</v>
      </c>
      <c r="D41" s="17" t="s">
        <v>467</v>
      </c>
      <c r="E41" s="18" t="s">
        <v>2297</v>
      </c>
      <c r="F41" s="17" t="s">
        <v>411</v>
      </c>
      <c r="G41" s="89" t="s">
        <v>2383</v>
      </c>
      <c r="H41" s="19" t="s">
        <v>117</v>
      </c>
      <c r="I41" s="20" t="s">
        <v>411</v>
      </c>
      <c r="J41" s="21">
        <v>44409</v>
      </c>
      <c r="K41" s="22" t="s">
        <v>42</v>
      </c>
      <c r="L41" s="23">
        <v>0.2</v>
      </c>
      <c r="M41" s="22">
        <v>2020</v>
      </c>
      <c r="N41" s="22">
        <v>100</v>
      </c>
      <c r="O41" s="22">
        <v>1</v>
      </c>
      <c r="P41" s="26">
        <v>40</v>
      </c>
      <c r="Q41" s="26">
        <v>50</v>
      </c>
      <c r="R41" s="26">
        <v>60</v>
      </c>
      <c r="S41" s="26">
        <v>75</v>
      </c>
      <c r="T41" s="26">
        <v>90</v>
      </c>
      <c r="U41" s="26">
        <v>100</v>
      </c>
      <c r="V41" s="26">
        <v>100</v>
      </c>
      <c r="W41" s="22">
        <v>35</v>
      </c>
      <c r="X41" s="22">
        <v>10</v>
      </c>
      <c r="Y41" s="22" t="s">
        <v>43</v>
      </c>
      <c r="Z41" s="22"/>
      <c r="AA41" s="22"/>
      <c r="AB41" s="22" t="s">
        <v>43</v>
      </c>
      <c r="AC41" s="25"/>
      <c r="AD41" s="22"/>
      <c r="AE41" s="16">
        <v>2</v>
      </c>
    </row>
    <row r="42" spans="1:31" s="24" customFormat="1" ht="20.100000000000001" customHeight="1" x14ac:dyDescent="0.25">
      <c r="A42" s="14" t="s">
        <v>118</v>
      </c>
      <c r="B42" s="15" t="s">
        <v>40</v>
      </c>
      <c r="C42" s="16">
        <v>14</v>
      </c>
      <c r="D42" s="17" t="s">
        <v>472</v>
      </c>
      <c r="E42" s="18" t="s">
        <v>2298</v>
      </c>
      <c r="F42" s="17" t="s">
        <v>474</v>
      </c>
      <c r="G42" s="89" t="s">
        <v>2384</v>
      </c>
      <c r="H42" s="19" t="s">
        <v>119</v>
      </c>
      <c r="I42" s="20" t="s">
        <v>474</v>
      </c>
      <c r="J42" s="21">
        <v>44440</v>
      </c>
      <c r="K42" s="22" t="s">
        <v>42</v>
      </c>
      <c r="L42" s="23">
        <v>58</v>
      </c>
      <c r="M42" s="22">
        <v>2020</v>
      </c>
      <c r="N42" s="22">
        <v>68</v>
      </c>
      <c r="O42" s="22">
        <v>68</v>
      </c>
      <c r="P42" s="26">
        <v>58</v>
      </c>
      <c r="Q42" s="26">
        <v>58</v>
      </c>
      <c r="R42" s="26">
        <v>63</v>
      </c>
      <c r="S42" s="26">
        <v>63</v>
      </c>
      <c r="T42" s="26">
        <v>68</v>
      </c>
      <c r="U42" s="26">
        <v>68</v>
      </c>
      <c r="V42" s="26">
        <v>68</v>
      </c>
      <c r="W42" s="22">
        <v>58</v>
      </c>
      <c r="X42" s="22">
        <v>58</v>
      </c>
      <c r="Y42" s="22" t="s">
        <v>43</v>
      </c>
      <c r="Z42" s="22"/>
      <c r="AA42" s="22"/>
      <c r="AB42" s="22" t="s">
        <v>43</v>
      </c>
      <c r="AC42" s="25"/>
      <c r="AD42" s="22"/>
      <c r="AE42" s="16">
        <v>2</v>
      </c>
    </row>
    <row r="43" spans="1:31" s="24" customFormat="1" ht="20.100000000000001" customHeight="1" x14ac:dyDescent="0.25">
      <c r="A43" s="14" t="s">
        <v>120</v>
      </c>
      <c r="B43" s="15" t="s">
        <v>40</v>
      </c>
      <c r="C43" s="16">
        <v>14</v>
      </c>
      <c r="D43" s="17" t="s">
        <v>472</v>
      </c>
      <c r="E43" s="18" t="s">
        <v>2298</v>
      </c>
      <c r="F43" s="17" t="s">
        <v>474</v>
      </c>
      <c r="G43" s="89" t="s">
        <v>2385</v>
      </c>
      <c r="H43" s="19" t="s">
        <v>121</v>
      </c>
      <c r="I43" s="20" t="s">
        <v>474</v>
      </c>
      <c r="J43" s="21">
        <v>44440</v>
      </c>
      <c r="K43" s="22" t="s">
        <v>42</v>
      </c>
      <c r="L43" s="23">
        <v>53</v>
      </c>
      <c r="M43" s="22">
        <v>2020</v>
      </c>
      <c r="N43" s="22">
        <v>55</v>
      </c>
      <c r="O43" s="22">
        <v>55</v>
      </c>
      <c r="P43" s="26">
        <v>53</v>
      </c>
      <c r="Q43" s="26">
        <v>53</v>
      </c>
      <c r="R43" s="26">
        <v>55</v>
      </c>
      <c r="S43" s="26">
        <v>55</v>
      </c>
      <c r="T43" s="26">
        <v>55</v>
      </c>
      <c r="U43" s="26">
        <v>55</v>
      </c>
      <c r="V43" s="26">
        <v>55</v>
      </c>
      <c r="W43" s="22">
        <v>46</v>
      </c>
      <c r="X43" s="22">
        <v>43</v>
      </c>
      <c r="Y43" s="22" t="s">
        <v>43</v>
      </c>
      <c r="Z43" s="22"/>
      <c r="AA43" s="22"/>
      <c r="AB43" s="22" t="s">
        <v>43</v>
      </c>
      <c r="AC43" s="25"/>
      <c r="AD43" s="22"/>
      <c r="AE43" s="16">
        <v>2</v>
      </c>
    </row>
    <row r="44" spans="1:31" s="24" customFormat="1" ht="20.100000000000001" customHeight="1" x14ac:dyDescent="0.25">
      <c r="A44" s="14" t="s">
        <v>122</v>
      </c>
      <c r="B44" s="15" t="s">
        <v>40</v>
      </c>
      <c r="C44" s="16">
        <v>14</v>
      </c>
      <c r="D44" s="17" t="s">
        <v>472</v>
      </c>
      <c r="E44" s="18" t="s">
        <v>2298</v>
      </c>
      <c r="F44" s="17" t="s">
        <v>474</v>
      </c>
      <c r="G44" s="89" t="s">
        <v>2386</v>
      </c>
      <c r="H44" s="19" t="s">
        <v>123</v>
      </c>
      <c r="I44" s="20" t="s">
        <v>474</v>
      </c>
      <c r="J44" s="21">
        <v>44440</v>
      </c>
      <c r="K44" s="22" t="s">
        <v>42</v>
      </c>
      <c r="L44" s="23">
        <v>6</v>
      </c>
      <c r="M44" s="22">
        <v>2020</v>
      </c>
      <c r="N44" s="22">
        <v>18</v>
      </c>
      <c r="O44" s="22">
        <v>18</v>
      </c>
      <c r="P44" s="26">
        <v>12</v>
      </c>
      <c r="Q44" s="26">
        <v>12</v>
      </c>
      <c r="R44" s="26">
        <v>15</v>
      </c>
      <c r="S44" s="26">
        <v>15</v>
      </c>
      <c r="T44" s="26">
        <v>18</v>
      </c>
      <c r="U44" s="26">
        <v>18</v>
      </c>
      <c r="V44" s="26">
        <v>18</v>
      </c>
      <c r="W44" s="22">
        <v>16</v>
      </c>
      <c r="X44" s="22">
        <v>11</v>
      </c>
      <c r="Y44" s="22" t="s">
        <v>43</v>
      </c>
      <c r="Z44" s="22"/>
      <c r="AA44" s="22"/>
      <c r="AB44" s="22" t="s">
        <v>43</v>
      </c>
      <c r="AC44" s="25"/>
      <c r="AD44" s="22"/>
      <c r="AE44" s="16">
        <v>2</v>
      </c>
    </row>
    <row r="45" spans="1:31" s="24" customFormat="1" ht="20.100000000000001" customHeight="1" x14ac:dyDescent="0.25">
      <c r="A45" s="14" t="s">
        <v>124</v>
      </c>
      <c r="B45" s="15" t="s">
        <v>40</v>
      </c>
      <c r="C45" s="16">
        <v>15</v>
      </c>
      <c r="D45" s="17" t="s">
        <v>478</v>
      </c>
      <c r="E45" s="18" t="s">
        <v>2299</v>
      </c>
      <c r="F45" s="17" t="s">
        <v>480</v>
      </c>
      <c r="G45" s="89" t="s">
        <v>2387</v>
      </c>
      <c r="H45" s="19" t="s">
        <v>125</v>
      </c>
      <c r="I45" s="20" t="s">
        <v>480</v>
      </c>
      <c r="J45" s="21">
        <v>44463</v>
      </c>
      <c r="K45" s="22" t="s">
        <v>42</v>
      </c>
      <c r="L45" s="23">
        <v>73444</v>
      </c>
      <c r="M45" s="22">
        <v>2021</v>
      </c>
      <c r="N45" s="22">
        <v>100170</v>
      </c>
      <c r="O45" s="22">
        <v>100170</v>
      </c>
      <c r="P45" s="26">
        <v>72400</v>
      </c>
      <c r="Q45" s="26">
        <v>47700</v>
      </c>
      <c r="R45" s="26">
        <v>98262</v>
      </c>
      <c r="S45" s="26">
        <v>50085</v>
      </c>
      <c r="T45" s="26">
        <v>100170</v>
      </c>
      <c r="U45" s="26">
        <v>100170</v>
      </c>
      <c r="V45" s="26">
        <v>100170</v>
      </c>
      <c r="W45" s="22">
        <v>75400</v>
      </c>
      <c r="X45" s="22">
        <v>42635</v>
      </c>
      <c r="Y45" s="22" t="s">
        <v>43</v>
      </c>
      <c r="Z45" s="22"/>
      <c r="AA45" s="22"/>
      <c r="AB45" s="22" t="s">
        <v>43</v>
      </c>
      <c r="AC45" s="25"/>
      <c r="AD45" s="22"/>
      <c r="AE45" s="16">
        <v>2</v>
      </c>
    </row>
    <row r="46" spans="1:31" s="24" customFormat="1" ht="20.100000000000001" customHeight="1" x14ac:dyDescent="0.25">
      <c r="A46" s="14" t="s">
        <v>126</v>
      </c>
      <c r="B46" s="15" t="s">
        <v>40</v>
      </c>
      <c r="C46" s="16">
        <v>15</v>
      </c>
      <c r="D46" s="17" t="s">
        <v>478</v>
      </c>
      <c r="E46" s="18" t="s">
        <v>2299</v>
      </c>
      <c r="F46" s="17" t="s">
        <v>480</v>
      </c>
      <c r="G46" s="89" t="s">
        <v>2388</v>
      </c>
      <c r="H46" s="19" t="s">
        <v>127</v>
      </c>
      <c r="I46" s="20" t="s">
        <v>480</v>
      </c>
      <c r="J46" s="21">
        <v>44463</v>
      </c>
      <c r="K46" s="22" t="s">
        <v>42</v>
      </c>
      <c r="L46" s="23">
        <v>6100</v>
      </c>
      <c r="M46" s="22">
        <v>2021</v>
      </c>
      <c r="N46" s="22">
        <v>8295</v>
      </c>
      <c r="O46" s="22">
        <v>8295</v>
      </c>
      <c r="P46" s="26">
        <v>6100</v>
      </c>
      <c r="Q46" s="26">
        <v>3950</v>
      </c>
      <c r="R46" s="26">
        <v>8137</v>
      </c>
      <c r="S46" s="26">
        <v>4147.5</v>
      </c>
      <c r="T46" s="26">
        <v>8295</v>
      </c>
      <c r="U46" s="26">
        <v>8295</v>
      </c>
      <c r="V46" s="26">
        <v>8295</v>
      </c>
      <c r="W46" s="22">
        <v>6010</v>
      </c>
      <c r="X46" s="22">
        <v>4.7279999999999998</v>
      </c>
      <c r="Y46" s="22" t="s">
        <v>43</v>
      </c>
      <c r="Z46" s="22"/>
      <c r="AA46" s="22"/>
      <c r="AB46" s="22" t="s">
        <v>43</v>
      </c>
      <c r="AC46" s="25"/>
      <c r="AD46" s="22"/>
      <c r="AE46" s="16">
        <v>2</v>
      </c>
    </row>
    <row r="47" spans="1:31" s="24" customFormat="1" ht="20.100000000000001" customHeight="1" x14ac:dyDescent="0.25">
      <c r="A47" s="14" t="s">
        <v>128</v>
      </c>
      <c r="B47" s="15" t="s">
        <v>40</v>
      </c>
      <c r="C47" s="16">
        <v>16</v>
      </c>
      <c r="D47" s="17" t="s">
        <v>484</v>
      </c>
      <c r="E47" s="18" t="s">
        <v>2300</v>
      </c>
      <c r="F47" s="17" t="s">
        <v>480</v>
      </c>
      <c r="G47" s="89" t="s">
        <v>2389</v>
      </c>
      <c r="H47" s="19" t="s">
        <v>129</v>
      </c>
      <c r="I47" s="20" t="s">
        <v>480</v>
      </c>
      <c r="J47" s="21">
        <v>44479</v>
      </c>
      <c r="K47" s="22" t="s">
        <v>42</v>
      </c>
      <c r="L47" s="23">
        <v>0.54166666666666696</v>
      </c>
      <c r="M47" s="22">
        <v>2021</v>
      </c>
      <c r="N47" s="22">
        <v>70</v>
      </c>
      <c r="O47" s="22">
        <v>70</v>
      </c>
      <c r="P47" s="26">
        <v>0</v>
      </c>
      <c r="Q47" s="26">
        <v>57</v>
      </c>
      <c r="R47" s="26">
        <v>60</v>
      </c>
      <c r="S47" s="26">
        <v>65</v>
      </c>
      <c r="T47" s="26">
        <v>70</v>
      </c>
      <c r="U47" s="26">
        <v>70</v>
      </c>
      <c r="V47" s="26">
        <v>70</v>
      </c>
      <c r="W47" s="22">
        <v>54</v>
      </c>
      <c r="X47" s="22">
        <v>57</v>
      </c>
      <c r="Y47" s="22" t="s">
        <v>43</v>
      </c>
      <c r="Z47" s="22"/>
      <c r="AA47" s="22"/>
      <c r="AB47" s="22" t="s">
        <v>43</v>
      </c>
      <c r="AC47" s="25"/>
      <c r="AD47" s="22"/>
      <c r="AE47" s="16">
        <v>2</v>
      </c>
    </row>
    <row r="48" spans="1:31" s="24" customFormat="1" ht="20.100000000000001" customHeight="1" x14ac:dyDescent="0.25">
      <c r="A48" s="14" t="s">
        <v>130</v>
      </c>
      <c r="B48" s="15" t="s">
        <v>40</v>
      </c>
      <c r="C48" s="16">
        <v>16</v>
      </c>
      <c r="D48" s="17" t="s">
        <v>484</v>
      </c>
      <c r="E48" s="18" t="s">
        <v>2300</v>
      </c>
      <c r="F48" s="17" t="s">
        <v>480</v>
      </c>
      <c r="G48" s="89" t="s">
        <v>2390</v>
      </c>
      <c r="H48" s="19" t="s">
        <v>131</v>
      </c>
      <c r="I48" s="20" t="s">
        <v>480</v>
      </c>
      <c r="J48" s="21">
        <v>44479</v>
      </c>
      <c r="K48" s="22" t="s">
        <v>42</v>
      </c>
      <c r="L48" s="23">
        <v>35</v>
      </c>
      <c r="M48" s="22">
        <v>2020</v>
      </c>
      <c r="N48" s="22">
        <v>100</v>
      </c>
      <c r="O48" s="22">
        <v>100</v>
      </c>
      <c r="P48" s="26">
        <v>0</v>
      </c>
      <c r="Q48" s="26">
        <v>0</v>
      </c>
      <c r="R48" s="26">
        <v>30</v>
      </c>
      <c r="S48" s="26">
        <v>50</v>
      </c>
      <c r="T48" s="26">
        <v>100</v>
      </c>
      <c r="U48" s="26">
        <v>100</v>
      </c>
      <c r="V48" s="26">
        <v>100</v>
      </c>
      <c r="W48" s="22">
        <v>0</v>
      </c>
      <c r="X48" s="22">
        <v>8</v>
      </c>
      <c r="Y48" s="22" t="s">
        <v>43</v>
      </c>
      <c r="Z48" s="22"/>
      <c r="AA48" s="22"/>
      <c r="AB48" s="22" t="s">
        <v>43</v>
      </c>
      <c r="AC48" s="25"/>
      <c r="AD48" s="22"/>
      <c r="AE48" s="16">
        <v>1</v>
      </c>
    </row>
    <row r="49" spans="1:31" s="24" customFormat="1" ht="20.100000000000001" customHeight="1" x14ac:dyDescent="0.25">
      <c r="A49" s="14" t="s">
        <v>132</v>
      </c>
      <c r="B49" s="15" t="s">
        <v>40</v>
      </c>
      <c r="C49" s="16">
        <v>17</v>
      </c>
      <c r="D49" s="17" t="s">
        <v>489</v>
      </c>
      <c r="E49" s="18" t="s">
        <v>2301</v>
      </c>
      <c r="F49" s="17" t="s">
        <v>447</v>
      </c>
      <c r="G49" s="89" t="s">
        <v>2391</v>
      </c>
      <c r="H49" s="19" t="s">
        <v>133</v>
      </c>
      <c r="I49" s="20" t="s">
        <v>447</v>
      </c>
      <c r="J49" s="21">
        <v>44423</v>
      </c>
      <c r="K49" s="22" t="s">
        <v>42</v>
      </c>
      <c r="L49" s="23">
        <v>0.05</v>
      </c>
      <c r="M49" s="22">
        <v>2021</v>
      </c>
      <c r="N49" s="22">
        <v>100</v>
      </c>
      <c r="O49" s="22">
        <v>1</v>
      </c>
      <c r="P49" s="26">
        <v>0</v>
      </c>
      <c r="Q49" s="26">
        <v>15</v>
      </c>
      <c r="R49" s="26">
        <v>30</v>
      </c>
      <c r="S49" s="26">
        <v>55</v>
      </c>
      <c r="T49" s="26">
        <v>90</v>
      </c>
      <c r="U49" s="26">
        <v>100</v>
      </c>
      <c r="V49" s="26">
        <v>100</v>
      </c>
      <c r="W49" s="22">
        <v>0</v>
      </c>
      <c r="X49" s="22">
        <v>15</v>
      </c>
      <c r="Y49" s="22" t="s">
        <v>43</v>
      </c>
      <c r="Z49" s="22"/>
      <c r="AA49" s="22"/>
      <c r="AB49" s="22" t="s">
        <v>43</v>
      </c>
      <c r="AC49" s="25"/>
      <c r="AD49" s="22"/>
      <c r="AE49" s="16">
        <v>2</v>
      </c>
    </row>
    <row r="50" spans="1:31" s="24" customFormat="1" ht="20.100000000000001" customHeight="1" x14ac:dyDescent="0.25">
      <c r="A50" s="14" t="s">
        <v>134</v>
      </c>
      <c r="B50" s="15" t="s">
        <v>40</v>
      </c>
      <c r="C50" s="16">
        <v>17</v>
      </c>
      <c r="D50" s="17" t="s">
        <v>489</v>
      </c>
      <c r="E50" s="18" t="s">
        <v>2301</v>
      </c>
      <c r="F50" s="17" t="s">
        <v>447</v>
      </c>
      <c r="G50" s="89" t="s">
        <v>2392</v>
      </c>
      <c r="H50" s="19" t="s">
        <v>135</v>
      </c>
      <c r="I50" s="20" t="s">
        <v>447</v>
      </c>
      <c r="J50" s="21">
        <v>44423</v>
      </c>
      <c r="K50" s="22" t="s">
        <v>42</v>
      </c>
      <c r="L50" s="23">
        <v>0.15</v>
      </c>
      <c r="M50" s="22">
        <v>2021</v>
      </c>
      <c r="N50" s="22">
        <v>100</v>
      </c>
      <c r="O50" s="22">
        <v>1</v>
      </c>
      <c r="P50" s="26">
        <v>10</v>
      </c>
      <c r="Q50" s="26">
        <v>20</v>
      </c>
      <c r="R50" s="26">
        <v>40</v>
      </c>
      <c r="S50" s="26">
        <v>60</v>
      </c>
      <c r="T50" s="26">
        <v>80</v>
      </c>
      <c r="U50" s="26">
        <v>100</v>
      </c>
      <c r="V50" s="26">
        <v>100</v>
      </c>
      <c r="W50" s="22">
        <v>0</v>
      </c>
      <c r="X50" s="22">
        <v>20</v>
      </c>
      <c r="Y50" s="22" t="s">
        <v>43</v>
      </c>
      <c r="Z50" s="22"/>
      <c r="AA50" s="22"/>
      <c r="AB50" s="22" t="s">
        <v>43</v>
      </c>
      <c r="AC50" s="25"/>
      <c r="AD50" s="22"/>
      <c r="AE50" s="16">
        <v>2</v>
      </c>
    </row>
    <row r="51" spans="1:31" s="24" customFormat="1" ht="20.100000000000001" customHeight="1" x14ac:dyDescent="0.25">
      <c r="A51" s="14" t="s">
        <v>136</v>
      </c>
      <c r="B51" s="15" t="s">
        <v>40</v>
      </c>
      <c r="C51" s="16">
        <v>18</v>
      </c>
      <c r="D51" s="17" t="s">
        <v>494</v>
      </c>
      <c r="E51" s="18" t="s">
        <v>2302</v>
      </c>
      <c r="F51" s="17" t="s">
        <v>496</v>
      </c>
      <c r="G51" s="89" t="s">
        <v>2393</v>
      </c>
      <c r="H51" s="19" t="s">
        <v>137</v>
      </c>
      <c r="I51" s="20" t="s">
        <v>496</v>
      </c>
      <c r="J51" s="21">
        <v>44440</v>
      </c>
      <c r="K51" s="22" t="s">
        <v>42</v>
      </c>
      <c r="L51" s="23">
        <v>0</v>
      </c>
      <c r="M51" s="22">
        <v>2021</v>
      </c>
      <c r="N51" s="22">
        <v>200</v>
      </c>
      <c r="O51" s="22">
        <v>200</v>
      </c>
      <c r="P51" s="26">
        <v>50</v>
      </c>
      <c r="Q51" s="26">
        <v>200</v>
      </c>
      <c r="R51" s="26">
        <v>200</v>
      </c>
      <c r="S51" s="26">
        <v>200</v>
      </c>
      <c r="T51" s="26">
        <v>200</v>
      </c>
      <c r="U51" s="26">
        <v>200</v>
      </c>
      <c r="V51" s="26">
        <v>200</v>
      </c>
      <c r="W51" s="22">
        <v>52</v>
      </c>
      <c r="X51" s="22">
        <v>174</v>
      </c>
      <c r="Y51" s="22" t="s">
        <v>43</v>
      </c>
      <c r="Z51" s="22"/>
      <c r="AA51" s="22"/>
      <c r="AB51" s="22" t="s">
        <v>43</v>
      </c>
      <c r="AC51" s="25"/>
      <c r="AD51" s="22"/>
      <c r="AE51" s="16">
        <v>3</v>
      </c>
    </row>
    <row r="52" spans="1:31" s="24" customFormat="1" ht="20.100000000000001" customHeight="1" x14ac:dyDescent="0.25">
      <c r="A52" s="14" t="s">
        <v>138</v>
      </c>
      <c r="B52" s="15" t="s">
        <v>40</v>
      </c>
      <c r="C52" s="16">
        <v>18</v>
      </c>
      <c r="D52" s="17" t="s">
        <v>494</v>
      </c>
      <c r="E52" s="18" t="s">
        <v>2302</v>
      </c>
      <c r="F52" s="17" t="s">
        <v>496</v>
      </c>
      <c r="G52" s="89" t="s">
        <v>2394</v>
      </c>
      <c r="H52" s="19" t="s">
        <v>139</v>
      </c>
      <c r="I52" s="20" t="s">
        <v>496</v>
      </c>
      <c r="J52" s="21">
        <v>44440</v>
      </c>
      <c r="K52" s="22" t="s">
        <v>42</v>
      </c>
      <c r="L52" s="23">
        <v>0</v>
      </c>
      <c r="M52" s="22">
        <v>2021</v>
      </c>
      <c r="N52" s="22">
        <v>100</v>
      </c>
      <c r="O52" s="22">
        <v>1</v>
      </c>
      <c r="P52" s="26">
        <v>0</v>
      </c>
      <c r="Q52" s="26">
        <v>50</v>
      </c>
      <c r="R52" s="26">
        <v>100</v>
      </c>
      <c r="S52" s="26">
        <v>100</v>
      </c>
      <c r="T52" s="26">
        <v>100</v>
      </c>
      <c r="U52" s="26">
        <v>100</v>
      </c>
      <c r="V52" s="26">
        <v>100</v>
      </c>
      <c r="W52" s="22">
        <v>0</v>
      </c>
      <c r="X52" s="22">
        <v>20</v>
      </c>
      <c r="Y52" s="22" t="s">
        <v>43</v>
      </c>
      <c r="Z52" s="22"/>
      <c r="AA52" s="22"/>
      <c r="AB52" s="22" t="s">
        <v>43</v>
      </c>
      <c r="AC52" s="25"/>
      <c r="AD52" s="22"/>
      <c r="AE52" s="16">
        <v>3</v>
      </c>
    </row>
    <row r="53" spans="1:31" s="24" customFormat="1" ht="20.100000000000001" customHeight="1" x14ac:dyDescent="0.25">
      <c r="A53" s="14" t="s">
        <v>140</v>
      </c>
      <c r="B53" s="15" t="s">
        <v>40</v>
      </c>
      <c r="C53" s="16">
        <v>19</v>
      </c>
      <c r="D53" s="17" t="s">
        <v>500</v>
      </c>
      <c r="E53" s="18" t="s">
        <v>2303</v>
      </c>
      <c r="F53" s="17" t="s">
        <v>496</v>
      </c>
      <c r="G53" s="89" t="s">
        <v>2395</v>
      </c>
      <c r="H53" s="19" t="s">
        <v>141</v>
      </c>
      <c r="I53" s="20" t="s">
        <v>496</v>
      </c>
      <c r="J53" s="21">
        <v>44409</v>
      </c>
      <c r="K53" s="22" t="s">
        <v>42</v>
      </c>
      <c r="L53" s="23">
        <v>0.2</v>
      </c>
      <c r="M53" s="22">
        <v>2021</v>
      </c>
      <c r="N53" s="22">
        <v>100</v>
      </c>
      <c r="O53" s="22">
        <v>0.80000001192092896</v>
      </c>
      <c r="P53" s="26">
        <v>30</v>
      </c>
      <c r="Q53" s="26">
        <v>45</v>
      </c>
      <c r="R53" s="26">
        <v>60</v>
      </c>
      <c r="S53" s="26">
        <v>75</v>
      </c>
      <c r="T53" s="26">
        <v>90</v>
      </c>
      <c r="U53" s="26">
        <v>100</v>
      </c>
      <c r="V53" s="26">
        <v>100</v>
      </c>
      <c r="W53" s="22">
        <v>10</v>
      </c>
      <c r="X53" s="22">
        <v>10</v>
      </c>
      <c r="Y53" s="22" t="s">
        <v>43</v>
      </c>
      <c r="Z53" s="22"/>
      <c r="AA53" s="22"/>
      <c r="AB53" s="22" t="s">
        <v>43</v>
      </c>
      <c r="AC53" s="25"/>
      <c r="AD53" s="22"/>
      <c r="AE53" s="16">
        <v>2</v>
      </c>
    </row>
    <row r="54" spans="1:31" s="24" customFormat="1" ht="20.100000000000001" customHeight="1" x14ac:dyDescent="0.25">
      <c r="A54" s="14" t="s">
        <v>142</v>
      </c>
      <c r="B54" s="15" t="s">
        <v>40</v>
      </c>
      <c r="C54" s="16">
        <v>19</v>
      </c>
      <c r="D54" s="17" t="s">
        <v>500</v>
      </c>
      <c r="E54" s="18" t="s">
        <v>2303</v>
      </c>
      <c r="F54" s="17" t="s">
        <v>496</v>
      </c>
      <c r="G54" s="89" t="s">
        <v>2396</v>
      </c>
      <c r="H54" s="19" t="s">
        <v>143</v>
      </c>
      <c r="I54" s="20" t="s">
        <v>496</v>
      </c>
      <c r="J54" s="21">
        <v>44409</v>
      </c>
      <c r="K54" s="22" t="s">
        <v>42</v>
      </c>
      <c r="L54" s="23">
        <v>0</v>
      </c>
      <c r="M54" s="22">
        <v>2021</v>
      </c>
      <c r="N54" s="22">
        <v>100</v>
      </c>
      <c r="O54" s="22">
        <v>1</v>
      </c>
      <c r="P54" s="26">
        <v>5</v>
      </c>
      <c r="Q54" s="26">
        <v>15</v>
      </c>
      <c r="R54" s="26">
        <v>40</v>
      </c>
      <c r="S54" s="26">
        <v>60</v>
      </c>
      <c r="T54" s="26">
        <v>75</v>
      </c>
      <c r="U54" s="26">
        <v>100</v>
      </c>
      <c r="V54" s="26">
        <v>100</v>
      </c>
      <c r="W54" s="22">
        <v>5</v>
      </c>
      <c r="X54" s="22">
        <v>10</v>
      </c>
      <c r="Y54" s="22" t="s">
        <v>43</v>
      </c>
      <c r="Z54" s="22"/>
      <c r="AA54" s="22"/>
      <c r="AB54" s="22" t="s">
        <v>43</v>
      </c>
      <c r="AC54" s="25"/>
      <c r="AD54" s="22"/>
      <c r="AE54" s="16">
        <v>2</v>
      </c>
    </row>
    <row r="55" spans="1:31" s="24" customFormat="1" ht="20.100000000000001" customHeight="1" x14ac:dyDescent="0.25">
      <c r="A55" s="14" t="s">
        <v>144</v>
      </c>
      <c r="B55" s="15" t="s">
        <v>40</v>
      </c>
      <c r="C55" s="16">
        <v>19</v>
      </c>
      <c r="D55" s="17" t="s">
        <v>500</v>
      </c>
      <c r="E55" s="18" t="s">
        <v>2303</v>
      </c>
      <c r="F55" s="17" t="s">
        <v>496</v>
      </c>
      <c r="G55" s="89" t="s">
        <v>2397</v>
      </c>
      <c r="H55" s="19" t="s">
        <v>145</v>
      </c>
      <c r="I55" s="20" t="s">
        <v>496</v>
      </c>
      <c r="J55" s="21">
        <v>44409</v>
      </c>
      <c r="K55" s="22" t="s">
        <v>42</v>
      </c>
      <c r="L55" s="23">
        <v>0</v>
      </c>
      <c r="M55" s="22">
        <v>2021</v>
      </c>
      <c r="N55" s="22">
        <v>100</v>
      </c>
      <c r="O55" s="22">
        <v>1</v>
      </c>
      <c r="P55" s="26">
        <v>0</v>
      </c>
      <c r="Q55" s="26">
        <v>20</v>
      </c>
      <c r="R55" s="26">
        <v>40</v>
      </c>
      <c r="S55" s="26">
        <v>65</v>
      </c>
      <c r="T55" s="26">
        <v>90</v>
      </c>
      <c r="U55" s="26">
        <v>100</v>
      </c>
      <c r="V55" s="26">
        <v>100</v>
      </c>
      <c r="W55" s="22">
        <v>0</v>
      </c>
      <c r="X55" s="22">
        <v>15</v>
      </c>
      <c r="Y55" s="22" t="s">
        <v>43</v>
      </c>
      <c r="Z55" s="22"/>
      <c r="AA55" s="22"/>
      <c r="AB55" s="22" t="s">
        <v>43</v>
      </c>
      <c r="AC55" s="25"/>
      <c r="AD55" s="22"/>
      <c r="AE55" s="16">
        <v>2</v>
      </c>
    </row>
    <row r="56" spans="1:31" s="24" customFormat="1" ht="20.100000000000001" customHeight="1" x14ac:dyDescent="0.25">
      <c r="A56" s="14" t="s">
        <v>146</v>
      </c>
      <c r="B56" s="15" t="s">
        <v>40</v>
      </c>
      <c r="C56" s="16">
        <v>20</v>
      </c>
      <c r="D56" s="17" t="s">
        <v>505</v>
      </c>
      <c r="E56" s="18" t="s">
        <v>2304</v>
      </c>
      <c r="F56" s="17" t="s">
        <v>496</v>
      </c>
      <c r="G56" s="89" t="s">
        <v>2398</v>
      </c>
      <c r="H56" s="19" t="s">
        <v>147</v>
      </c>
      <c r="I56" s="20" t="s">
        <v>496</v>
      </c>
      <c r="J56" s="21">
        <v>44454</v>
      </c>
      <c r="K56" s="22" t="s">
        <v>42</v>
      </c>
      <c r="L56" s="23">
        <v>0.1</v>
      </c>
      <c r="M56" s="22">
        <v>2021</v>
      </c>
      <c r="N56" s="22">
        <v>100</v>
      </c>
      <c r="O56" s="22">
        <v>1</v>
      </c>
      <c r="P56" s="26">
        <v>0</v>
      </c>
      <c r="Q56" s="26">
        <v>15</v>
      </c>
      <c r="R56" s="26">
        <v>50</v>
      </c>
      <c r="S56" s="26">
        <v>100</v>
      </c>
      <c r="T56" s="26">
        <v>100</v>
      </c>
      <c r="U56" s="26">
        <v>100</v>
      </c>
      <c r="V56" s="26">
        <v>100</v>
      </c>
      <c r="W56" s="22">
        <v>0</v>
      </c>
      <c r="X56" s="22">
        <v>10</v>
      </c>
      <c r="Y56" s="22" t="s">
        <v>43</v>
      </c>
      <c r="Z56" s="22"/>
      <c r="AA56" s="22"/>
      <c r="AB56" s="22" t="s">
        <v>43</v>
      </c>
      <c r="AC56" s="25"/>
      <c r="AD56" s="22"/>
      <c r="AE56" s="16">
        <v>2</v>
      </c>
    </row>
    <row r="57" spans="1:31" s="24" customFormat="1" ht="20.100000000000001" customHeight="1" x14ac:dyDescent="0.25">
      <c r="A57" s="14" t="s">
        <v>148</v>
      </c>
      <c r="B57" s="15" t="s">
        <v>40</v>
      </c>
      <c r="C57" s="16">
        <v>20</v>
      </c>
      <c r="D57" s="17" t="s">
        <v>505</v>
      </c>
      <c r="E57" s="18" t="s">
        <v>2304</v>
      </c>
      <c r="F57" s="17" t="s">
        <v>496</v>
      </c>
      <c r="G57" s="89" t="s">
        <v>2399</v>
      </c>
      <c r="H57" s="19" t="s">
        <v>149</v>
      </c>
      <c r="I57" s="20" t="s">
        <v>496</v>
      </c>
      <c r="J57" s="21">
        <v>44454</v>
      </c>
      <c r="K57" s="22" t="s">
        <v>42</v>
      </c>
      <c r="L57" s="23">
        <v>0.1</v>
      </c>
      <c r="M57" s="22">
        <v>2021</v>
      </c>
      <c r="N57" s="22">
        <v>100</v>
      </c>
      <c r="O57" s="22">
        <v>1</v>
      </c>
      <c r="P57" s="26">
        <v>0</v>
      </c>
      <c r="Q57" s="26">
        <v>0</v>
      </c>
      <c r="R57" s="26">
        <v>50</v>
      </c>
      <c r="S57" s="26">
        <v>100</v>
      </c>
      <c r="T57" s="26">
        <v>100</v>
      </c>
      <c r="U57" s="26">
        <v>100</v>
      </c>
      <c r="V57" s="26">
        <v>100</v>
      </c>
      <c r="W57" s="22">
        <v>0</v>
      </c>
      <c r="X57" s="22">
        <v>5</v>
      </c>
      <c r="Y57" s="22" t="s">
        <v>43</v>
      </c>
      <c r="Z57" s="22"/>
      <c r="AA57" s="22"/>
      <c r="AB57" s="22" t="s">
        <v>43</v>
      </c>
      <c r="AC57" s="25"/>
      <c r="AD57" s="22"/>
      <c r="AE57" s="16">
        <v>1</v>
      </c>
    </row>
    <row r="58" spans="1:31" s="24" customFormat="1" ht="20.100000000000001" customHeight="1" x14ac:dyDescent="0.25">
      <c r="A58" s="14" t="s">
        <v>150</v>
      </c>
      <c r="B58" s="15" t="s">
        <v>40</v>
      </c>
      <c r="C58" s="16">
        <v>20</v>
      </c>
      <c r="D58" s="17" t="s">
        <v>505</v>
      </c>
      <c r="E58" s="18" t="s">
        <v>2304</v>
      </c>
      <c r="F58" s="17" t="s">
        <v>496</v>
      </c>
      <c r="G58" s="89" t="s">
        <v>2400</v>
      </c>
      <c r="H58" s="19" t="s">
        <v>151</v>
      </c>
      <c r="I58" s="20" t="s">
        <v>496</v>
      </c>
      <c r="J58" s="21">
        <v>44454</v>
      </c>
      <c r="K58" s="22" t="s">
        <v>42</v>
      </c>
      <c r="L58" s="23">
        <v>0</v>
      </c>
      <c r="M58" s="22">
        <v>2021</v>
      </c>
      <c r="N58" s="26">
        <v>100</v>
      </c>
      <c r="O58" s="22">
        <v>1</v>
      </c>
      <c r="P58" s="26">
        <v>0</v>
      </c>
      <c r="Q58" s="26">
        <v>25</v>
      </c>
      <c r="R58" s="26">
        <v>50</v>
      </c>
      <c r="S58" s="26">
        <v>75</v>
      </c>
      <c r="T58" s="26">
        <v>100</v>
      </c>
      <c r="U58" s="26">
        <v>100</v>
      </c>
      <c r="V58" s="26">
        <v>100</v>
      </c>
      <c r="W58" s="22">
        <v>0</v>
      </c>
      <c r="X58" s="22">
        <v>10</v>
      </c>
      <c r="Y58" s="22" t="s">
        <v>43</v>
      </c>
      <c r="Z58" s="22"/>
      <c r="AA58" s="22"/>
      <c r="AB58" s="22" t="s">
        <v>43</v>
      </c>
      <c r="AC58" s="25"/>
      <c r="AD58" s="22"/>
      <c r="AE58" s="16">
        <v>3</v>
      </c>
    </row>
    <row r="59" spans="1:31" s="24" customFormat="1" ht="20.100000000000001" customHeight="1" x14ac:dyDescent="0.25">
      <c r="A59" s="16" t="s">
        <v>152</v>
      </c>
      <c r="B59" s="15" t="s">
        <v>40</v>
      </c>
      <c r="C59" s="16">
        <v>21</v>
      </c>
      <c r="D59" s="17" t="s">
        <v>685</v>
      </c>
      <c r="E59" s="18" t="s">
        <v>2342</v>
      </c>
      <c r="F59" s="17" t="s">
        <v>480</v>
      </c>
      <c r="G59" s="89" t="s">
        <v>2401</v>
      </c>
      <c r="H59" s="27" t="s">
        <v>153</v>
      </c>
      <c r="I59" s="20" t="s">
        <v>480</v>
      </c>
      <c r="J59" s="21">
        <v>44409</v>
      </c>
      <c r="K59" s="22" t="s">
        <v>42</v>
      </c>
      <c r="L59" s="23">
        <v>0</v>
      </c>
      <c r="M59" s="22">
        <v>2020</v>
      </c>
      <c r="N59" s="26">
        <v>7</v>
      </c>
      <c r="O59" s="22">
        <v>7</v>
      </c>
      <c r="P59" s="26">
        <v>0</v>
      </c>
      <c r="Q59" s="26">
        <v>0</v>
      </c>
      <c r="R59" s="26">
        <v>3</v>
      </c>
      <c r="S59" s="26">
        <v>3</v>
      </c>
      <c r="T59" s="26">
        <v>7</v>
      </c>
      <c r="U59" s="26">
        <v>7</v>
      </c>
      <c r="V59" s="26">
        <v>7</v>
      </c>
      <c r="W59" s="22">
        <v>0</v>
      </c>
      <c r="X59" s="22">
        <v>0</v>
      </c>
      <c r="Y59" s="22" t="s">
        <v>43</v>
      </c>
      <c r="Z59" s="22"/>
      <c r="AA59" s="22"/>
      <c r="AB59" s="22" t="s">
        <v>43</v>
      </c>
      <c r="AC59" s="25"/>
      <c r="AD59" s="22"/>
      <c r="AE59" s="16">
        <v>1</v>
      </c>
    </row>
    <row r="60" spans="1:31" s="24" customFormat="1" ht="20.100000000000001" customHeight="1" x14ac:dyDescent="0.25">
      <c r="A60" s="16" t="s">
        <v>154</v>
      </c>
      <c r="B60" s="15" t="s">
        <v>40</v>
      </c>
      <c r="C60" s="16">
        <v>21</v>
      </c>
      <c r="D60" s="17" t="s">
        <v>685</v>
      </c>
      <c r="E60" s="18" t="s">
        <v>2342</v>
      </c>
      <c r="F60" s="17" t="s">
        <v>480</v>
      </c>
      <c r="G60" s="89" t="s">
        <v>2402</v>
      </c>
      <c r="H60" s="27" t="s">
        <v>155</v>
      </c>
      <c r="I60" s="20" t="s">
        <v>480</v>
      </c>
      <c r="J60" s="21">
        <v>44409</v>
      </c>
      <c r="K60" s="22" t="s">
        <v>42</v>
      </c>
      <c r="L60" s="23">
        <v>2</v>
      </c>
      <c r="M60" s="22">
        <v>2021</v>
      </c>
      <c r="N60" s="26">
        <v>7</v>
      </c>
      <c r="O60" s="22">
        <v>7</v>
      </c>
      <c r="P60" s="26">
        <v>0</v>
      </c>
      <c r="Q60" s="26">
        <v>0</v>
      </c>
      <c r="R60" s="26">
        <v>7</v>
      </c>
      <c r="S60" s="26">
        <v>7</v>
      </c>
      <c r="T60" s="26">
        <v>7</v>
      </c>
      <c r="U60" s="26">
        <v>7</v>
      </c>
      <c r="V60" s="26">
        <v>7</v>
      </c>
      <c r="W60" s="22">
        <v>0</v>
      </c>
      <c r="X60" s="22">
        <v>0</v>
      </c>
      <c r="Y60" s="22" t="s">
        <v>43</v>
      </c>
      <c r="Z60" s="22"/>
      <c r="AA60" s="22"/>
      <c r="AB60" s="22" t="s">
        <v>43</v>
      </c>
      <c r="AC60" s="25"/>
      <c r="AD60" s="22"/>
      <c r="AE60" s="16">
        <v>1</v>
      </c>
    </row>
    <row r="61" spans="1:31" s="24" customFormat="1" ht="20.100000000000001" customHeight="1" x14ac:dyDescent="0.25">
      <c r="A61" s="14" t="s">
        <v>156</v>
      </c>
      <c r="B61" s="15" t="s">
        <v>40</v>
      </c>
      <c r="C61" s="16">
        <v>21</v>
      </c>
      <c r="D61" s="17" t="s">
        <v>685</v>
      </c>
      <c r="E61" s="18" t="s">
        <v>2342</v>
      </c>
      <c r="F61" s="17" t="s">
        <v>480</v>
      </c>
      <c r="G61" s="89" t="s">
        <v>2403</v>
      </c>
      <c r="H61" s="19" t="s">
        <v>157</v>
      </c>
      <c r="I61" s="20" t="s">
        <v>480</v>
      </c>
      <c r="J61" s="21">
        <v>44409</v>
      </c>
      <c r="K61" s="22" t="s">
        <v>42</v>
      </c>
      <c r="L61" s="23">
        <v>0</v>
      </c>
      <c r="M61" s="22">
        <v>2020</v>
      </c>
      <c r="N61" s="22">
        <v>10000</v>
      </c>
      <c r="O61" s="22">
        <v>10000</v>
      </c>
      <c r="P61" s="22">
        <v>4000</v>
      </c>
      <c r="Q61" s="22">
        <v>5500</v>
      </c>
      <c r="R61" s="22">
        <v>7000</v>
      </c>
      <c r="S61" s="22">
        <v>8500</v>
      </c>
      <c r="T61" s="22">
        <v>10000</v>
      </c>
      <c r="U61" s="22">
        <v>10000</v>
      </c>
      <c r="V61" s="22">
        <v>10000</v>
      </c>
      <c r="W61" s="22">
        <v>5789</v>
      </c>
      <c r="X61" s="22">
        <v>7289</v>
      </c>
      <c r="Y61" s="22" t="s">
        <v>43</v>
      </c>
      <c r="Z61" s="22"/>
      <c r="AA61" s="22"/>
      <c r="AB61" s="22" t="s">
        <v>43</v>
      </c>
      <c r="AC61" s="25"/>
      <c r="AD61" s="22"/>
      <c r="AE61" s="16">
        <v>3</v>
      </c>
    </row>
    <row r="62" spans="1:31" s="24" customFormat="1" ht="20.100000000000001" customHeight="1" x14ac:dyDescent="0.25">
      <c r="A62" s="14" t="s">
        <v>158</v>
      </c>
      <c r="B62" s="15" t="s">
        <v>40</v>
      </c>
      <c r="C62" s="16">
        <v>22</v>
      </c>
      <c r="D62" s="17" t="s">
        <v>690</v>
      </c>
      <c r="E62" s="18" t="s">
        <v>2343</v>
      </c>
      <c r="F62" s="17" t="s">
        <v>411</v>
      </c>
      <c r="G62" s="89" t="s">
        <v>2404</v>
      </c>
      <c r="H62" s="19" t="s">
        <v>159</v>
      </c>
      <c r="I62" s="20" t="s">
        <v>411</v>
      </c>
      <c r="J62" s="21">
        <v>44409</v>
      </c>
      <c r="K62" s="22" t="s">
        <v>42</v>
      </c>
      <c r="L62" s="23">
        <v>0</v>
      </c>
      <c r="M62" s="22">
        <v>2021</v>
      </c>
      <c r="N62" s="26">
        <v>100</v>
      </c>
      <c r="O62" s="22">
        <v>1</v>
      </c>
      <c r="P62" s="26">
        <v>10</v>
      </c>
      <c r="Q62" s="26">
        <v>20</v>
      </c>
      <c r="R62" s="26">
        <v>45</v>
      </c>
      <c r="S62" s="26">
        <v>45</v>
      </c>
      <c r="T62" s="26">
        <v>85</v>
      </c>
      <c r="U62" s="26">
        <v>100</v>
      </c>
      <c r="V62" s="26">
        <v>100</v>
      </c>
      <c r="W62" s="22">
        <v>10</v>
      </c>
      <c r="X62" s="22">
        <v>20</v>
      </c>
      <c r="Y62" s="22" t="s">
        <v>43</v>
      </c>
      <c r="Z62" s="22"/>
      <c r="AA62" s="22"/>
      <c r="AB62" s="22" t="s">
        <v>43</v>
      </c>
      <c r="AC62" s="25"/>
      <c r="AD62" s="22"/>
      <c r="AE62" s="16">
        <v>2</v>
      </c>
    </row>
    <row r="63" spans="1:31" s="24" customFormat="1" ht="20.100000000000001" customHeight="1" x14ac:dyDescent="0.25">
      <c r="A63" s="14" t="s">
        <v>160</v>
      </c>
      <c r="B63" s="15" t="s">
        <v>40</v>
      </c>
      <c r="C63" s="16">
        <v>22</v>
      </c>
      <c r="D63" s="17" t="s">
        <v>690</v>
      </c>
      <c r="E63" s="18" t="s">
        <v>2343</v>
      </c>
      <c r="F63" s="17" t="s">
        <v>411</v>
      </c>
      <c r="G63" s="89" t="s">
        <v>2405</v>
      </c>
      <c r="H63" s="19" t="s">
        <v>161</v>
      </c>
      <c r="I63" s="20" t="s">
        <v>411</v>
      </c>
      <c r="J63" s="21">
        <v>44409</v>
      </c>
      <c r="K63" s="22" t="s">
        <v>42</v>
      </c>
      <c r="L63" s="23">
        <v>10</v>
      </c>
      <c r="M63" s="22">
        <v>2021</v>
      </c>
      <c r="N63" s="26">
        <v>15</v>
      </c>
      <c r="O63" s="22">
        <v>15</v>
      </c>
      <c r="P63" s="26">
        <v>15</v>
      </c>
      <c r="Q63" s="26">
        <v>7</v>
      </c>
      <c r="R63" s="26">
        <v>15</v>
      </c>
      <c r="S63" s="26">
        <v>7</v>
      </c>
      <c r="T63" s="26">
        <v>15</v>
      </c>
      <c r="U63" s="26">
        <v>15</v>
      </c>
      <c r="V63" s="26">
        <v>15</v>
      </c>
      <c r="W63" s="22">
        <v>15</v>
      </c>
      <c r="X63" s="22">
        <v>7</v>
      </c>
      <c r="Y63" s="22" t="s">
        <v>43</v>
      </c>
      <c r="Z63" s="22"/>
      <c r="AA63" s="22"/>
      <c r="AB63" s="22" t="s">
        <v>43</v>
      </c>
      <c r="AC63" s="25"/>
      <c r="AD63" s="22"/>
      <c r="AE63" s="16">
        <v>2</v>
      </c>
    </row>
    <row r="64" spans="1:31" s="24" customFormat="1" ht="20.100000000000001" customHeight="1" x14ac:dyDescent="0.25">
      <c r="A64" s="16" t="s">
        <v>162</v>
      </c>
      <c r="B64" s="15" t="s">
        <v>40</v>
      </c>
      <c r="C64" s="16">
        <v>22</v>
      </c>
      <c r="D64" s="17" t="s">
        <v>690</v>
      </c>
      <c r="E64" s="18" t="s">
        <v>2343</v>
      </c>
      <c r="F64" s="17" t="s">
        <v>411</v>
      </c>
      <c r="G64" s="89" t="s">
        <v>2406</v>
      </c>
      <c r="H64" s="27" t="s">
        <v>163</v>
      </c>
      <c r="I64" s="20" t="s">
        <v>411</v>
      </c>
      <c r="J64" s="21">
        <v>44409</v>
      </c>
      <c r="K64" s="22" t="s">
        <v>42</v>
      </c>
      <c r="L64" s="23">
        <v>10</v>
      </c>
      <c r="M64" s="22">
        <v>2020</v>
      </c>
      <c r="N64" s="26">
        <v>15</v>
      </c>
      <c r="O64" s="22">
        <v>15</v>
      </c>
      <c r="P64" s="26">
        <v>15</v>
      </c>
      <c r="Q64" s="26">
        <v>7</v>
      </c>
      <c r="R64" s="26">
        <v>15</v>
      </c>
      <c r="S64" s="26">
        <v>7</v>
      </c>
      <c r="T64" s="26">
        <v>15</v>
      </c>
      <c r="U64" s="26">
        <v>15</v>
      </c>
      <c r="V64" s="26">
        <v>15</v>
      </c>
      <c r="W64" s="22">
        <v>15</v>
      </c>
      <c r="X64" s="22">
        <v>7</v>
      </c>
      <c r="Y64" s="22" t="s">
        <v>43</v>
      </c>
      <c r="Z64" s="22"/>
      <c r="AA64" s="22"/>
      <c r="AB64" s="22" t="s">
        <v>43</v>
      </c>
      <c r="AC64" s="25"/>
      <c r="AD64" s="22"/>
      <c r="AE64" s="16">
        <v>2</v>
      </c>
    </row>
    <row r="65" spans="1:31" s="24" customFormat="1" ht="20.100000000000001" customHeight="1" x14ac:dyDescent="0.25">
      <c r="A65" s="14" t="s">
        <v>164</v>
      </c>
      <c r="B65" s="15" t="s">
        <v>40</v>
      </c>
      <c r="C65" s="16">
        <v>23</v>
      </c>
      <c r="D65" s="17" t="s">
        <v>510</v>
      </c>
      <c r="E65" s="18" t="s">
        <v>2305</v>
      </c>
      <c r="F65" s="17" t="s">
        <v>441</v>
      </c>
      <c r="G65" s="89" t="s">
        <v>2407</v>
      </c>
      <c r="H65" s="19" t="s">
        <v>165</v>
      </c>
      <c r="I65" s="20" t="s">
        <v>441</v>
      </c>
      <c r="J65" s="21">
        <v>44409</v>
      </c>
      <c r="K65" s="22" t="s">
        <v>42</v>
      </c>
      <c r="L65" s="23">
        <v>0</v>
      </c>
      <c r="M65" s="22">
        <v>2021</v>
      </c>
      <c r="N65" s="22">
        <v>100</v>
      </c>
      <c r="O65" s="22">
        <v>1</v>
      </c>
      <c r="P65" s="22">
        <v>30</v>
      </c>
      <c r="Q65" s="22">
        <v>65</v>
      </c>
      <c r="R65" s="22">
        <v>100</v>
      </c>
      <c r="S65" s="22">
        <v>100</v>
      </c>
      <c r="T65" s="22">
        <v>100</v>
      </c>
      <c r="U65" s="22">
        <v>100</v>
      </c>
      <c r="V65" s="22">
        <v>100</v>
      </c>
      <c r="W65" s="22">
        <v>0</v>
      </c>
      <c r="X65" s="22">
        <v>35</v>
      </c>
      <c r="Y65" s="22" t="s">
        <v>43</v>
      </c>
      <c r="Z65" s="22"/>
      <c r="AA65" s="22"/>
      <c r="AB65" s="22" t="s">
        <v>43</v>
      </c>
      <c r="AC65" s="25"/>
      <c r="AD65" s="22"/>
      <c r="AE65" s="16">
        <v>3</v>
      </c>
    </row>
    <row r="66" spans="1:31" s="24" customFormat="1" ht="20.100000000000001" customHeight="1" x14ac:dyDescent="0.25">
      <c r="A66" s="14" t="s">
        <v>166</v>
      </c>
      <c r="B66" s="15" t="s">
        <v>40</v>
      </c>
      <c r="C66" s="16">
        <v>23</v>
      </c>
      <c r="D66" s="17" t="s">
        <v>510</v>
      </c>
      <c r="E66" s="18" t="s">
        <v>2305</v>
      </c>
      <c r="F66" s="17" t="s">
        <v>441</v>
      </c>
      <c r="G66" s="89" t="s">
        <v>2408</v>
      </c>
      <c r="H66" s="19" t="s">
        <v>167</v>
      </c>
      <c r="I66" s="20" t="s">
        <v>441</v>
      </c>
      <c r="J66" s="21">
        <v>44409</v>
      </c>
      <c r="K66" s="22" t="s">
        <v>42</v>
      </c>
      <c r="L66" s="23">
        <v>0</v>
      </c>
      <c r="M66" s="22">
        <v>2021</v>
      </c>
      <c r="N66" s="26">
        <v>100</v>
      </c>
      <c r="O66" s="22">
        <v>1</v>
      </c>
      <c r="P66" s="26">
        <v>0</v>
      </c>
      <c r="Q66" s="26">
        <v>15</v>
      </c>
      <c r="R66" s="26">
        <v>30</v>
      </c>
      <c r="S66" s="26">
        <v>65</v>
      </c>
      <c r="T66" s="26">
        <v>100</v>
      </c>
      <c r="U66" s="26">
        <v>100</v>
      </c>
      <c r="V66" s="26">
        <v>100</v>
      </c>
      <c r="W66" s="22">
        <v>0</v>
      </c>
      <c r="X66" s="22">
        <v>0</v>
      </c>
      <c r="Y66" s="22" t="s">
        <v>43</v>
      </c>
      <c r="Z66" s="22"/>
      <c r="AA66" s="22"/>
      <c r="AB66" s="22" t="s">
        <v>43</v>
      </c>
      <c r="AC66" s="25"/>
      <c r="AD66" s="22"/>
      <c r="AE66" s="16">
        <v>3</v>
      </c>
    </row>
    <row r="67" spans="1:31" s="24" customFormat="1" ht="20.100000000000001" customHeight="1" x14ac:dyDescent="0.25">
      <c r="A67" s="14" t="s">
        <v>168</v>
      </c>
      <c r="B67" s="15" t="s">
        <v>40</v>
      </c>
      <c r="C67" s="16">
        <v>23</v>
      </c>
      <c r="D67" s="17" t="s">
        <v>510</v>
      </c>
      <c r="E67" s="18" t="s">
        <v>2305</v>
      </c>
      <c r="F67" s="17" t="s">
        <v>441</v>
      </c>
      <c r="G67" s="89" t="s">
        <v>2409</v>
      </c>
      <c r="H67" s="19" t="s">
        <v>169</v>
      </c>
      <c r="I67" s="20" t="s">
        <v>441</v>
      </c>
      <c r="J67" s="21">
        <v>44409</v>
      </c>
      <c r="K67" s="22" t="s">
        <v>42</v>
      </c>
      <c r="L67" s="23">
        <v>0</v>
      </c>
      <c r="M67" s="22">
        <v>2021</v>
      </c>
      <c r="N67" s="26">
        <v>100</v>
      </c>
      <c r="O67" s="22">
        <v>1</v>
      </c>
      <c r="P67" s="26">
        <v>25</v>
      </c>
      <c r="Q67" s="26">
        <v>50</v>
      </c>
      <c r="R67" s="26">
        <v>75</v>
      </c>
      <c r="S67" s="26">
        <v>100</v>
      </c>
      <c r="T67" s="26">
        <v>100</v>
      </c>
      <c r="U67" s="26">
        <v>100</v>
      </c>
      <c r="V67" s="26">
        <v>100</v>
      </c>
      <c r="W67" s="22">
        <v>0</v>
      </c>
      <c r="X67" s="22">
        <v>20</v>
      </c>
      <c r="Y67" s="22" t="s">
        <v>43</v>
      </c>
      <c r="Z67" s="22"/>
      <c r="AA67" s="22"/>
      <c r="AB67" s="22" t="s">
        <v>43</v>
      </c>
      <c r="AC67" s="25"/>
      <c r="AD67" s="22"/>
      <c r="AE67" s="16">
        <v>3</v>
      </c>
    </row>
    <row r="68" spans="1:31" s="24" customFormat="1" ht="20.100000000000001" customHeight="1" x14ac:dyDescent="0.25">
      <c r="A68" s="14" t="s">
        <v>170</v>
      </c>
      <c r="B68" s="15" t="s">
        <v>40</v>
      </c>
      <c r="C68" s="16">
        <v>24</v>
      </c>
      <c r="D68" s="17" t="s">
        <v>514</v>
      </c>
      <c r="E68" s="18" t="s">
        <v>2306</v>
      </c>
      <c r="F68" s="17" t="s">
        <v>516</v>
      </c>
      <c r="G68" s="89" t="s">
        <v>2410</v>
      </c>
      <c r="H68" s="19" t="s">
        <v>171</v>
      </c>
      <c r="I68" s="20" t="s">
        <v>516</v>
      </c>
      <c r="J68" s="21">
        <v>44409</v>
      </c>
      <c r="K68" s="22" t="s">
        <v>42</v>
      </c>
      <c r="L68" s="23">
        <v>0</v>
      </c>
      <c r="M68" s="22">
        <v>2019</v>
      </c>
      <c r="N68" s="26">
        <v>50</v>
      </c>
      <c r="O68" s="22">
        <v>0.5</v>
      </c>
      <c r="P68" s="26">
        <v>10</v>
      </c>
      <c r="Q68" s="26">
        <v>20</v>
      </c>
      <c r="R68" s="26">
        <v>35</v>
      </c>
      <c r="S68" s="26">
        <v>45</v>
      </c>
      <c r="T68" s="26">
        <v>50</v>
      </c>
      <c r="U68" s="26">
        <v>50</v>
      </c>
      <c r="V68" s="26">
        <v>50</v>
      </c>
      <c r="W68" s="22">
        <v>30</v>
      </c>
      <c r="X68" s="22">
        <v>59</v>
      </c>
      <c r="Y68" s="22" t="s">
        <v>43</v>
      </c>
      <c r="Z68" s="22"/>
      <c r="AA68" s="22"/>
      <c r="AB68" s="22" t="s">
        <v>43</v>
      </c>
      <c r="AC68" s="25"/>
      <c r="AD68" s="22"/>
      <c r="AE68" s="16">
        <v>2</v>
      </c>
    </row>
    <row r="69" spans="1:31" s="24" customFormat="1" ht="20.100000000000001" customHeight="1" x14ac:dyDescent="0.25">
      <c r="A69" s="14" t="s">
        <v>172</v>
      </c>
      <c r="B69" s="15" t="s">
        <v>40</v>
      </c>
      <c r="C69" s="16">
        <v>24</v>
      </c>
      <c r="D69" s="17" t="s">
        <v>514</v>
      </c>
      <c r="E69" s="18" t="s">
        <v>2306</v>
      </c>
      <c r="F69" s="17" t="s">
        <v>516</v>
      </c>
      <c r="G69" s="89" t="s">
        <v>2411</v>
      </c>
      <c r="H69" s="19" t="s">
        <v>173</v>
      </c>
      <c r="I69" s="20" t="s">
        <v>516</v>
      </c>
      <c r="J69" s="21">
        <v>44409</v>
      </c>
      <c r="K69" s="22" t="s">
        <v>42</v>
      </c>
      <c r="L69" s="23">
        <v>0.85</v>
      </c>
      <c r="M69" s="22">
        <v>2019</v>
      </c>
      <c r="N69" s="26">
        <v>95</v>
      </c>
      <c r="O69" s="28">
        <v>0.94999998807907104</v>
      </c>
      <c r="P69" s="26">
        <v>65</v>
      </c>
      <c r="Q69" s="26">
        <v>75</v>
      </c>
      <c r="R69" s="26">
        <v>80</v>
      </c>
      <c r="S69" s="26">
        <v>90</v>
      </c>
      <c r="T69" s="26">
        <v>95</v>
      </c>
      <c r="U69" s="26">
        <v>95</v>
      </c>
      <c r="V69" s="26">
        <v>95</v>
      </c>
      <c r="W69" s="22">
        <v>0</v>
      </c>
      <c r="X69" s="22">
        <v>62</v>
      </c>
      <c r="Y69" s="22" t="s">
        <v>43</v>
      </c>
      <c r="Z69" s="22"/>
      <c r="AA69" s="22"/>
      <c r="AB69" s="22" t="s">
        <v>43</v>
      </c>
      <c r="AC69" s="25"/>
      <c r="AD69" s="22"/>
      <c r="AE69" s="16">
        <v>2</v>
      </c>
    </row>
    <row r="70" spans="1:31" s="24" customFormat="1" ht="20.100000000000001" customHeight="1" x14ac:dyDescent="0.25">
      <c r="A70" s="14" t="s">
        <v>174</v>
      </c>
      <c r="B70" s="15" t="s">
        <v>40</v>
      </c>
      <c r="C70" s="16">
        <v>24</v>
      </c>
      <c r="D70" s="17" t="s">
        <v>514</v>
      </c>
      <c r="E70" s="18" t="s">
        <v>2306</v>
      </c>
      <c r="F70" s="17" t="s">
        <v>516</v>
      </c>
      <c r="G70" s="89" t="s">
        <v>2412</v>
      </c>
      <c r="H70" s="19" t="s">
        <v>175</v>
      </c>
      <c r="I70" s="20" t="s">
        <v>516</v>
      </c>
      <c r="J70" s="21">
        <v>44409</v>
      </c>
      <c r="K70" s="22" t="s">
        <v>42</v>
      </c>
      <c r="L70" s="23">
        <v>0</v>
      </c>
      <c r="M70" s="22">
        <v>2019</v>
      </c>
      <c r="N70" s="26">
        <v>13</v>
      </c>
      <c r="O70" s="22">
        <v>13</v>
      </c>
      <c r="P70" s="26">
        <v>0</v>
      </c>
      <c r="Q70" s="26">
        <v>3</v>
      </c>
      <c r="R70" s="26">
        <v>6</v>
      </c>
      <c r="S70" s="26">
        <v>9</v>
      </c>
      <c r="T70" s="26">
        <v>13</v>
      </c>
      <c r="U70" s="26">
        <v>13</v>
      </c>
      <c r="V70" s="26">
        <v>13</v>
      </c>
      <c r="W70" s="22">
        <v>0</v>
      </c>
      <c r="X70" s="22">
        <v>13</v>
      </c>
      <c r="Y70" s="22" t="s">
        <v>43</v>
      </c>
      <c r="Z70" s="22"/>
      <c r="AA70" s="22"/>
      <c r="AB70" s="22" t="s">
        <v>43</v>
      </c>
      <c r="AC70" s="25"/>
      <c r="AD70" s="22"/>
      <c r="AE70" s="16">
        <v>3</v>
      </c>
    </row>
    <row r="71" spans="1:31" s="24" customFormat="1" ht="20.100000000000001" customHeight="1" x14ac:dyDescent="0.25">
      <c r="A71" s="14" t="s">
        <v>176</v>
      </c>
      <c r="B71" s="15" t="s">
        <v>40</v>
      </c>
      <c r="C71" s="16">
        <v>25</v>
      </c>
      <c r="D71" s="17" t="s">
        <v>520</v>
      </c>
      <c r="E71" s="18" t="s">
        <v>2307</v>
      </c>
      <c r="F71" s="17" t="s">
        <v>522</v>
      </c>
      <c r="G71" s="89" t="s">
        <v>2413</v>
      </c>
      <c r="H71" s="19" t="s">
        <v>177</v>
      </c>
      <c r="I71" s="20" t="s">
        <v>522</v>
      </c>
      <c r="J71" s="21">
        <v>44409</v>
      </c>
      <c r="K71" s="22" t="s">
        <v>42</v>
      </c>
      <c r="L71" s="23">
        <v>0</v>
      </c>
      <c r="M71" s="22">
        <v>2021</v>
      </c>
      <c r="N71" s="26">
        <v>100</v>
      </c>
      <c r="O71" s="22">
        <v>1</v>
      </c>
      <c r="P71" s="26">
        <v>0</v>
      </c>
      <c r="Q71" s="26">
        <v>0</v>
      </c>
      <c r="R71" s="26">
        <v>40</v>
      </c>
      <c r="S71" s="26">
        <v>40</v>
      </c>
      <c r="T71" s="26">
        <v>80</v>
      </c>
      <c r="U71" s="26">
        <v>100</v>
      </c>
      <c r="V71" s="26">
        <v>100</v>
      </c>
      <c r="W71" s="22">
        <v>0</v>
      </c>
      <c r="X71" s="22">
        <v>0</v>
      </c>
      <c r="Y71" s="22" t="s">
        <v>43</v>
      </c>
      <c r="Z71" s="22"/>
      <c r="AA71" s="22"/>
      <c r="AB71" s="22" t="s">
        <v>43</v>
      </c>
      <c r="AC71" s="25"/>
      <c r="AD71" s="22"/>
      <c r="AE71" s="16">
        <v>1</v>
      </c>
    </row>
    <row r="72" spans="1:31" s="24" customFormat="1" ht="20.100000000000001" customHeight="1" x14ac:dyDescent="0.25">
      <c r="A72" s="14" t="s">
        <v>178</v>
      </c>
      <c r="B72" s="15" t="s">
        <v>40</v>
      </c>
      <c r="C72" s="16">
        <v>26</v>
      </c>
      <c r="D72" s="17" t="s">
        <v>695</v>
      </c>
      <c r="E72" s="18" t="s">
        <v>2344</v>
      </c>
      <c r="F72" s="17" t="s">
        <v>522</v>
      </c>
      <c r="G72" s="89" t="s">
        <v>2414</v>
      </c>
      <c r="H72" s="19" t="s">
        <v>179</v>
      </c>
      <c r="I72" s="20" t="s">
        <v>522</v>
      </c>
      <c r="J72" s="21">
        <v>44440</v>
      </c>
      <c r="K72" s="22" t="s">
        <v>42</v>
      </c>
      <c r="L72" s="23">
        <v>0</v>
      </c>
      <c r="M72" s="22">
        <v>2020</v>
      </c>
      <c r="N72" s="26">
        <v>44</v>
      </c>
      <c r="O72" s="28">
        <v>0.43999999761581421</v>
      </c>
      <c r="P72" s="26">
        <v>17</v>
      </c>
      <c r="Q72" s="26">
        <v>23</v>
      </c>
      <c r="R72" s="26">
        <v>33</v>
      </c>
      <c r="S72" s="26">
        <v>35</v>
      </c>
      <c r="T72" s="26">
        <v>44</v>
      </c>
      <c r="U72" s="26">
        <v>44</v>
      </c>
      <c r="V72" s="26">
        <v>44</v>
      </c>
      <c r="W72" s="22">
        <v>9</v>
      </c>
      <c r="X72" s="22">
        <v>1</v>
      </c>
      <c r="Y72" s="22" t="s">
        <v>43</v>
      </c>
      <c r="Z72" s="22"/>
      <c r="AA72" s="22"/>
      <c r="AB72" s="22" t="s">
        <v>43</v>
      </c>
      <c r="AC72" s="25"/>
      <c r="AD72" s="22"/>
      <c r="AE72" s="16">
        <v>2</v>
      </c>
    </row>
    <row r="73" spans="1:31" s="24" customFormat="1" ht="20.100000000000001" customHeight="1" x14ac:dyDescent="0.25">
      <c r="A73" s="14" t="s">
        <v>180</v>
      </c>
      <c r="B73" s="15" t="s">
        <v>40</v>
      </c>
      <c r="C73" s="16">
        <v>26</v>
      </c>
      <c r="D73" s="17" t="s">
        <v>695</v>
      </c>
      <c r="E73" s="18" t="s">
        <v>2344</v>
      </c>
      <c r="F73" s="17" t="s">
        <v>522</v>
      </c>
      <c r="G73" s="89" t="s">
        <v>2415</v>
      </c>
      <c r="H73" s="19" t="s">
        <v>181</v>
      </c>
      <c r="I73" s="20" t="s">
        <v>522</v>
      </c>
      <c r="J73" s="21">
        <v>44440</v>
      </c>
      <c r="K73" s="22" t="s">
        <v>42</v>
      </c>
      <c r="L73" s="23">
        <v>0.16</v>
      </c>
      <c r="M73" s="22">
        <v>2020</v>
      </c>
      <c r="N73" s="26">
        <v>70</v>
      </c>
      <c r="O73" s="28">
        <v>0.69999998807907104</v>
      </c>
      <c r="P73" s="26">
        <v>16</v>
      </c>
      <c r="Q73" s="26">
        <v>20</v>
      </c>
      <c r="R73" s="26">
        <v>45</v>
      </c>
      <c r="S73" s="26">
        <v>45</v>
      </c>
      <c r="T73" s="26">
        <v>70</v>
      </c>
      <c r="U73" s="26">
        <v>70</v>
      </c>
      <c r="V73" s="26">
        <v>70</v>
      </c>
      <c r="W73" s="22">
        <v>16</v>
      </c>
      <c r="X73" s="22">
        <v>18</v>
      </c>
      <c r="Y73" s="22" t="s">
        <v>43</v>
      </c>
      <c r="Z73" s="22"/>
      <c r="AA73" s="22"/>
      <c r="AB73" s="22" t="s">
        <v>43</v>
      </c>
      <c r="AC73" s="25"/>
      <c r="AD73" s="22"/>
      <c r="AE73" s="16">
        <v>2</v>
      </c>
    </row>
    <row r="74" spans="1:31" s="24" customFormat="1" ht="20.100000000000001" customHeight="1" x14ac:dyDescent="0.25">
      <c r="A74" s="14" t="s">
        <v>182</v>
      </c>
      <c r="B74" s="15" t="s">
        <v>40</v>
      </c>
      <c r="C74" s="16">
        <v>27</v>
      </c>
      <c r="D74" s="17" t="s">
        <v>526</v>
      </c>
      <c r="E74" s="18" t="s">
        <v>2308</v>
      </c>
      <c r="F74" s="17" t="s">
        <v>528</v>
      </c>
      <c r="G74" s="89" t="s">
        <v>2416</v>
      </c>
      <c r="H74" s="19" t="s">
        <v>183</v>
      </c>
      <c r="I74" s="20" t="s">
        <v>528</v>
      </c>
      <c r="J74" s="21">
        <v>44409</v>
      </c>
      <c r="K74" s="22" t="s">
        <v>42</v>
      </c>
      <c r="L74" s="23">
        <v>0</v>
      </c>
      <c r="M74" s="22">
        <v>2020</v>
      </c>
      <c r="N74" s="26">
        <v>100</v>
      </c>
      <c r="O74" s="22">
        <v>0</v>
      </c>
      <c r="P74" s="26">
        <v>0</v>
      </c>
      <c r="Q74" s="26">
        <v>0</v>
      </c>
      <c r="R74" s="26">
        <v>100</v>
      </c>
      <c r="S74" s="26">
        <v>100</v>
      </c>
      <c r="T74" s="26">
        <v>100</v>
      </c>
      <c r="U74" s="26">
        <v>100</v>
      </c>
      <c r="V74" s="26">
        <v>100</v>
      </c>
      <c r="W74" s="22">
        <v>0</v>
      </c>
      <c r="X74" s="22">
        <v>0</v>
      </c>
      <c r="Y74" s="22" t="s">
        <v>43</v>
      </c>
      <c r="Z74" s="22"/>
      <c r="AA74" s="22"/>
      <c r="AB74" s="22" t="s">
        <v>43</v>
      </c>
      <c r="AC74" s="25"/>
      <c r="AD74" s="22"/>
      <c r="AE74" s="16">
        <v>3</v>
      </c>
    </row>
    <row r="75" spans="1:31" s="24" customFormat="1" ht="20.100000000000001" customHeight="1" x14ac:dyDescent="0.25">
      <c r="A75" s="14" t="s">
        <v>184</v>
      </c>
      <c r="B75" s="15" t="s">
        <v>40</v>
      </c>
      <c r="C75" s="16">
        <v>28</v>
      </c>
      <c r="D75" s="17" t="s">
        <v>532</v>
      </c>
      <c r="E75" s="18" t="s">
        <v>2309</v>
      </c>
      <c r="F75" s="17" t="s">
        <v>528</v>
      </c>
      <c r="G75" s="89" t="s">
        <v>2416</v>
      </c>
      <c r="H75" s="19" t="s">
        <v>183</v>
      </c>
      <c r="I75" s="20" t="s">
        <v>528</v>
      </c>
      <c r="J75" s="21">
        <v>44409</v>
      </c>
      <c r="K75" s="22" t="s">
        <v>42</v>
      </c>
      <c r="L75" s="23">
        <v>0</v>
      </c>
      <c r="M75" s="22">
        <v>2020</v>
      </c>
      <c r="N75" s="26">
        <v>6</v>
      </c>
      <c r="O75" s="22">
        <v>6</v>
      </c>
      <c r="P75" s="26">
        <v>2</v>
      </c>
      <c r="Q75" s="26">
        <v>3</v>
      </c>
      <c r="R75" s="26">
        <v>4</v>
      </c>
      <c r="S75" s="26">
        <v>5</v>
      </c>
      <c r="T75" s="26">
        <v>6</v>
      </c>
      <c r="U75" s="26">
        <v>6</v>
      </c>
      <c r="V75" s="26">
        <v>6</v>
      </c>
      <c r="W75" s="22">
        <v>5</v>
      </c>
      <c r="X75" s="22">
        <v>11</v>
      </c>
      <c r="Y75" s="22" t="s">
        <v>43</v>
      </c>
      <c r="Z75" s="22"/>
      <c r="AA75" s="22"/>
      <c r="AB75" s="22" t="s">
        <v>43</v>
      </c>
      <c r="AC75" s="25"/>
      <c r="AD75" s="22"/>
      <c r="AE75" s="16">
        <v>3</v>
      </c>
    </row>
    <row r="76" spans="1:31" s="24" customFormat="1" ht="20.100000000000001" customHeight="1" x14ac:dyDescent="0.25">
      <c r="A76" s="14" t="s">
        <v>185</v>
      </c>
      <c r="B76" s="15" t="s">
        <v>40</v>
      </c>
      <c r="C76" s="16">
        <v>29</v>
      </c>
      <c r="D76" s="17" t="s">
        <v>535</v>
      </c>
      <c r="E76" s="18" t="s">
        <v>2310</v>
      </c>
      <c r="F76" s="17" t="s">
        <v>537</v>
      </c>
      <c r="G76" s="89" t="s">
        <v>2417</v>
      </c>
      <c r="H76" s="19" t="s">
        <v>186</v>
      </c>
      <c r="I76" s="20" t="s">
        <v>537</v>
      </c>
      <c r="J76" s="21">
        <v>44515</v>
      </c>
      <c r="K76" s="22" t="s">
        <v>42</v>
      </c>
      <c r="L76" s="23">
        <v>0</v>
      </c>
      <c r="M76" s="22">
        <v>2020</v>
      </c>
      <c r="N76" s="26">
        <v>2</v>
      </c>
      <c r="O76" s="22">
        <v>2</v>
      </c>
      <c r="P76" s="26">
        <v>0</v>
      </c>
      <c r="Q76" s="26">
        <v>0</v>
      </c>
      <c r="R76" s="26">
        <v>1</v>
      </c>
      <c r="S76" s="26">
        <v>1</v>
      </c>
      <c r="T76" s="26">
        <v>2</v>
      </c>
      <c r="U76" s="26">
        <v>2</v>
      </c>
      <c r="V76" s="26">
        <v>2</v>
      </c>
      <c r="W76" s="22">
        <v>0</v>
      </c>
      <c r="X76" s="22">
        <v>0</v>
      </c>
      <c r="Y76" s="22" t="s">
        <v>43</v>
      </c>
      <c r="Z76" s="22"/>
      <c r="AA76" s="22"/>
      <c r="AB76" s="22" t="s">
        <v>43</v>
      </c>
      <c r="AC76" s="25"/>
      <c r="AD76" s="22"/>
      <c r="AE76" s="16">
        <v>1</v>
      </c>
    </row>
    <row r="77" spans="1:31" s="24" customFormat="1" ht="20.100000000000001" customHeight="1" x14ac:dyDescent="0.25">
      <c r="A77" s="14" t="s">
        <v>187</v>
      </c>
      <c r="B77" s="15" t="s">
        <v>40</v>
      </c>
      <c r="C77" s="16">
        <v>29</v>
      </c>
      <c r="D77" s="17" t="s">
        <v>535</v>
      </c>
      <c r="E77" s="18" t="s">
        <v>2310</v>
      </c>
      <c r="F77" s="17" t="s">
        <v>537</v>
      </c>
      <c r="G77" s="89" t="s">
        <v>2418</v>
      </c>
      <c r="H77" s="19" t="s">
        <v>188</v>
      </c>
      <c r="I77" s="20" t="s">
        <v>537</v>
      </c>
      <c r="J77" s="21">
        <v>44515</v>
      </c>
      <c r="K77" s="22" t="s">
        <v>42</v>
      </c>
      <c r="L77" s="23">
        <v>0</v>
      </c>
      <c r="M77" s="22">
        <v>2020</v>
      </c>
      <c r="N77" s="26">
        <v>4</v>
      </c>
      <c r="O77" s="22">
        <v>4</v>
      </c>
      <c r="P77" s="26">
        <v>0</v>
      </c>
      <c r="Q77" s="26">
        <v>0</v>
      </c>
      <c r="R77" s="26">
        <v>2</v>
      </c>
      <c r="S77" s="26">
        <v>2</v>
      </c>
      <c r="T77" s="26">
        <v>4</v>
      </c>
      <c r="U77" s="26">
        <v>4</v>
      </c>
      <c r="V77" s="26">
        <v>4</v>
      </c>
      <c r="W77" s="22">
        <v>0</v>
      </c>
      <c r="X77" s="22">
        <v>0</v>
      </c>
      <c r="Y77" s="22" t="s">
        <v>43</v>
      </c>
      <c r="Z77" s="22"/>
      <c r="AA77" s="22"/>
      <c r="AB77" s="22" t="s">
        <v>43</v>
      </c>
      <c r="AC77" s="25"/>
      <c r="AD77" s="22"/>
      <c r="AE77" s="16">
        <v>1</v>
      </c>
    </row>
    <row r="78" spans="1:31" s="24" customFormat="1" ht="20.100000000000001" customHeight="1" x14ac:dyDescent="0.25">
      <c r="A78" s="14" t="s">
        <v>189</v>
      </c>
      <c r="B78" s="15" t="s">
        <v>40</v>
      </c>
      <c r="C78" s="16">
        <v>29</v>
      </c>
      <c r="D78" s="17" t="s">
        <v>535</v>
      </c>
      <c r="E78" s="18" t="s">
        <v>2310</v>
      </c>
      <c r="F78" s="17" t="s">
        <v>537</v>
      </c>
      <c r="G78" s="89" t="s">
        <v>2419</v>
      </c>
      <c r="H78" s="19" t="s">
        <v>190</v>
      </c>
      <c r="I78" s="20" t="s">
        <v>537</v>
      </c>
      <c r="J78" s="21">
        <v>44515</v>
      </c>
      <c r="K78" s="22" t="s">
        <v>42</v>
      </c>
      <c r="L78" s="23">
        <v>22</v>
      </c>
      <c r="M78" s="22">
        <v>2021</v>
      </c>
      <c r="N78" s="26">
        <v>66</v>
      </c>
      <c r="O78" s="22">
        <v>66</v>
      </c>
      <c r="P78" s="26">
        <v>0</v>
      </c>
      <c r="Q78" s="26">
        <v>14</v>
      </c>
      <c r="R78" s="26">
        <v>28</v>
      </c>
      <c r="S78" s="26">
        <v>43</v>
      </c>
      <c r="T78" s="26">
        <v>58</v>
      </c>
      <c r="U78" s="26">
        <v>66</v>
      </c>
      <c r="V78" s="26">
        <v>66</v>
      </c>
      <c r="W78" s="22">
        <v>56</v>
      </c>
      <c r="X78" s="22">
        <v>109</v>
      </c>
      <c r="Y78" s="22" t="s">
        <v>43</v>
      </c>
      <c r="Z78" s="22"/>
      <c r="AA78" s="22"/>
      <c r="AB78" s="22" t="s">
        <v>43</v>
      </c>
      <c r="AC78" s="25"/>
      <c r="AD78" s="22"/>
      <c r="AE78" s="16">
        <v>3</v>
      </c>
    </row>
    <row r="79" spans="1:31" s="24" customFormat="1" ht="20.100000000000001" customHeight="1" x14ac:dyDescent="0.25">
      <c r="A79" s="14" t="s">
        <v>191</v>
      </c>
      <c r="B79" s="15" t="s">
        <v>40</v>
      </c>
      <c r="C79" s="16">
        <v>30</v>
      </c>
      <c r="D79" s="17" t="s">
        <v>541</v>
      </c>
      <c r="E79" s="18" t="s">
        <v>2311</v>
      </c>
      <c r="F79" s="17" t="s">
        <v>537</v>
      </c>
      <c r="G79" s="89" t="s">
        <v>2420</v>
      </c>
      <c r="H79" s="19" t="s">
        <v>192</v>
      </c>
      <c r="I79" s="20" t="s">
        <v>537</v>
      </c>
      <c r="J79" s="21">
        <v>44440</v>
      </c>
      <c r="K79" s="22" t="s">
        <v>42</v>
      </c>
      <c r="L79" s="23">
        <v>0</v>
      </c>
      <c r="M79" s="22">
        <v>2021</v>
      </c>
      <c r="N79" s="26">
        <v>10</v>
      </c>
      <c r="O79" s="22">
        <v>10</v>
      </c>
      <c r="P79" s="26">
        <v>0</v>
      </c>
      <c r="Q79" s="26">
        <v>3</v>
      </c>
      <c r="R79" s="26">
        <v>5</v>
      </c>
      <c r="S79" s="26">
        <v>8</v>
      </c>
      <c r="T79" s="26">
        <v>10</v>
      </c>
      <c r="U79" s="26">
        <v>10</v>
      </c>
      <c r="V79" s="26">
        <v>10</v>
      </c>
      <c r="W79" s="22">
        <v>0</v>
      </c>
      <c r="X79" s="22">
        <v>0</v>
      </c>
      <c r="Y79" s="22" t="s">
        <v>43</v>
      </c>
      <c r="Z79" s="22"/>
      <c r="AA79" s="22"/>
      <c r="AB79" s="22" t="s">
        <v>43</v>
      </c>
      <c r="AC79" s="25"/>
      <c r="AD79" s="22"/>
      <c r="AE79" s="16">
        <v>3</v>
      </c>
    </row>
    <row r="80" spans="1:31" s="24" customFormat="1" ht="20.100000000000001" customHeight="1" x14ac:dyDescent="0.25">
      <c r="A80" s="14" t="s">
        <v>193</v>
      </c>
      <c r="B80" s="15" t="s">
        <v>40</v>
      </c>
      <c r="C80" s="16">
        <v>30</v>
      </c>
      <c r="D80" s="17" t="s">
        <v>541</v>
      </c>
      <c r="E80" s="18" t="s">
        <v>2311</v>
      </c>
      <c r="F80" s="17" t="s">
        <v>537</v>
      </c>
      <c r="G80" s="89" t="s">
        <v>2421</v>
      </c>
      <c r="H80" s="19" t="s">
        <v>194</v>
      </c>
      <c r="I80" s="20" t="s">
        <v>537</v>
      </c>
      <c r="J80" s="21">
        <v>44440</v>
      </c>
      <c r="K80" s="22" t="s">
        <v>42</v>
      </c>
      <c r="L80" s="23">
        <v>0</v>
      </c>
      <c r="M80" s="22">
        <v>2021</v>
      </c>
      <c r="N80" s="26">
        <v>6</v>
      </c>
      <c r="O80" s="22">
        <v>6</v>
      </c>
      <c r="P80" s="26">
        <v>0</v>
      </c>
      <c r="Q80" s="26">
        <v>2</v>
      </c>
      <c r="R80" s="26">
        <v>3</v>
      </c>
      <c r="S80" s="26">
        <v>5</v>
      </c>
      <c r="T80" s="26">
        <v>6</v>
      </c>
      <c r="U80" s="26">
        <v>6</v>
      </c>
      <c r="V80" s="26">
        <v>6</v>
      </c>
      <c r="W80" s="22">
        <v>0</v>
      </c>
      <c r="X80" s="22">
        <v>1</v>
      </c>
      <c r="Y80" s="22" t="s">
        <v>43</v>
      </c>
      <c r="Z80" s="22"/>
      <c r="AA80" s="22"/>
      <c r="AB80" s="22" t="s">
        <v>43</v>
      </c>
      <c r="AC80" s="25"/>
      <c r="AD80" s="22"/>
      <c r="AE80" s="16">
        <v>3</v>
      </c>
    </row>
    <row r="81" spans="1:31" s="24" customFormat="1" ht="20.100000000000001" customHeight="1" x14ac:dyDescent="0.25">
      <c r="A81" s="14" t="s">
        <v>195</v>
      </c>
      <c r="B81" s="15" t="s">
        <v>40</v>
      </c>
      <c r="C81" s="16">
        <v>30</v>
      </c>
      <c r="D81" s="17" t="s">
        <v>541</v>
      </c>
      <c r="E81" s="18" t="s">
        <v>2311</v>
      </c>
      <c r="F81" s="17" t="s">
        <v>537</v>
      </c>
      <c r="G81" s="89" t="s">
        <v>2422</v>
      </c>
      <c r="H81" s="19" t="s">
        <v>196</v>
      </c>
      <c r="I81" s="20" t="s">
        <v>537</v>
      </c>
      <c r="J81" s="21">
        <v>44440</v>
      </c>
      <c r="K81" s="22" t="s">
        <v>42</v>
      </c>
      <c r="L81" s="23">
        <v>0</v>
      </c>
      <c r="M81" s="22">
        <v>2021</v>
      </c>
      <c r="N81" s="26">
        <v>6</v>
      </c>
      <c r="O81" s="22">
        <v>6</v>
      </c>
      <c r="P81" s="26">
        <v>0</v>
      </c>
      <c r="Q81" s="26">
        <v>2</v>
      </c>
      <c r="R81" s="26">
        <v>3</v>
      </c>
      <c r="S81" s="26">
        <v>5</v>
      </c>
      <c r="T81" s="26">
        <v>6</v>
      </c>
      <c r="U81" s="26">
        <v>6</v>
      </c>
      <c r="V81" s="26">
        <v>6</v>
      </c>
      <c r="W81" s="22">
        <v>0</v>
      </c>
      <c r="X81" s="22">
        <v>1</v>
      </c>
      <c r="Y81" s="22" t="s">
        <v>43</v>
      </c>
      <c r="Z81" s="22"/>
      <c r="AA81" s="22"/>
      <c r="AB81" s="22" t="s">
        <v>43</v>
      </c>
      <c r="AC81" s="25"/>
      <c r="AD81" s="22"/>
      <c r="AE81" s="16">
        <v>3</v>
      </c>
    </row>
    <row r="82" spans="1:31" s="24" customFormat="1" ht="20.100000000000001" customHeight="1" x14ac:dyDescent="0.25">
      <c r="A82" s="14" t="s">
        <v>197</v>
      </c>
      <c r="B82" s="15" t="s">
        <v>40</v>
      </c>
      <c r="C82" s="16">
        <v>31</v>
      </c>
      <c r="D82" s="17" t="s">
        <v>546</v>
      </c>
      <c r="E82" s="18" t="s">
        <v>2312</v>
      </c>
      <c r="F82" s="17" t="s">
        <v>548</v>
      </c>
      <c r="G82" s="89" t="s">
        <v>2423</v>
      </c>
      <c r="H82" s="19" t="s">
        <v>198</v>
      </c>
      <c r="I82" s="20" t="s">
        <v>548</v>
      </c>
      <c r="J82" s="21">
        <v>44410</v>
      </c>
      <c r="K82" s="22" t="s">
        <v>42</v>
      </c>
      <c r="L82" s="23">
        <v>3</v>
      </c>
      <c r="M82" s="22">
        <v>2021</v>
      </c>
      <c r="N82" s="26">
        <v>7</v>
      </c>
      <c r="O82" s="22">
        <v>7</v>
      </c>
      <c r="P82" s="26">
        <v>0</v>
      </c>
      <c r="Q82" s="26">
        <v>1</v>
      </c>
      <c r="R82" s="26">
        <v>2</v>
      </c>
      <c r="S82" s="26">
        <v>3</v>
      </c>
      <c r="T82" s="26">
        <v>5</v>
      </c>
      <c r="U82" s="26">
        <v>7</v>
      </c>
      <c r="V82" s="26">
        <v>7</v>
      </c>
      <c r="W82" s="22">
        <v>0</v>
      </c>
      <c r="X82" s="22">
        <v>0</v>
      </c>
      <c r="Y82" s="22" t="s">
        <v>43</v>
      </c>
      <c r="Z82" s="22"/>
      <c r="AA82" s="22"/>
      <c r="AB82" s="22" t="s">
        <v>43</v>
      </c>
      <c r="AC82" s="25"/>
      <c r="AD82" s="22"/>
      <c r="AE82" s="16">
        <v>3</v>
      </c>
    </row>
    <row r="83" spans="1:31" s="24" customFormat="1" ht="20.100000000000001" customHeight="1" x14ac:dyDescent="0.25">
      <c r="A83" s="14" t="s">
        <v>199</v>
      </c>
      <c r="B83" s="15" t="s">
        <v>40</v>
      </c>
      <c r="C83" s="16">
        <v>31</v>
      </c>
      <c r="D83" s="17" t="s">
        <v>546</v>
      </c>
      <c r="E83" s="18" t="s">
        <v>2312</v>
      </c>
      <c r="F83" s="17" t="s">
        <v>548</v>
      </c>
      <c r="G83" s="89" t="s">
        <v>2424</v>
      </c>
      <c r="H83" s="19" t="s">
        <v>200</v>
      </c>
      <c r="I83" s="20" t="s">
        <v>548</v>
      </c>
      <c r="J83" s="21">
        <v>44410</v>
      </c>
      <c r="K83" s="22" t="s">
        <v>42</v>
      </c>
      <c r="L83" s="23">
        <v>0</v>
      </c>
      <c r="M83" s="22">
        <v>2021</v>
      </c>
      <c r="N83" s="26">
        <v>80</v>
      </c>
      <c r="O83" s="22">
        <v>0.8</v>
      </c>
      <c r="P83" s="26">
        <v>0</v>
      </c>
      <c r="Q83" s="26">
        <v>0</v>
      </c>
      <c r="R83" s="26">
        <v>80</v>
      </c>
      <c r="S83" s="26">
        <v>80</v>
      </c>
      <c r="T83" s="26">
        <v>80</v>
      </c>
      <c r="U83" s="26">
        <v>80</v>
      </c>
      <c r="V83" s="26">
        <v>80</v>
      </c>
      <c r="W83" s="22">
        <v>0</v>
      </c>
      <c r="X83" s="22">
        <v>0</v>
      </c>
      <c r="Y83" s="22" t="s">
        <v>43</v>
      </c>
      <c r="Z83" s="22"/>
      <c r="AA83" s="22"/>
      <c r="AB83" s="22" t="s">
        <v>43</v>
      </c>
      <c r="AC83" s="25"/>
      <c r="AD83" s="22"/>
      <c r="AE83" s="16">
        <v>2</v>
      </c>
    </row>
    <row r="84" spans="1:31" s="24" customFormat="1" ht="20.100000000000001" customHeight="1" x14ac:dyDescent="0.25">
      <c r="A84" s="14" t="s">
        <v>201</v>
      </c>
      <c r="B84" s="15" t="s">
        <v>40</v>
      </c>
      <c r="C84" s="16">
        <v>31</v>
      </c>
      <c r="D84" s="17" t="s">
        <v>546</v>
      </c>
      <c r="E84" s="18" t="s">
        <v>2312</v>
      </c>
      <c r="F84" s="17" t="s">
        <v>548</v>
      </c>
      <c r="G84" s="89" t="s">
        <v>2425</v>
      </c>
      <c r="H84" s="19" t="s">
        <v>202</v>
      </c>
      <c r="I84" s="20" t="s">
        <v>548</v>
      </c>
      <c r="J84" s="21">
        <v>44410</v>
      </c>
      <c r="K84" s="22" t="s">
        <v>42</v>
      </c>
      <c r="L84" s="23">
        <v>0</v>
      </c>
      <c r="M84" s="22">
        <v>2021</v>
      </c>
      <c r="N84" s="26">
        <v>20</v>
      </c>
      <c r="O84" s="22">
        <v>0.2</v>
      </c>
      <c r="P84" s="26">
        <v>0</v>
      </c>
      <c r="Q84" s="26">
        <v>0</v>
      </c>
      <c r="R84" s="26">
        <v>20</v>
      </c>
      <c r="S84" s="26">
        <v>20</v>
      </c>
      <c r="T84" s="26">
        <v>20</v>
      </c>
      <c r="U84" s="26">
        <v>20</v>
      </c>
      <c r="V84" s="26">
        <v>20</v>
      </c>
      <c r="W84" s="22">
        <v>0</v>
      </c>
      <c r="X84" s="22">
        <v>0</v>
      </c>
      <c r="Y84" s="22" t="s">
        <v>43</v>
      </c>
      <c r="Z84" s="22"/>
      <c r="AA84" s="22"/>
      <c r="AB84" s="22" t="s">
        <v>43</v>
      </c>
      <c r="AC84" s="25"/>
      <c r="AD84" s="22"/>
      <c r="AE84" s="16">
        <v>2</v>
      </c>
    </row>
    <row r="85" spans="1:31" s="24" customFormat="1" ht="20.100000000000001" customHeight="1" x14ac:dyDescent="0.25">
      <c r="A85" s="14" t="s">
        <v>203</v>
      </c>
      <c r="B85" s="15" t="s">
        <v>40</v>
      </c>
      <c r="C85" s="16">
        <v>32</v>
      </c>
      <c r="D85" s="17" t="s">
        <v>552</v>
      </c>
      <c r="E85" s="18" t="s">
        <v>2313</v>
      </c>
      <c r="F85" s="17" t="s">
        <v>474</v>
      </c>
      <c r="G85" s="89" t="s">
        <v>2426</v>
      </c>
      <c r="H85" s="19" t="s">
        <v>204</v>
      </c>
      <c r="I85" s="20" t="s">
        <v>474</v>
      </c>
      <c r="J85" s="21">
        <v>44440</v>
      </c>
      <c r="K85" s="22" t="s">
        <v>42</v>
      </c>
      <c r="L85" s="23">
        <v>0</v>
      </c>
      <c r="M85" s="22">
        <v>2020</v>
      </c>
      <c r="N85" s="26">
        <v>100</v>
      </c>
      <c r="O85" s="22">
        <v>1</v>
      </c>
      <c r="P85" s="26">
        <v>10</v>
      </c>
      <c r="Q85" s="26">
        <v>35</v>
      </c>
      <c r="R85" s="26">
        <v>50</v>
      </c>
      <c r="S85" s="26">
        <v>70</v>
      </c>
      <c r="T85" s="26">
        <v>90</v>
      </c>
      <c r="U85" s="26">
        <v>100</v>
      </c>
      <c r="V85" s="26">
        <v>100</v>
      </c>
      <c r="W85" s="22">
        <v>3</v>
      </c>
      <c r="X85" s="22">
        <v>10</v>
      </c>
      <c r="Y85" s="22" t="s">
        <v>43</v>
      </c>
      <c r="Z85" s="22"/>
      <c r="AA85" s="22"/>
      <c r="AB85" s="22" t="s">
        <v>43</v>
      </c>
      <c r="AC85" s="25"/>
      <c r="AD85" s="22"/>
      <c r="AE85" s="16">
        <v>2</v>
      </c>
    </row>
    <row r="86" spans="1:31" s="24" customFormat="1" ht="20.100000000000001" customHeight="1" x14ac:dyDescent="0.25">
      <c r="A86" s="14" t="s">
        <v>205</v>
      </c>
      <c r="B86" s="15" t="s">
        <v>40</v>
      </c>
      <c r="C86" s="16">
        <v>33</v>
      </c>
      <c r="D86" s="17" t="s">
        <v>697</v>
      </c>
      <c r="E86" s="18" t="s">
        <v>2345</v>
      </c>
      <c r="F86" s="17" t="s">
        <v>447</v>
      </c>
      <c r="G86" s="89" t="s">
        <v>2427</v>
      </c>
      <c r="H86" s="19" t="s">
        <v>206</v>
      </c>
      <c r="I86" s="20" t="s">
        <v>447</v>
      </c>
      <c r="J86" s="21">
        <v>44440</v>
      </c>
      <c r="K86" s="22" t="s">
        <v>42</v>
      </c>
      <c r="L86" s="23">
        <v>0</v>
      </c>
      <c r="M86" s="22">
        <v>2021</v>
      </c>
      <c r="N86" s="26">
        <v>100</v>
      </c>
      <c r="O86" s="22">
        <v>1</v>
      </c>
      <c r="P86" s="26">
        <v>10</v>
      </c>
      <c r="Q86" s="26">
        <v>28</v>
      </c>
      <c r="R86" s="26">
        <v>70</v>
      </c>
      <c r="S86" s="26">
        <v>80</v>
      </c>
      <c r="T86" s="26">
        <v>90</v>
      </c>
      <c r="U86" s="26">
        <v>100</v>
      </c>
      <c r="V86" s="26">
        <v>100</v>
      </c>
      <c r="W86" s="22">
        <v>8</v>
      </c>
      <c r="X86" s="22">
        <v>9</v>
      </c>
      <c r="Y86" s="22" t="s">
        <v>43</v>
      </c>
      <c r="Z86" s="22"/>
      <c r="AA86" s="22"/>
      <c r="AB86" s="22" t="s">
        <v>43</v>
      </c>
      <c r="AC86" s="25"/>
      <c r="AD86" s="22"/>
      <c r="AE86" s="16">
        <v>3</v>
      </c>
    </row>
    <row r="87" spans="1:31" s="24" customFormat="1" ht="20.100000000000001" customHeight="1" x14ac:dyDescent="0.25">
      <c r="A87" s="14" t="s">
        <v>207</v>
      </c>
      <c r="B87" s="15" t="s">
        <v>40</v>
      </c>
      <c r="C87" s="16">
        <v>34</v>
      </c>
      <c r="D87" s="17" t="s">
        <v>2428</v>
      </c>
      <c r="E87" s="18" t="s">
        <v>2429</v>
      </c>
      <c r="F87" s="17" t="s">
        <v>558</v>
      </c>
      <c r="G87" s="89" t="s">
        <v>2430</v>
      </c>
      <c r="H87" s="19" t="s">
        <v>208</v>
      </c>
      <c r="I87" s="20" t="s">
        <v>558</v>
      </c>
      <c r="J87" s="21">
        <v>44578</v>
      </c>
      <c r="K87" s="22" t="s">
        <v>42</v>
      </c>
      <c r="L87" s="23">
        <v>0</v>
      </c>
      <c r="M87" s="22">
        <v>2021</v>
      </c>
      <c r="N87" s="26">
        <v>60</v>
      </c>
      <c r="O87" s="22">
        <v>0</v>
      </c>
      <c r="P87" s="26">
        <v>0</v>
      </c>
      <c r="Q87" s="26">
        <v>0</v>
      </c>
      <c r="R87" s="26">
        <v>0</v>
      </c>
      <c r="S87" s="26">
        <v>20</v>
      </c>
      <c r="T87" s="26">
        <v>60</v>
      </c>
      <c r="U87" s="26">
        <v>60</v>
      </c>
      <c r="V87" s="26">
        <v>60</v>
      </c>
      <c r="W87" s="22">
        <v>0</v>
      </c>
      <c r="X87" s="22">
        <v>0</v>
      </c>
      <c r="Y87" s="22" t="s">
        <v>43</v>
      </c>
      <c r="Z87" s="22"/>
      <c r="AA87" s="22"/>
      <c r="AB87" s="22" t="s">
        <v>43</v>
      </c>
      <c r="AC87" s="25"/>
      <c r="AD87" s="22"/>
      <c r="AE87" s="16">
        <v>2</v>
      </c>
    </row>
    <row r="88" spans="1:31" s="24" customFormat="1" ht="20.100000000000001" customHeight="1" x14ac:dyDescent="0.25">
      <c r="A88" s="14" t="s">
        <v>209</v>
      </c>
      <c r="B88" s="15" t="s">
        <v>40</v>
      </c>
      <c r="C88" s="16">
        <v>34</v>
      </c>
      <c r="D88" s="17" t="s">
        <v>2428</v>
      </c>
      <c r="E88" s="18" t="s">
        <v>2429</v>
      </c>
      <c r="F88" s="17" t="s">
        <v>558</v>
      </c>
      <c r="G88" s="89" t="s">
        <v>2431</v>
      </c>
      <c r="H88" s="19" t="s">
        <v>210</v>
      </c>
      <c r="I88" s="20" t="s">
        <v>558</v>
      </c>
      <c r="J88" s="21">
        <v>44578</v>
      </c>
      <c r="K88" s="22" t="s">
        <v>42</v>
      </c>
      <c r="L88" s="23">
        <v>0</v>
      </c>
      <c r="M88" s="22">
        <v>2021</v>
      </c>
      <c r="N88" s="26">
        <v>100</v>
      </c>
      <c r="O88" s="22">
        <v>0</v>
      </c>
      <c r="P88" s="26">
        <v>0</v>
      </c>
      <c r="Q88" s="26">
        <v>0</v>
      </c>
      <c r="R88" s="26">
        <v>0</v>
      </c>
      <c r="S88" s="26">
        <v>0</v>
      </c>
      <c r="T88" s="26">
        <v>60</v>
      </c>
      <c r="U88" s="26">
        <v>100</v>
      </c>
      <c r="V88" s="26">
        <v>100</v>
      </c>
      <c r="W88" s="22">
        <v>0</v>
      </c>
      <c r="X88" s="22">
        <v>0</v>
      </c>
      <c r="Y88" s="22" t="s">
        <v>43</v>
      </c>
      <c r="Z88" s="22"/>
      <c r="AA88" s="22"/>
      <c r="AB88" s="22" t="s">
        <v>43</v>
      </c>
      <c r="AC88" s="25"/>
      <c r="AD88" s="22"/>
      <c r="AE88" s="16">
        <v>2</v>
      </c>
    </row>
    <row r="89" spans="1:31" s="24" customFormat="1" ht="20.100000000000001" customHeight="1" x14ac:dyDescent="0.25">
      <c r="A89" s="14" t="s">
        <v>211</v>
      </c>
      <c r="B89" s="15" t="s">
        <v>40</v>
      </c>
      <c r="C89" s="16">
        <v>35</v>
      </c>
      <c r="D89" s="17" t="s">
        <v>562</v>
      </c>
      <c r="E89" s="18" t="s">
        <v>2314</v>
      </c>
      <c r="F89" s="17" t="s">
        <v>480</v>
      </c>
      <c r="G89" s="89" t="s">
        <v>2432</v>
      </c>
      <c r="H89" s="19" t="s">
        <v>212</v>
      </c>
      <c r="I89" s="20" t="s">
        <v>480</v>
      </c>
      <c r="J89" s="21">
        <v>44409</v>
      </c>
      <c r="K89" s="22" t="s">
        <v>42</v>
      </c>
      <c r="L89" s="23">
        <v>0</v>
      </c>
      <c r="M89" s="22">
        <v>2017</v>
      </c>
      <c r="N89" s="26">
        <v>18</v>
      </c>
      <c r="O89" s="22">
        <v>18</v>
      </c>
      <c r="P89" s="26">
        <v>0</v>
      </c>
      <c r="Q89" s="26">
        <v>5</v>
      </c>
      <c r="R89" s="26">
        <v>8</v>
      </c>
      <c r="S89" s="26">
        <v>12</v>
      </c>
      <c r="T89" s="26">
        <v>16</v>
      </c>
      <c r="U89" s="26">
        <v>18</v>
      </c>
      <c r="V89" s="26">
        <v>18</v>
      </c>
      <c r="W89" s="22">
        <v>15</v>
      </c>
      <c r="X89" s="22">
        <v>25</v>
      </c>
      <c r="Y89" s="22" t="s">
        <v>43</v>
      </c>
      <c r="Z89" s="22"/>
      <c r="AA89" s="22"/>
      <c r="AB89" s="22" t="s">
        <v>43</v>
      </c>
      <c r="AC89" s="25"/>
      <c r="AD89" s="22"/>
      <c r="AE89" s="16">
        <v>3</v>
      </c>
    </row>
    <row r="90" spans="1:31" s="24" customFormat="1" ht="20.100000000000001" customHeight="1" x14ac:dyDescent="0.25">
      <c r="A90" s="14" t="s">
        <v>213</v>
      </c>
      <c r="B90" s="15" t="s">
        <v>40</v>
      </c>
      <c r="C90" s="16">
        <v>36</v>
      </c>
      <c r="D90" s="17" t="s">
        <v>567</v>
      </c>
      <c r="E90" s="18" t="s">
        <v>2315</v>
      </c>
      <c r="F90" s="17" t="s">
        <v>516</v>
      </c>
      <c r="G90" s="89" t="s">
        <v>2433</v>
      </c>
      <c r="H90" s="19" t="s">
        <v>214</v>
      </c>
      <c r="I90" s="20" t="s">
        <v>516</v>
      </c>
      <c r="J90" s="21">
        <v>44440</v>
      </c>
      <c r="K90" s="22" t="s">
        <v>42</v>
      </c>
      <c r="L90" s="23">
        <v>3</v>
      </c>
      <c r="M90" s="22">
        <v>2020</v>
      </c>
      <c r="N90" s="26">
        <v>21</v>
      </c>
      <c r="O90" s="22">
        <v>21</v>
      </c>
      <c r="P90" s="26">
        <v>4</v>
      </c>
      <c r="Q90" s="26">
        <v>6</v>
      </c>
      <c r="R90" s="26">
        <v>9</v>
      </c>
      <c r="S90" s="26">
        <v>12</v>
      </c>
      <c r="T90" s="26">
        <v>15</v>
      </c>
      <c r="U90" s="26">
        <v>21</v>
      </c>
      <c r="V90" s="26">
        <v>21</v>
      </c>
      <c r="W90" s="22">
        <v>1</v>
      </c>
      <c r="X90" s="22">
        <v>4</v>
      </c>
      <c r="Y90" s="22" t="s">
        <v>43</v>
      </c>
      <c r="Z90" s="22"/>
      <c r="AA90" s="22"/>
      <c r="AB90" s="22" t="s">
        <v>43</v>
      </c>
      <c r="AC90" s="25"/>
      <c r="AD90" s="22"/>
      <c r="AE90" s="16">
        <v>3</v>
      </c>
    </row>
    <row r="91" spans="1:31" s="24" customFormat="1" ht="20.100000000000001" customHeight="1" x14ac:dyDescent="0.25">
      <c r="A91" s="14" t="s">
        <v>215</v>
      </c>
      <c r="B91" s="15" t="s">
        <v>40</v>
      </c>
      <c r="C91" s="16">
        <v>36</v>
      </c>
      <c r="D91" s="17" t="s">
        <v>567</v>
      </c>
      <c r="E91" s="18" t="s">
        <v>2315</v>
      </c>
      <c r="F91" s="17" t="s">
        <v>516</v>
      </c>
      <c r="G91" s="89" t="s">
        <v>2434</v>
      </c>
      <c r="H91" s="19" t="s">
        <v>216</v>
      </c>
      <c r="I91" s="20" t="s">
        <v>516</v>
      </c>
      <c r="J91" s="21">
        <v>44440</v>
      </c>
      <c r="K91" s="22" t="s">
        <v>42</v>
      </c>
      <c r="L91" s="23">
        <v>0</v>
      </c>
      <c r="M91" s="22">
        <v>2020</v>
      </c>
      <c r="N91" s="26">
        <v>10</v>
      </c>
      <c r="O91" s="22">
        <v>10</v>
      </c>
      <c r="P91" s="26">
        <v>1</v>
      </c>
      <c r="Q91" s="26">
        <v>3</v>
      </c>
      <c r="R91" s="26">
        <v>3</v>
      </c>
      <c r="S91" s="26">
        <v>6</v>
      </c>
      <c r="T91" s="26">
        <v>6</v>
      </c>
      <c r="U91" s="26">
        <v>10</v>
      </c>
      <c r="V91" s="26">
        <v>10</v>
      </c>
      <c r="W91" s="22">
        <v>1</v>
      </c>
      <c r="X91" s="22">
        <v>3</v>
      </c>
      <c r="Y91" s="22" t="s">
        <v>43</v>
      </c>
      <c r="Z91" s="22"/>
      <c r="AA91" s="22"/>
      <c r="AB91" s="22" t="s">
        <v>43</v>
      </c>
      <c r="AC91" s="25"/>
      <c r="AD91" s="22"/>
      <c r="AE91" s="16">
        <v>3</v>
      </c>
    </row>
    <row r="92" spans="1:31" s="24" customFormat="1" ht="20.100000000000001" customHeight="1" x14ac:dyDescent="0.25">
      <c r="A92" s="14" t="s">
        <v>217</v>
      </c>
      <c r="B92" s="15" t="s">
        <v>40</v>
      </c>
      <c r="C92" s="16">
        <v>37</v>
      </c>
      <c r="D92" s="17" t="s">
        <v>702</v>
      </c>
      <c r="E92" s="18" t="s">
        <v>2346</v>
      </c>
      <c r="F92" s="17" t="s">
        <v>548</v>
      </c>
      <c r="G92" s="89" t="s">
        <v>2435</v>
      </c>
      <c r="H92" s="19" t="s">
        <v>218</v>
      </c>
      <c r="I92" s="20" t="s">
        <v>548</v>
      </c>
      <c r="J92" s="21">
        <v>44440</v>
      </c>
      <c r="K92" s="22" t="s">
        <v>42</v>
      </c>
      <c r="L92" s="23">
        <v>0</v>
      </c>
      <c r="M92" s="22">
        <v>2021</v>
      </c>
      <c r="N92" s="26">
        <v>70</v>
      </c>
      <c r="O92" s="28">
        <v>0.69999998807907104</v>
      </c>
      <c r="P92" s="26">
        <v>0</v>
      </c>
      <c r="Q92" s="26">
        <v>0</v>
      </c>
      <c r="R92" s="26">
        <v>10</v>
      </c>
      <c r="S92" s="26">
        <v>20</v>
      </c>
      <c r="T92" s="26">
        <v>60</v>
      </c>
      <c r="U92" s="26">
        <v>70</v>
      </c>
      <c r="V92" s="26">
        <v>70</v>
      </c>
      <c r="W92" s="22">
        <v>0</v>
      </c>
      <c r="X92" s="22">
        <v>0</v>
      </c>
      <c r="Y92" s="22" t="s">
        <v>43</v>
      </c>
      <c r="Z92" s="22"/>
      <c r="AA92" s="22"/>
      <c r="AB92" s="22" t="s">
        <v>43</v>
      </c>
      <c r="AC92" s="25"/>
      <c r="AD92" s="22"/>
      <c r="AE92" s="16">
        <v>2</v>
      </c>
    </row>
    <row r="93" spans="1:31" s="24" customFormat="1" ht="20.100000000000001" customHeight="1" x14ac:dyDescent="0.25">
      <c r="A93" s="14" t="s">
        <v>219</v>
      </c>
      <c r="B93" s="15" t="s">
        <v>40</v>
      </c>
      <c r="C93" s="16">
        <v>37</v>
      </c>
      <c r="D93" s="17" t="s">
        <v>702</v>
      </c>
      <c r="E93" s="18" t="s">
        <v>2346</v>
      </c>
      <c r="F93" s="17" t="s">
        <v>548</v>
      </c>
      <c r="G93" s="89" t="s">
        <v>2436</v>
      </c>
      <c r="H93" s="19" t="s">
        <v>220</v>
      </c>
      <c r="I93" s="20" t="s">
        <v>548</v>
      </c>
      <c r="J93" s="21">
        <v>44440</v>
      </c>
      <c r="K93" s="22" t="s">
        <v>42</v>
      </c>
      <c r="L93" s="23">
        <v>0</v>
      </c>
      <c r="M93" s="22">
        <v>2021</v>
      </c>
      <c r="N93" s="26">
        <v>70</v>
      </c>
      <c r="O93" s="28">
        <v>0.69999998807907104</v>
      </c>
      <c r="P93" s="26">
        <v>0</v>
      </c>
      <c r="Q93" s="26">
        <v>0</v>
      </c>
      <c r="R93" s="26">
        <v>10</v>
      </c>
      <c r="S93" s="26">
        <v>20</v>
      </c>
      <c r="T93" s="26">
        <v>60</v>
      </c>
      <c r="U93" s="26">
        <v>70</v>
      </c>
      <c r="V93" s="26">
        <v>70</v>
      </c>
      <c r="W93" s="22">
        <v>0</v>
      </c>
      <c r="X93" s="22">
        <v>0</v>
      </c>
      <c r="Y93" s="22" t="s">
        <v>43</v>
      </c>
      <c r="Z93" s="22"/>
      <c r="AA93" s="22"/>
      <c r="AB93" s="22" t="s">
        <v>43</v>
      </c>
      <c r="AC93" s="25"/>
      <c r="AD93" s="22"/>
      <c r="AE93" s="16">
        <v>2</v>
      </c>
    </row>
    <row r="94" spans="1:31" s="24" customFormat="1" ht="20.100000000000001" customHeight="1" x14ac:dyDescent="0.25">
      <c r="A94" s="14" t="s">
        <v>221</v>
      </c>
      <c r="B94" s="15" t="s">
        <v>40</v>
      </c>
      <c r="C94" s="16">
        <v>37</v>
      </c>
      <c r="D94" s="17" t="s">
        <v>702</v>
      </c>
      <c r="E94" s="18" t="s">
        <v>2346</v>
      </c>
      <c r="F94" s="17" t="s">
        <v>548</v>
      </c>
      <c r="G94" s="89" t="s">
        <v>2437</v>
      </c>
      <c r="H94" s="19" t="s">
        <v>222</v>
      </c>
      <c r="I94" s="20" t="s">
        <v>548</v>
      </c>
      <c r="J94" s="21">
        <v>44440</v>
      </c>
      <c r="K94" s="22" t="s">
        <v>42</v>
      </c>
      <c r="L94" s="23">
        <v>0</v>
      </c>
      <c r="M94" s="22">
        <v>2021</v>
      </c>
      <c r="N94" s="26">
        <v>100</v>
      </c>
      <c r="O94" s="22">
        <v>1</v>
      </c>
      <c r="P94" s="26">
        <v>0</v>
      </c>
      <c r="Q94" s="26">
        <v>10</v>
      </c>
      <c r="R94" s="26">
        <v>40</v>
      </c>
      <c r="S94" s="26">
        <v>60</v>
      </c>
      <c r="T94" s="26">
        <v>80</v>
      </c>
      <c r="U94" s="26">
        <v>100</v>
      </c>
      <c r="V94" s="26">
        <v>100</v>
      </c>
      <c r="W94" s="22">
        <v>17</v>
      </c>
      <c r="X94" s="22">
        <v>43</v>
      </c>
      <c r="Y94" s="22" t="s">
        <v>43</v>
      </c>
      <c r="Z94" s="22"/>
      <c r="AA94" s="22"/>
      <c r="AB94" s="22" t="s">
        <v>43</v>
      </c>
      <c r="AC94" s="25"/>
      <c r="AD94" s="22"/>
      <c r="AE94" s="16">
        <v>2</v>
      </c>
    </row>
    <row r="95" spans="1:31" s="24" customFormat="1" ht="20.100000000000001" customHeight="1" x14ac:dyDescent="0.25">
      <c r="A95" s="14" t="s">
        <v>223</v>
      </c>
      <c r="B95" s="15" t="s">
        <v>40</v>
      </c>
      <c r="C95" s="16">
        <v>37</v>
      </c>
      <c r="D95" s="17" t="s">
        <v>702</v>
      </c>
      <c r="E95" s="18" t="s">
        <v>2346</v>
      </c>
      <c r="F95" s="17" t="s">
        <v>548</v>
      </c>
      <c r="G95" s="89" t="s">
        <v>2438</v>
      </c>
      <c r="H95" s="19" t="s">
        <v>224</v>
      </c>
      <c r="I95" s="20" t="s">
        <v>548</v>
      </c>
      <c r="J95" s="21">
        <v>44440</v>
      </c>
      <c r="K95" s="22" t="s">
        <v>42</v>
      </c>
      <c r="L95" s="23">
        <v>0</v>
      </c>
      <c r="M95" s="22">
        <v>2021</v>
      </c>
      <c r="N95" s="26">
        <v>20</v>
      </c>
      <c r="O95" s="22">
        <v>20</v>
      </c>
      <c r="P95" s="26">
        <v>1</v>
      </c>
      <c r="Q95" s="26">
        <v>3</v>
      </c>
      <c r="R95" s="26">
        <v>6</v>
      </c>
      <c r="S95" s="26">
        <v>13</v>
      </c>
      <c r="T95" s="26">
        <v>15</v>
      </c>
      <c r="U95" s="26">
        <v>20</v>
      </c>
      <c r="V95" s="26">
        <v>20</v>
      </c>
      <c r="W95" s="22">
        <v>25</v>
      </c>
      <c r="X95" s="22">
        <v>26.8</v>
      </c>
      <c r="Y95" s="22" t="s">
        <v>43</v>
      </c>
      <c r="Z95" s="22"/>
      <c r="AA95" s="22"/>
      <c r="AB95" s="22" t="s">
        <v>43</v>
      </c>
      <c r="AC95" s="25"/>
      <c r="AD95" s="22"/>
      <c r="AE95" s="16">
        <v>3</v>
      </c>
    </row>
    <row r="96" spans="1:31" s="24" customFormat="1" ht="20.100000000000001" customHeight="1" x14ac:dyDescent="0.25">
      <c r="A96" s="14" t="s">
        <v>225</v>
      </c>
      <c r="B96" s="15" t="s">
        <v>40</v>
      </c>
      <c r="C96" s="16">
        <v>37</v>
      </c>
      <c r="D96" s="17" t="s">
        <v>702</v>
      </c>
      <c r="E96" s="18" t="s">
        <v>2346</v>
      </c>
      <c r="F96" s="17" t="s">
        <v>548</v>
      </c>
      <c r="G96" s="89" t="s">
        <v>2439</v>
      </c>
      <c r="H96" s="19" t="s">
        <v>226</v>
      </c>
      <c r="I96" s="20" t="s">
        <v>548</v>
      </c>
      <c r="J96" s="21">
        <v>44440</v>
      </c>
      <c r="K96" s="22" t="s">
        <v>42</v>
      </c>
      <c r="L96" s="23">
        <v>0</v>
      </c>
      <c r="M96" s="22">
        <v>2021</v>
      </c>
      <c r="N96" s="26">
        <v>6</v>
      </c>
      <c r="O96" s="22">
        <v>6</v>
      </c>
      <c r="P96" s="26">
        <v>0</v>
      </c>
      <c r="Q96" s="26">
        <v>1</v>
      </c>
      <c r="R96" s="26">
        <v>3</v>
      </c>
      <c r="S96" s="26">
        <v>4</v>
      </c>
      <c r="T96" s="26">
        <v>5</v>
      </c>
      <c r="U96" s="26">
        <v>6</v>
      </c>
      <c r="V96" s="26">
        <v>6</v>
      </c>
      <c r="W96" s="22">
        <v>0</v>
      </c>
      <c r="X96" s="22">
        <v>0</v>
      </c>
      <c r="Y96" s="22" t="s">
        <v>43</v>
      </c>
      <c r="Z96" s="22"/>
      <c r="AA96" s="22"/>
      <c r="AB96" s="22" t="s">
        <v>43</v>
      </c>
      <c r="AC96" s="25"/>
      <c r="AD96" s="22"/>
      <c r="AE96" s="16">
        <v>3</v>
      </c>
    </row>
    <row r="97" spans="1:31" s="24" customFormat="1" ht="20.100000000000001" customHeight="1" x14ac:dyDescent="0.25">
      <c r="A97" s="14" t="s">
        <v>227</v>
      </c>
      <c r="B97" s="15" t="s">
        <v>40</v>
      </c>
      <c r="C97" s="16">
        <v>37</v>
      </c>
      <c r="D97" s="17" t="s">
        <v>702</v>
      </c>
      <c r="E97" s="18" t="s">
        <v>2346</v>
      </c>
      <c r="F97" s="17" t="s">
        <v>548</v>
      </c>
      <c r="G97" s="89" t="s">
        <v>2440</v>
      </c>
      <c r="H97" s="19" t="s">
        <v>228</v>
      </c>
      <c r="I97" s="20" t="s">
        <v>548</v>
      </c>
      <c r="J97" s="21">
        <v>44440</v>
      </c>
      <c r="K97" s="22" t="s">
        <v>42</v>
      </c>
      <c r="L97" s="23">
        <v>0</v>
      </c>
      <c r="M97" s="22">
        <v>2021</v>
      </c>
      <c r="N97" s="26">
        <v>1</v>
      </c>
      <c r="O97" s="22">
        <v>1</v>
      </c>
      <c r="P97" s="26">
        <v>0</v>
      </c>
      <c r="Q97" s="26">
        <v>0</v>
      </c>
      <c r="R97" s="26">
        <v>0</v>
      </c>
      <c r="S97" s="26">
        <v>0</v>
      </c>
      <c r="T97" s="26">
        <v>0</v>
      </c>
      <c r="U97" s="26">
        <v>1</v>
      </c>
      <c r="V97" s="26">
        <v>1</v>
      </c>
      <c r="W97" s="22">
        <v>0</v>
      </c>
      <c r="X97" s="22">
        <v>0</v>
      </c>
      <c r="Y97" s="22" t="s">
        <v>43</v>
      </c>
      <c r="Z97" s="22"/>
      <c r="AA97" s="22"/>
      <c r="AB97" s="22" t="s">
        <v>43</v>
      </c>
      <c r="AC97" s="25"/>
      <c r="AD97" s="22"/>
      <c r="AE97" s="16">
        <v>1</v>
      </c>
    </row>
    <row r="98" spans="1:31" s="24" customFormat="1" ht="20.100000000000001" customHeight="1" x14ac:dyDescent="0.25">
      <c r="A98" s="14" t="s">
        <v>229</v>
      </c>
      <c r="B98" s="15" t="s">
        <v>40</v>
      </c>
      <c r="C98" s="16">
        <v>38</v>
      </c>
      <c r="D98" s="17" t="s">
        <v>445</v>
      </c>
      <c r="E98" s="18" t="s">
        <v>2293</v>
      </c>
      <c r="F98" s="17" t="s">
        <v>447</v>
      </c>
      <c r="G98" s="89" t="s">
        <v>2441</v>
      </c>
      <c r="H98" s="19" t="s">
        <v>230</v>
      </c>
      <c r="I98" s="20" t="s">
        <v>447</v>
      </c>
      <c r="J98" s="21">
        <v>44473</v>
      </c>
      <c r="K98" s="22" t="s">
        <v>42</v>
      </c>
      <c r="L98" s="23">
        <v>8703</v>
      </c>
      <c r="M98" s="22">
        <v>2021</v>
      </c>
      <c r="N98" s="26">
        <v>18190</v>
      </c>
      <c r="O98" s="22">
        <v>18190</v>
      </c>
      <c r="P98" s="26">
        <v>0</v>
      </c>
      <c r="Q98" s="26">
        <v>0</v>
      </c>
      <c r="R98" s="26">
        <v>8100</v>
      </c>
      <c r="S98" s="26">
        <v>12300</v>
      </c>
      <c r="T98" s="26">
        <v>16800</v>
      </c>
      <c r="U98" s="26">
        <v>18190</v>
      </c>
      <c r="V98" s="26">
        <v>18190</v>
      </c>
      <c r="W98" s="22">
        <v>0</v>
      </c>
      <c r="X98" s="22">
        <v>0</v>
      </c>
      <c r="Y98" s="22" t="s">
        <v>43</v>
      </c>
      <c r="Z98" s="22"/>
      <c r="AA98" s="22"/>
      <c r="AB98" s="22" t="s">
        <v>43</v>
      </c>
      <c r="AC98" s="25"/>
      <c r="AD98" s="22"/>
      <c r="AE98" s="16">
        <v>3</v>
      </c>
    </row>
    <row r="99" spans="1:31" s="24" customFormat="1" ht="20.100000000000001" customHeight="1" x14ac:dyDescent="0.25">
      <c r="A99" s="14" t="s">
        <v>231</v>
      </c>
      <c r="B99" s="15" t="s">
        <v>40</v>
      </c>
      <c r="C99" s="16">
        <v>39</v>
      </c>
      <c r="D99" s="17" t="s">
        <v>572</v>
      </c>
      <c r="E99" s="18" t="s">
        <v>2316</v>
      </c>
      <c r="F99" s="17" t="s">
        <v>548</v>
      </c>
      <c r="G99" s="89" t="s">
        <v>2442</v>
      </c>
      <c r="H99" s="19" t="s">
        <v>232</v>
      </c>
      <c r="I99" s="20" t="s">
        <v>548</v>
      </c>
      <c r="J99" s="21">
        <v>44410</v>
      </c>
      <c r="K99" s="22" t="s">
        <v>42</v>
      </c>
      <c r="L99" s="23">
        <v>0</v>
      </c>
      <c r="M99" s="22">
        <v>2021</v>
      </c>
      <c r="N99" s="26">
        <v>157</v>
      </c>
      <c r="O99" s="22">
        <v>157</v>
      </c>
      <c r="P99" s="26">
        <v>0</v>
      </c>
      <c r="Q99" s="26">
        <v>0</v>
      </c>
      <c r="R99" s="26">
        <v>157</v>
      </c>
      <c r="S99" s="26">
        <v>157</v>
      </c>
      <c r="T99" s="26">
        <v>157</v>
      </c>
      <c r="U99" s="26">
        <v>157</v>
      </c>
      <c r="V99" s="26">
        <v>157</v>
      </c>
      <c r="W99" s="22">
        <v>0</v>
      </c>
      <c r="X99" s="22">
        <v>0</v>
      </c>
      <c r="Y99" s="22" t="s">
        <v>43</v>
      </c>
      <c r="Z99" s="22"/>
      <c r="AA99" s="22"/>
      <c r="AB99" s="22" t="s">
        <v>43</v>
      </c>
      <c r="AC99" s="25"/>
      <c r="AD99" s="22"/>
      <c r="AE99" s="16">
        <v>2</v>
      </c>
    </row>
    <row r="100" spans="1:31" s="24" customFormat="1" ht="20.100000000000001" customHeight="1" x14ac:dyDescent="0.25">
      <c r="A100" s="14" t="s">
        <v>233</v>
      </c>
      <c r="B100" s="15" t="s">
        <v>40</v>
      </c>
      <c r="C100" s="16">
        <v>39</v>
      </c>
      <c r="D100" s="17" t="s">
        <v>572</v>
      </c>
      <c r="E100" s="18" t="s">
        <v>2316</v>
      </c>
      <c r="F100" s="17" t="s">
        <v>548</v>
      </c>
      <c r="G100" s="89" t="s">
        <v>2443</v>
      </c>
      <c r="H100" s="19" t="s">
        <v>234</v>
      </c>
      <c r="I100" s="20" t="s">
        <v>548</v>
      </c>
      <c r="J100" s="21">
        <v>44410</v>
      </c>
      <c r="K100" s="22" t="s">
        <v>42</v>
      </c>
      <c r="L100" s="23">
        <v>0</v>
      </c>
      <c r="M100" s="22">
        <v>2021</v>
      </c>
      <c r="N100" s="26">
        <v>416</v>
      </c>
      <c r="O100" s="22">
        <v>416</v>
      </c>
      <c r="P100" s="26">
        <v>0</v>
      </c>
      <c r="Q100" s="26">
        <v>0</v>
      </c>
      <c r="R100" s="26">
        <v>416</v>
      </c>
      <c r="S100" s="26">
        <v>416</v>
      </c>
      <c r="T100" s="26">
        <v>416</v>
      </c>
      <c r="U100" s="26">
        <v>416</v>
      </c>
      <c r="V100" s="26">
        <v>416</v>
      </c>
      <c r="W100" s="22">
        <v>0</v>
      </c>
      <c r="X100" s="22">
        <v>0</v>
      </c>
      <c r="Y100" s="22" t="s">
        <v>43</v>
      </c>
      <c r="Z100" s="22"/>
      <c r="AA100" s="22"/>
      <c r="AB100" s="22" t="s">
        <v>43</v>
      </c>
      <c r="AC100" s="25"/>
      <c r="AD100" s="22"/>
      <c r="AE100" s="16">
        <v>2</v>
      </c>
    </row>
    <row r="101" spans="1:31" s="24" customFormat="1" ht="20.100000000000001" customHeight="1" x14ac:dyDescent="0.25">
      <c r="A101" s="14" t="s">
        <v>235</v>
      </c>
      <c r="B101" s="15" t="s">
        <v>40</v>
      </c>
      <c r="C101" s="16">
        <v>39</v>
      </c>
      <c r="D101" s="17" t="s">
        <v>572</v>
      </c>
      <c r="E101" s="18" t="s">
        <v>2316</v>
      </c>
      <c r="F101" s="17" t="s">
        <v>548</v>
      </c>
      <c r="G101" s="89" t="s">
        <v>2444</v>
      </c>
      <c r="H101" s="19" t="s">
        <v>236</v>
      </c>
      <c r="I101" s="20" t="s">
        <v>548</v>
      </c>
      <c r="J101" s="21">
        <v>44410</v>
      </c>
      <c r="K101" s="22" t="s">
        <v>42</v>
      </c>
      <c r="L101" s="23">
        <v>0</v>
      </c>
      <c r="M101" s="22">
        <v>2021</v>
      </c>
      <c r="N101" s="26">
        <v>3.5</v>
      </c>
      <c r="O101" s="22">
        <v>3.5</v>
      </c>
      <c r="P101" s="26">
        <v>0</v>
      </c>
      <c r="Q101" s="26">
        <v>0</v>
      </c>
      <c r="R101" s="26">
        <v>3.5</v>
      </c>
      <c r="S101" s="26">
        <v>3.5</v>
      </c>
      <c r="T101" s="26">
        <v>3.5</v>
      </c>
      <c r="U101" s="26">
        <v>3.5</v>
      </c>
      <c r="V101" s="26">
        <v>3.5</v>
      </c>
      <c r="W101" s="22">
        <v>0</v>
      </c>
      <c r="X101" s="22">
        <v>0</v>
      </c>
      <c r="Y101" s="22" t="s">
        <v>43</v>
      </c>
      <c r="Z101" s="22"/>
      <c r="AA101" s="22"/>
      <c r="AB101" s="22" t="s">
        <v>43</v>
      </c>
      <c r="AC101" s="25"/>
      <c r="AD101" s="22"/>
      <c r="AE101" s="16">
        <v>2</v>
      </c>
    </row>
    <row r="102" spans="1:31" s="24" customFormat="1" ht="20.100000000000001" customHeight="1" x14ac:dyDescent="0.25">
      <c r="A102" s="14" t="s">
        <v>237</v>
      </c>
      <c r="B102" s="15" t="s">
        <v>40</v>
      </c>
      <c r="C102" s="16">
        <v>39</v>
      </c>
      <c r="D102" s="17" t="s">
        <v>572</v>
      </c>
      <c r="E102" s="18" t="s">
        <v>2316</v>
      </c>
      <c r="F102" s="17" t="s">
        <v>548</v>
      </c>
      <c r="G102" s="89" t="s">
        <v>2445</v>
      </c>
      <c r="H102" s="19" t="s">
        <v>238</v>
      </c>
      <c r="I102" s="20" t="s">
        <v>548</v>
      </c>
      <c r="J102" s="21">
        <v>44410</v>
      </c>
      <c r="K102" s="22" t="s">
        <v>42</v>
      </c>
      <c r="L102" s="23">
        <v>0</v>
      </c>
      <c r="M102" s="22">
        <v>2021</v>
      </c>
      <c r="N102" s="26">
        <v>2</v>
      </c>
      <c r="O102" s="22">
        <v>2</v>
      </c>
      <c r="P102" s="26">
        <v>0</v>
      </c>
      <c r="Q102" s="26">
        <v>0</v>
      </c>
      <c r="R102" s="26">
        <v>2</v>
      </c>
      <c r="S102" s="26">
        <v>2</v>
      </c>
      <c r="T102" s="26">
        <v>2</v>
      </c>
      <c r="U102" s="26">
        <v>2</v>
      </c>
      <c r="V102" s="26">
        <v>2</v>
      </c>
      <c r="W102" s="22">
        <v>0</v>
      </c>
      <c r="X102" s="22">
        <v>0</v>
      </c>
      <c r="Y102" s="22" t="s">
        <v>43</v>
      </c>
      <c r="Z102" s="22"/>
      <c r="AA102" s="22"/>
      <c r="AB102" s="22" t="s">
        <v>43</v>
      </c>
      <c r="AC102" s="25"/>
      <c r="AD102" s="22"/>
      <c r="AE102" s="16">
        <v>2</v>
      </c>
    </row>
    <row r="103" spans="1:31" s="24" customFormat="1" ht="20.100000000000001" customHeight="1" x14ac:dyDescent="0.25">
      <c r="A103" s="14" t="s">
        <v>239</v>
      </c>
      <c r="B103" s="15" t="s">
        <v>40</v>
      </c>
      <c r="C103" s="16">
        <v>39</v>
      </c>
      <c r="D103" s="17" t="s">
        <v>572</v>
      </c>
      <c r="E103" s="18" t="s">
        <v>2316</v>
      </c>
      <c r="F103" s="17" t="s">
        <v>548</v>
      </c>
      <c r="G103" s="89" t="s">
        <v>2446</v>
      </c>
      <c r="H103" s="19" t="s">
        <v>240</v>
      </c>
      <c r="I103" s="20" t="s">
        <v>548</v>
      </c>
      <c r="J103" s="21">
        <v>44410</v>
      </c>
      <c r="K103" s="22" t="s">
        <v>42</v>
      </c>
      <c r="L103" s="23">
        <v>0</v>
      </c>
      <c r="M103" s="22">
        <v>2021</v>
      </c>
      <c r="N103" s="26">
        <v>2</v>
      </c>
      <c r="O103" s="22">
        <v>2</v>
      </c>
      <c r="P103" s="26">
        <v>0</v>
      </c>
      <c r="Q103" s="26">
        <v>0</v>
      </c>
      <c r="R103" s="26">
        <v>2</v>
      </c>
      <c r="S103" s="26">
        <v>2</v>
      </c>
      <c r="T103" s="26">
        <v>2</v>
      </c>
      <c r="U103" s="26">
        <v>2</v>
      </c>
      <c r="V103" s="26">
        <v>2</v>
      </c>
      <c r="W103" s="22">
        <v>0</v>
      </c>
      <c r="X103" s="22">
        <v>0</v>
      </c>
      <c r="Y103" s="22" t="s">
        <v>43</v>
      </c>
      <c r="Z103" s="22"/>
      <c r="AA103" s="22"/>
      <c r="AB103" s="22" t="s">
        <v>43</v>
      </c>
      <c r="AC103" s="25"/>
      <c r="AD103" s="22"/>
      <c r="AE103" s="16">
        <v>2</v>
      </c>
    </row>
    <row r="104" spans="1:31" s="24" customFormat="1" ht="20.100000000000001" customHeight="1" x14ac:dyDescent="0.25">
      <c r="A104" s="14" t="s">
        <v>241</v>
      </c>
      <c r="B104" s="15" t="s">
        <v>40</v>
      </c>
      <c r="C104" s="16">
        <v>39</v>
      </c>
      <c r="D104" s="17" t="s">
        <v>572</v>
      </c>
      <c r="E104" s="18" t="s">
        <v>2316</v>
      </c>
      <c r="F104" s="17" t="s">
        <v>548</v>
      </c>
      <c r="G104" s="89" t="s">
        <v>2447</v>
      </c>
      <c r="H104" s="19" t="s">
        <v>242</v>
      </c>
      <c r="I104" s="20" t="s">
        <v>548</v>
      </c>
      <c r="J104" s="21">
        <v>44410</v>
      </c>
      <c r="K104" s="22" t="s">
        <v>42</v>
      </c>
      <c r="L104" s="23">
        <v>0</v>
      </c>
      <c r="M104" s="22">
        <v>2021</v>
      </c>
      <c r="N104" s="26">
        <v>1</v>
      </c>
      <c r="O104" s="22">
        <v>1</v>
      </c>
      <c r="P104" s="26">
        <v>0</v>
      </c>
      <c r="Q104" s="26">
        <v>0</v>
      </c>
      <c r="R104" s="26">
        <v>0</v>
      </c>
      <c r="S104" s="26">
        <v>0</v>
      </c>
      <c r="T104" s="26">
        <v>1</v>
      </c>
      <c r="U104" s="26">
        <v>1</v>
      </c>
      <c r="V104" s="26">
        <v>1</v>
      </c>
      <c r="W104" s="22">
        <v>0</v>
      </c>
      <c r="X104" s="22">
        <v>0</v>
      </c>
      <c r="Y104" s="22" t="s">
        <v>43</v>
      </c>
      <c r="Z104" s="22"/>
      <c r="AA104" s="22"/>
      <c r="AB104" s="22" t="s">
        <v>43</v>
      </c>
      <c r="AC104" s="25"/>
      <c r="AD104" s="22"/>
      <c r="AE104" s="16">
        <v>2</v>
      </c>
    </row>
    <row r="105" spans="1:31" s="24" customFormat="1" ht="20.100000000000001" customHeight="1" x14ac:dyDescent="0.25">
      <c r="A105" s="14" t="s">
        <v>243</v>
      </c>
      <c r="B105" s="15" t="s">
        <v>40</v>
      </c>
      <c r="C105" s="16">
        <v>40</v>
      </c>
      <c r="D105" s="17" t="s">
        <v>577</v>
      </c>
      <c r="E105" s="18" t="s">
        <v>2317</v>
      </c>
      <c r="F105" s="17" t="s">
        <v>548</v>
      </c>
      <c r="G105" s="89" t="s">
        <v>2448</v>
      </c>
      <c r="H105" s="19" t="s">
        <v>244</v>
      </c>
      <c r="I105" s="20" t="s">
        <v>548</v>
      </c>
      <c r="J105" s="21">
        <v>44410</v>
      </c>
      <c r="K105" s="22" t="s">
        <v>42</v>
      </c>
      <c r="L105" s="23">
        <v>0</v>
      </c>
      <c r="M105" s="22">
        <v>2021</v>
      </c>
      <c r="N105" s="26">
        <v>561</v>
      </c>
      <c r="O105" s="22">
        <v>561</v>
      </c>
      <c r="P105" s="26">
        <v>0</v>
      </c>
      <c r="Q105" s="26">
        <v>0</v>
      </c>
      <c r="R105" s="26">
        <v>0</v>
      </c>
      <c r="S105" s="26">
        <v>561</v>
      </c>
      <c r="T105" s="26">
        <v>561</v>
      </c>
      <c r="U105" s="26">
        <v>561</v>
      </c>
      <c r="V105" s="26">
        <v>561</v>
      </c>
      <c r="W105" s="22">
        <v>0</v>
      </c>
      <c r="X105" s="22">
        <v>0</v>
      </c>
      <c r="Y105" s="22" t="s">
        <v>43</v>
      </c>
      <c r="Z105" s="22"/>
      <c r="AA105" s="22"/>
      <c r="AB105" s="22" t="s">
        <v>43</v>
      </c>
      <c r="AC105" s="25"/>
      <c r="AD105" s="22"/>
      <c r="AE105" s="16">
        <v>2</v>
      </c>
    </row>
    <row r="106" spans="1:31" s="24" customFormat="1" ht="20.100000000000001" customHeight="1" x14ac:dyDescent="0.25">
      <c r="A106" s="14" t="s">
        <v>245</v>
      </c>
      <c r="B106" s="15" t="s">
        <v>40</v>
      </c>
      <c r="C106" s="16">
        <v>40</v>
      </c>
      <c r="D106" s="17" t="s">
        <v>577</v>
      </c>
      <c r="E106" s="18" t="s">
        <v>2317</v>
      </c>
      <c r="F106" s="17" t="s">
        <v>548</v>
      </c>
      <c r="G106" s="89" t="s">
        <v>2449</v>
      </c>
      <c r="H106" s="19" t="s">
        <v>246</v>
      </c>
      <c r="I106" s="20" t="s">
        <v>548</v>
      </c>
      <c r="J106" s="21">
        <v>44410</v>
      </c>
      <c r="K106" s="22" t="s">
        <v>42</v>
      </c>
      <c r="L106" s="23">
        <v>0</v>
      </c>
      <c r="M106" s="22">
        <v>2021</v>
      </c>
      <c r="N106" s="26">
        <v>0</v>
      </c>
      <c r="O106" s="22">
        <v>0</v>
      </c>
      <c r="P106" s="26">
        <v>0</v>
      </c>
      <c r="Q106" s="26">
        <v>0</v>
      </c>
      <c r="R106" s="26">
        <v>0</v>
      </c>
      <c r="S106" s="26">
        <v>0</v>
      </c>
      <c r="T106" s="26">
        <v>0</v>
      </c>
      <c r="U106" s="26">
        <v>0</v>
      </c>
      <c r="V106" s="26">
        <v>0</v>
      </c>
      <c r="W106" s="22">
        <v>0</v>
      </c>
      <c r="X106" s="22">
        <v>0</v>
      </c>
      <c r="Y106" s="22" t="s">
        <v>43</v>
      </c>
      <c r="Z106" s="22"/>
      <c r="AA106" s="22"/>
      <c r="AB106" s="22" t="s">
        <v>43</v>
      </c>
      <c r="AC106" s="25"/>
      <c r="AD106" s="22"/>
      <c r="AE106" s="16">
        <v>1</v>
      </c>
    </row>
    <row r="107" spans="1:31" s="24" customFormat="1" ht="20.100000000000001" customHeight="1" x14ac:dyDescent="0.25">
      <c r="A107" s="14" t="s">
        <v>247</v>
      </c>
      <c r="B107" s="15" t="s">
        <v>40</v>
      </c>
      <c r="C107" s="16">
        <v>40</v>
      </c>
      <c r="D107" s="17" t="s">
        <v>577</v>
      </c>
      <c r="E107" s="18" t="s">
        <v>2317</v>
      </c>
      <c r="F107" s="17" t="s">
        <v>548</v>
      </c>
      <c r="G107" s="89" t="s">
        <v>2450</v>
      </c>
      <c r="H107" s="19" t="s">
        <v>248</v>
      </c>
      <c r="I107" s="20" t="s">
        <v>548</v>
      </c>
      <c r="J107" s="21">
        <v>44410</v>
      </c>
      <c r="K107" s="22" t="s">
        <v>42</v>
      </c>
      <c r="L107" s="23">
        <v>0</v>
      </c>
      <c r="M107" s="22">
        <v>2021</v>
      </c>
      <c r="N107" s="26">
        <v>100</v>
      </c>
      <c r="O107" s="22">
        <v>1</v>
      </c>
      <c r="P107" s="26">
        <v>0</v>
      </c>
      <c r="Q107" s="26">
        <v>15</v>
      </c>
      <c r="R107" s="26">
        <v>30</v>
      </c>
      <c r="S107" s="26">
        <v>50</v>
      </c>
      <c r="T107" s="26">
        <v>100</v>
      </c>
      <c r="U107" s="26">
        <v>100</v>
      </c>
      <c r="V107" s="26">
        <v>100</v>
      </c>
      <c r="W107" s="22">
        <v>0</v>
      </c>
      <c r="X107" s="22">
        <v>11</v>
      </c>
      <c r="Y107" s="22" t="s">
        <v>43</v>
      </c>
      <c r="Z107" s="22"/>
      <c r="AA107" s="22"/>
      <c r="AB107" s="22" t="s">
        <v>43</v>
      </c>
      <c r="AC107" s="25"/>
      <c r="AD107" s="22"/>
      <c r="AE107" s="16">
        <v>2</v>
      </c>
    </row>
    <row r="108" spans="1:31" s="24" customFormat="1" ht="20.100000000000001" customHeight="1" x14ac:dyDescent="0.25">
      <c r="A108" s="14" t="s">
        <v>249</v>
      </c>
      <c r="B108" s="15" t="s">
        <v>40</v>
      </c>
      <c r="C108" s="16">
        <v>40</v>
      </c>
      <c r="D108" s="17" t="s">
        <v>577</v>
      </c>
      <c r="E108" s="18" t="s">
        <v>2317</v>
      </c>
      <c r="F108" s="17" t="s">
        <v>548</v>
      </c>
      <c r="G108" s="89" t="s">
        <v>2451</v>
      </c>
      <c r="H108" s="19" t="s">
        <v>250</v>
      </c>
      <c r="I108" s="20" t="s">
        <v>548</v>
      </c>
      <c r="J108" s="21">
        <v>44410</v>
      </c>
      <c r="K108" s="22" t="s">
        <v>42</v>
      </c>
      <c r="L108" s="23">
        <v>127</v>
      </c>
      <c r="M108" s="22">
        <v>2021</v>
      </c>
      <c r="N108" s="26">
        <v>146</v>
      </c>
      <c r="O108" s="22">
        <v>146</v>
      </c>
      <c r="P108" s="26">
        <v>127</v>
      </c>
      <c r="Q108" s="26">
        <v>127</v>
      </c>
      <c r="R108" s="26">
        <v>146</v>
      </c>
      <c r="S108" s="26">
        <v>146</v>
      </c>
      <c r="T108" s="26">
        <v>146</v>
      </c>
      <c r="U108" s="26">
        <v>146</v>
      </c>
      <c r="V108" s="26">
        <v>146</v>
      </c>
      <c r="W108" s="22">
        <v>127</v>
      </c>
      <c r="X108" s="22">
        <v>127</v>
      </c>
      <c r="Y108" s="22" t="s">
        <v>43</v>
      </c>
      <c r="Z108" s="22"/>
      <c r="AA108" s="22"/>
      <c r="AB108" s="22" t="s">
        <v>43</v>
      </c>
      <c r="AC108" s="25"/>
      <c r="AD108" s="22"/>
      <c r="AE108" s="16">
        <v>2</v>
      </c>
    </row>
    <row r="109" spans="1:31" s="24" customFormat="1" ht="20.100000000000001" customHeight="1" x14ac:dyDescent="0.25">
      <c r="A109" s="14" t="s">
        <v>251</v>
      </c>
      <c r="B109" s="15" t="s">
        <v>40</v>
      </c>
      <c r="C109" s="16">
        <v>40</v>
      </c>
      <c r="D109" s="17" t="s">
        <v>577</v>
      </c>
      <c r="E109" s="18" t="s">
        <v>2317</v>
      </c>
      <c r="F109" s="17" t="s">
        <v>548</v>
      </c>
      <c r="G109" s="89" t="s">
        <v>2452</v>
      </c>
      <c r="H109" s="19" t="s">
        <v>252</v>
      </c>
      <c r="I109" s="20" t="s">
        <v>548</v>
      </c>
      <c r="J109" s="21">
        <v>44410</v>
      </c>
      <c r="K109" s="22" t="s">
        <v>42</v>
      </c>
      <c r="L109" s="23">
        <v>57</v>
      </c>
      <c r="M109" s="22">
        <v>2021</v>
      </c>
      <c r="N109" s="26">
        <v>57</v>
      </c>
      <c r="O109" s="22">
        <v>57</v>
      </c>
      <c r="P109" s="26">
        <v>57</v>
      </c>
      <c r="Q109" s="26">
        <v>57</v>
      </c>
      <c r="R109" s="26">
        <v>57</v>
      </c>
      <c r="S109" s="26">
        <v>57</v>
      </c>
      <c r="T109" s="26">
        <v>57</v>
      </c>
      <c r="U109" s="26">
        <v>57</v>
      </c>
      <c r="V109" s="26">
        <v>57</v>
      </c>
      <c r="W109" s="22">
        <v>57</v>
      </c>
      <c r="X109" s="22">
        <v>57</v>
      </c>
      <c r="Y109" s="22" t="s">
        <v>43</v>
      </c>
      <c r="Z109" s="22"/>
      <c r="AA109" s="22"/>
      <c r="AB109" s="22" t="s">
        <v>43</v>
      </c>
      <c r="AC109" s="25"/>
      <c r="AD109" s="22"/>
      <c r="AE109" s="16">
        <v>2</v>
      </c>
    </row>
    <row r="110" spans="1:31" s="24" customFormat="1" ht="20.100000000000001" customHeight="1" x14ac:dyDescent="0.25">
      <c r="A110" s="14" t="s">
        <v>253</v>
      </c>
      <c r="B110" s="15" t="s">
        <v>40</v>
      </c>
      <c r="C110" s="16">
        <v>40</v>
      </c>
      <c r="D110" s="17" t="s">
        <v>577</v>
      </c>
      <c r="E110" s="18" t="s">
        <v>2317</v>
      </c>
      <c r="F110" s="17" t="s">
        <v>548</v>
      </c>
      <c r="G110" s="89" t="s">
        <v>2453</v>
      </c>
      <c r="H110" s="19" t="s">
        <v>254</v>
      </c>
      <c r="I110" s="20" t="s">
        <v>548</v>
      </c>
      <c r="J110" s="21">
        <v>44410</v>
      </c>
      <c r="K110" s="22" t="s">
        <v>42</v>
      </c>
      <c r="L110" s="23">
        <v>0.108</v>
      </c>
      <c r="M110" s="22">
        <v>2021</v>
      </c>
      <c r="N110" s="26">
        <v>50</v>
      </c>
      <c r="O110" s="22">
        <v>0.5</v>
      </c>
      <c r="P110" s="26">
        <v>11</v>
      </c>
      <c r="Q110" s="26">
        <v>13</v>
      </c>
      <c r="R110" s="26">
        <v>25</v>
      </c>
      <c r="S110" s="26">
        <v>30</v>
      </c>
      <c r="T110" s="26">
        <v>35</v>
      </c>
      <c r="U110" s="26">
        <v>50</v>
      </c>
      <c r="V110" s="26">
        <v>50</v>
      </c>
      <c r="W110" s="22">
        <v>70</v>
      </c>
      <c r="X110" s="22">
        <v>70</v>
      </c>
      <c r="Y110" s="22" t="s">
        <v>43</v>
      </c>
      <c r="Z110" s="22"/>
      <c r="AA110" s="22"/>
      <c r="AB110" s="22" t="s">
        <v>43</v>
      </c>
      <c r="AC110" s="25"/>
      <c r="AD110" s="22"/>
      <c r="AE110" s="16">
        <v>2</v>
      </c>
    </row>
    <row r="111" spans="1:31" s="24" customFormat="1" ht="20.100000000000001" customHeight="1" x14ac:dyDescent="0.25">
      <c r="A111" s="14" t="s">
        <v>255</v>
      </c>
      <c r="B111" s="15" t="s">
        <v>40</v>
      </c>
      <c r="C111" s="16">
        <v>40</v>
      </c>
      <c r="D111" s="17" t="s">
        <v>577</v>
      </c>
      <c r="E111" s="18" t="s">
        <v>2317</v>
      </c>
      <c r="F111" s="17" t="s">
        <v>548</v>
      </c>
      <c r="G111" s="89" t="s">
        <v>2454</v>
      </c>
      <c r="H111" s="19" t="s">
        <v>256</v>
      </c>
      <c r="I111" s="20" t="s">
        <v>548</v>
      </c>
      <c r="J111" s="21">
        <v>44410</v>
      </c>
      <c r="K111" s="22" t="s">
        <v>42</v>
      </c>
      <c r="L111" s="23" t="s">
        <v>778</v>
      </c>
      <c r="M111" s="22">
        <v>2021</v>
      </c>
      <c r="N111" s="26">
        <v>80</v>
      </c>
      <c r="O111" s="28">
        <v>0.80000001192092896</v>
      </c>
      <c r="P111" s="26">
        <v>65</v>
      </c>
      <c r="Q111" s="26">
        <v>65</v>
      </c>
      <c r="R111" s="26">
        <v>65</v>
      </c>
      <c r="S111" s="26">
        <v>70</v>
      </c>
      <c r="T111" s="26">
        <v>75</v>
      </c>
      <c r="U111" s="26">
        <v>80</v>
      </c>
      <c r="V111" s="26">
        <v>80</v>
      </c>
      <c r="W111" s="22">
        <v>15</v>
      </c>
      <c r="X111" s="22">
        <v>15</v>
      </c>
      <c r="Y111" s="22" t="s">
        <v>43</v>
      </c>
      <c r="Z111" s="22"/>
      <c r="AA111" s="22"/>
      <c r="AB111" s="22" t="s">
        <v>43</v>
      </c>
      <c r="AC111" s="25"/>
      <c r="AD111" s="22"/>
      <c r="AE111" s="16">
        <v>2</v>
      </c>
    </row>
    <row r="112" spans="1:31" s="24" customFormat="1" ht="20.100000000000001" customHeight="1" x14ac:dyDescent="0.25">
      <c r="A112" s="14" t="s">
        <v>257</v>
      </c>
      <c r="B112" s="15" t="s">
        <v>40</v>
      </c>
      <c r="C112" s="16">
        <v>40</v>
      </c>
      <c r="D112" s="17" t="s">
        <v>577</v>
      </c>
      <c r="E112" s="18" t="s">
        <v>2317</v>
      </c>
      <c r="F112" s="17" t="s">
        <v>548</v>
      </c>
      <c r="G112" s="89" t="s">
        <v>2455</v>
      </c>
      <c r="H112" s="19" t="s">
        <v>258</v>
      </c>
      <c r="I112" s="20" t="s">
        <v>548</v>
      </c>
      <c r="J112" s="21">
        <v>44410</v>
      </c>
      <c r="K112" s="22" t="s">
        <v>42</v>
      </c>
      <c r="L112" s="23">
        <v>0</v>
      </c>
      <c r="M112" s="22">
        <v>2021</v>
      </c>
      <c r="N112" s="26">
        <v>5</v>
      </c>
      <c r="O112" s="22">
        <v>5</v>
      </c>
      <c r="P112" s="26">
        <v>0</v>
      </c>
      <c r="Q112" s="26">
        <v>0</v>
      </c>
      <c r="R112" s="26">
        <v>5</v>
      </c>
      <c r="S112" s="26">
        <v>5</v>
      </c>
      <c r="T112" s="26">
        <v>5</v>
      </c>
      <c r="U112" s="26">
        <v>5</v>
      </c>
      <c r="V112" s="26">
        <v>5</v>
      </c>
      <c r="W112" s="22">
        <v>70</v>
      </c>
      <c r="X112" s="22">
        <v>70</v>
      </c>
      <c r="Y112" s="22" t="s">
        <v>43</v>
      </c>
      <c r="Z112" s="22"/>
      <c r="AA112" s="22"/>
      <c r="AB112" s="22" t="s">
        <v>43</v>
      </c>
      <c r="AC112" s="25"/>
      <c r="AD112" s="22"/>
      <c r="AE112" s="16">
        <v>2</v>
      </c>
    </row>
    <row r="113" spans="1:31" s="24" customFormat="1" ht="20.100000000000001" customHeight="1" x14ac:dyDescent="0.25">
      <c r="A113" s="14" t="s">
        <v>259</v>
      </c>
      <c r="B113" s="15" t="s">
        <v>40</v>
      </c>
      <c r="C113" s="16">
        <v>40</v>
      </c>
      <c r="D113" s="17" t="s">
        <v>577</v>
      </c>
      <c r="E113" s="18" t="s">
        <v>2317</v>
      </c>
      <c r="F113" s="17" t="s">
        <v>548</v>
      </c>
      <c r="G113" s="89" t="s">
        <v>2456</v>
      </c>
      <c r="H113" s="19" t="s">
        <v>260</v>
      </c>
      <c r="I113" s="20" t="s">
        <v>548</v>
      </c>
      <c r="J113" s="21">
        <v>44410</v>
      </c>
      <c r="K113" s="22" t="s">
        <v>42</v>
      </c>
      <c r="L113" s="23">
        <v>0</v>
      </c>
      <c r="M113" s="22">
        <v>2021</v>
      </c>
      <c r="N113" s="26">
        <v>0</v>
      </c>
      <c r="O113" s="22">
        <v>0</v>
      </c>
      <c r="P113" s="26">
        <v>0</v>
      </c>
      <c r="Q113" s="26">
        <v>0</v>
      </c>
      <c r="R113" s="26">
        <v>0</v>
      </c>
      <c r="S113" s="26">
        <v>0</v>
      </c>
      <c r="T113" s="26">
        <v>0</v>
      </c>
      <c r="U113" s="26">
        <v>0</v>
      </c>
      <c r="V113" s="26">
        <v>0</v>
      </c>
      <c r="W113" s="22">
        <v>0</v>
      </c>
      <c r="X113" s="22">
        <v>0</v>
      </c>
      <c r="Y113" s="22" t="s">
        <v>43</v>
      </c>
      <c r="Z113" s="22"/>
      <c r="AA113" s="22"/>
      <c r="AB113" s="22" t="s">
        <v>43</v>
      </c>
      <c r="AC113" s="25"/>
      <c r="AD113" s="22"/>
      <c r="AE113" s="16">
        <v>1</v>
      </c>
    </row>
    <row r="114" spans="1:31" s="24" customFormat="1" ht="20.100000000000001" customHeight="1" x14ac:dyDescent="0.25">
      <c r="A114" s="14" t="s">
        <v>261</v>
      </c>
      <c r="B114" s="15" t="s">
        <v>40</v>
      </c>
      <c r="C114" s="16">
        <v>40</v>
      </c>
      <c r="D114" s="17" t="s">
        <v>577</v>
      </c>
      <c r="E114" s="18" t="s">
        <v>2317</v>
      </c>
      <c r="F114" s="17" t="s">
        <v>548</v>
      </c>
      <c r="G114" s="89" t="s">
        <v>2457</v>
      </c>
      <c r="H114" s="19" t="s">
        <v>262</v>
      </c>
      <c r="I114" s="20" t="s">
        <v>548</v>
      </c>
      <c r="J114" s="21">
        <v>44410</v>
      </c>
      <c r="K114" s="22" t="s">
        <v>42</v>
      </c>
      <c r="L114" s="23" t="s">
        <v>781</v>
      </c>
      <c r="M114" s="22">
        <v>2021</v>
      </c>
      <c r="N114" s="26">
        <v>50</v>
      </c>
      <c r="O114" s="22">
        <v>0.5</v>
      </c>
      <c r="P114" s="26">
        <v>50</v>
      </c>
      <c r="Q114" s="26">
        <v>50</v>
      </c>
      <c r="R114" s="26">
        <v>50</v>
      </c>
      <c r="S114" s="26">
        <v>50</v>
      </c>
      <c r="T114" s="26">
        <v>50</v>
      </c>
      <c r="U114" s="26">
        <v>50</v>
      </c>
      <c r="V114" s="26">
        <v>50</v>
      </c>
      <c r="W114" s="22">
        <v>0</v>
      </c>
      <c r="X114" s="22">
        <v>0</v>
      </c>
      <c r="Y114" s="22" t="s">
        <v>43</v>
      </c>
      <c r="Z114" s="22"/>
      <c r="AA114" s="22"/>
      <c r="AB114" s="22" t="s">
        <v>43</v>
      </c>
      <c r="AC114" s="25"/>
      <c r="AD114" s="22"/>
      <c r="AE114" s="16">
        <v>2</v>
      </c>
    </row>
    <row r="115" spans="1:31" s="24" customFormat="1" ht="20.100000000000001" customHeight="1" x14ac:dyDescent="0.25">
      <c r="A115" s="14" t="s">
        <v>263</v>
      </c>
      <c r="B115" s="15" t="s">
        <v>40</v>
      </c>
      <c r="C115" s="16">
        <v>40</v>
      </c>
      <c r="D115" s="17" t="s">
        <v>577</v>
      </c>
      <c r="E115" s="18" t="s">
        <v>2317</v>
      </c>
      <c r="F115" s="17" t="s">
        <v>548</v>
      </c>
      <c r="G115" s="89" t="s">
        <v>2458</v>
      </c>
      <c r="H115" s="19" t="s">
        <v>264</v>
      </c>
      <c r="I115" s="20" t="s">
        <v>548</v>
      </c>
      <c r="J115" s="21">
        <v>44410</v>
      </c>
      <c r="K115" s="22" t="s">
        <v>42</v>
      </c>
      <c r="L115" s="23">
        <v>0</v>
      </c>
      <c r="M115" s="22">
        <v>2021</v>
      </c>
      <c r="N115" s="26">
        <v>0</v>
      </c>
      <c r="O115" s="22">
        <v>0</v>
      </c>
      <c r="P115" s="26">
        <v>0</v>
      </c>
      <c r="Q115" s="26">
        <v>0</v>
      </c>
      <c r="R115" s="26">
        <v>0</v>
      </c>
      <c r="S115" s="26">
        <v>0</v>
      </c>
      <c r="T115" s="26">
        <v>0</v>
      </c>
      <c r="U115" s="26">
        <v>0</v>
      </c>
      <c r="V115" s="26">
        <v>0</v>
      </c>
      <c r="W115" s="22">
        <v>0</v>
      </c>
      <c r="X115" s="22">
        <v>0</v>
      </c>
      <c r="Y115" s="22" t="s">
        <v>43</v>
      </c>
      <c r="Z115" s="22"/>
      <c r="AA115" s="22"/>
      <c r="AB115" s="22" t="s">
        <v>43</v>
      </c>
      <c r="AC115" s="25"/>
      <c r="AD115" s="22"/>
      <c r="AE115" s="16">
        <v>1</v>
      </c>
    </row>
    <row r="116" spans="1:31" s="24" customFormat="1" ht="20.100000000000001" customHeight="1" x14ac:dyDescent="0.25">
      <c r="A116" s="14" t="s">
        <v>265</v>
      </c>
      <c r="B116" s="15" t="s">
        <v>40</v>
      </c>
      <c r="C116" s="16">
        <v>40</v>
      </c>
      <c r="D116" s="17" t="s">
        <v>577</v>
      </c>
      <c r="E116" s="18" t="s">
        <v>2317</v>
      </c>
      <c r="F116" s="17" t="s">
        <v>548</v>
      </c>
      <c r="G116" s="89" t="s">
        <v>2459</v>
      </c>
      <c r="H116" s="19" t="s">
        <v>266</v>
      </c>
      <c r="I116" s="20" t="s">
        <v>548</v>
      </c>
      <c r="J116" s="21">
        <v>44410</v>
      </c>
      <c r="K116" s="22" t="s">
        <v>42</v>
      </c>
      <c r="L116" s="23">
        <v>0</v>
      </c>
      <c r="M116" s="22">
        <v>2021</v>
      </c>
      <c r="N116" s="26">
        <v>0</v>
      </c>
      <c r="O116" s="22">
        <v>0</v>
      </c>
      <c r="P116" s="26">
        <v>0</v>
      </c>
      <c r="Q116" s="26">
        <v>0</v>
      </c>
      <c r="R116" s="26">
        <v>0</v>
      </c>
      <c r="S116" s="26">
        <v>0</v>
      </c>
      <c r="T116" s="26">
        <v>0</v>
      </c>
      <c r="U116" s="26">
        <v>0</v>
      </c>
      <c r="V116" s="26">
        <v>0</v>
      </c>
      <c r="W116" s="22">
        <v>50</v>
      </c>
      <c r="X116" s="22">
        <v>100</v>
      </c>
      <c r="Y116" s="22" t="s">
        <v>43</v>
      </c>
      <c r="Z116" s="22"/>
      <c r="AA116" s="22"/>
      <c r="AB116" s="22" t="s">
        <v>43</v>
      </c>
      <c r="AC116" s="25"/>
      <c r="AD116" s="22"/>
      <c r="AE116" s="16">
        <v>1</v>
      </c>
    </row>
    <row r="117" spans="1:31" s="24" customFormat="1" ht="20.100000000000001" customHeight="1" x14ac:dyDescent="0.25">
      <c r="A117" s="14" t="s">
        <v>267</v>
      </c>
      <c r="B117" s="15" t="s">
        <v>40</v>
      </c>
      <c r="C117" s="16">
        <v>40</v>
      </c>
      <c r="D117" s="17" t="s">
        <v>577</v>
      </c>
      <c r="E117" s="18" t="s">
        <v>2317</v>
      </c>
      <c r="F117" s="17" t="s">
        <v>548</v>
      </c>
      <c r="G117" s="89" t="s">
        <v>2460</v>
      </c>
      <c r="H117" s="19" t="s">
        <v>268</v>
      </c>
      <c r="I117" s="20" t="s">
        <v>548</v>
      </c>
      <c r="J117" s="21">
        <v>44410</v>
      </c>
      <c r="K117" s="22" t="s">
        <v>42</v>
      </c>
      <c r="L117" s="23">
        <v>0</v>
      </c>
      <c r="M117" s="22">
        <v>2021</v>
      </c>
      <c r="N117" s="26">
        <v>0</v>
      </c>
      <c r="O117" s="22">
        <v>0</v>
      </c>
      <c r="P117" s="26">
        <v>0</v>
      </c>
      <c r="Q117" s="26">
        <v>0</v>
      </c>
      <c r="R117" s="26">
        <v>0</v>
      </c>
      <c r="S117" s="26">
        <v>0</v>
      </c>
      <c r="T117" s="26">
        <v>0</v>
      </c>
      <c r="U117" s="26">
        <v>0</v>
      </c>
      <c r="V117" s="26">
        <v>0</v>
      </c>
      <c r="W117" s="22">
        <v>0</v>
      </c>
      <c r="X117" s="22">
        <v>0</v>
      </c>
      <c r="Y117" s="22" t="s">
        <v>43</v>
      </c>
      <c r="Z117" s="22"/>
      <c r="AA117" s="22"/>
      <c r="AB117" s="22" t="s">
        <v>43</v>
      </c>
      <c r="AC117" s="25"/>
      <c r="AD117" s="22"/>
      <c r="AE117" s="16">
        <v>1</v>
      </c>
    </row>
    <row r="118" spans="1:31" s="24" customFormat="1" ht="20.100000000000001" customHeight="1" x14ac:dyDescent="0.25">
      <c r="A118" s="14" t="s">
        <v>269</v>
      </c>
      <c r="B118" s="15" t="s">
        <v>40</v>
      </c>
      <c r="C118" s="16">
        <v>41</v>
      </c>
      <c r="D118" s="17" t="s">
        <v>707</v>
      </c>
      <c r="E118" s="18" t="s">
        <v>2347</v>
      </c>
      <c r="F118" s="17" t="s">
        <v>548</v>
      </c>
      <c r="G118" s="89" t="s">
        <v>2461</v>
      </c>
      <c r="H118" s="19" t="s">
        <v>270</v>
      </c>
      <c r="I118" s="20" t="s">
        <v>548</v>
      </c>
      <c r="J118" s="21">
        <v>44423</v>
      </c>
      <c r="K118" s="22" t="s">
        <v>42</v>
      </c>
      <c r="L118" s="23">
        <v>0</v>
      </c>
      <c r="M118" s="22">
        <v>2021</v>
      </c>
      <c r="N118" s="26">
        <v>19</v>
      </c>
      <c r="O118" s="22">
        <v>19</v>
      </c>
      <c r="P118" s="26">
        <v>3</v>
      </c>
      <c r="Q118" s="26">
        <v>5</v>
      </c>
      <c r="R118" s="26">
        <v>9</v>
      </c>
      <c r="S118" s="26">
        <v>11</v>
      </c>
      <c r="T118" s="26">
        <v>15</v>
      </c>
      <c r="U118" s="26">
        <v>19</v>
      </c>
      <c r="V118" s="26">
        <v>19</v>
      </c>
      <c r="W118" s="22">
        <v>1</v>
      </c>
      <c r="X118" s="22">
        <v>1</v>
      </c>
      <c r="Y118" s="22" t="s">
        <v>43</v>
      </c>
      <c r="Z118" s="22"/>
      <c r="AA118" s="22"/>
      <c r="AB118" s="22" t="s">
        <v>43</v>
      </c>
      <c r="AC118" s="25"/>
      <c r="AD118" s="22"/>
      <c r="AE118" s="16">
        <v>1</v>
      </c>
    </row>
    <row r="119" spans="1:31" s="24" customFormat="1" ht="20.100000000000001" customHeight="1" x14ac:dyDescent="0.25">
      <c r="A119" s="14" t="s">
        <v>271</v>
      </c>
      <c r="B119" s="15" t="s">
        <v>40</v>
      </c>
      <c r="C119" s="16">
        <v>41</v>
      </c>
      <c r="D119" s="17" t="s">
        <v>707</v>
      </c>
      <c r="E119" s="18" t="s">
        <v>2347</v>
      </c>
      <c r="F119" s="17" t="s">
        <v>548</v>
      </c>
      <c r="G119" s="89" t="s">
        <v>2462</v>
      </c>
      <c r="H119" s="19" t="s">
        <v>272</v>
      </c>
      <c r="I119" s="20" t="s">
        <v>548</v>
      </c>
      <c r="J119" s="21">
        <v>44423</v>
      </c>
      <c r="K119" s="22" t="s">
        <v>42</v>
      </c>
      <c r="L119" s="23">
        <v>0.2</v>
      </c>
      <c r="M119" s="22">
        <v>2021</v>
      </c>
      <c r="N119" s="26">
        <v>70</v>
      </c>
      <c r="O119" s="28">
        <v>0.69999998807907104</v>
      </c>
      <c r="P119" s="26">
        <v>20</v>
      </c>
      <c r="Q119" s="26">
        <v>30</v>
      </c>
      <c r="R119" s="26">
        <v>40</v>
      </c>
      <c r="S119" s="26">
        <v>50</v>
      </c>
      <c r="T119" s="26">
        <v>60</v>
      </c>
      <c r="U119" s="26">
        <v>70</v>
      </c>
      <c r="V119" s="26">
        <v>70</v>
      </c>
      <c r="W119" s="22">
        <v>35</v>
      </c>
      <c r="X119" s="22">
        <v>50</v>
      </c>
      <c r="Y119" s="22" t="s">
        <v>43</v>
      </c>
      <c r="Z119" s="22"/>
      <c r="AA119" s="22"/>
      <c r="AB119" s="22" t="s">
        <v>43</v>
      </c>
      <c r="AC119" s="25"/>
      <c r="AD119" s="22"/>
      <c r="AE119" s="16">
        <v>2</v>
      </c>
    </row>
    <row r="120" spans="1:31" s="24" customFormat="1" ht="20.100000000000001" customHeight="1" x14ac:dyDescent="0.25">
      <c r="A120" s="14" t="s">
        <v>273</v>
      </c>
      <c r="B120" s="15" t="s">
        <v>40</v>
      </c>
      <c r="C120" s="16">
        <v>41</v>
      </c>
      <c r="D120" s="17" t="s">
        <v>707</v>
      </c>
      <c r="E120" s="18" t="s">
        <v>2347</v>
      </c>
      <c r="F120" s="17" t="s">
        <v>548</v>
      </c>
      <c r="G120" s="89" t="s">
        <v>2463</v>
      </c>
      <c r="H120" s="19" t="s">
        <v>274</v>
      </c>
      <c r="I120" s="20" t="s">
        <v>548</v>
      </c>
      <c r="J120" s="21">
        <v>44423</v>
      </c>
      <c r="K120" s="22" t="s">
        <v>42</v>
      </c>
      <c r="L120" s="23">
        <v>0.2</v>
      </c>
      <c r="M120" s="22">
        <v>2021</v>
      </c>
      <c r="N120" s="26">
        <v>75</v>
      </c>
      <c r="O120" s="22">
        <v>0.75</v>
      </c>
      <c r="P120" s="26">
        <v>30</v>
      </c>
      <c r="Q120" s="26">
        <v>40</v>
      </c>
      <c r="R120" s="26">
        <v>50</v>
      </c>
      <c r="S120" s="26">
        <v>60</v>
      </c>
      <c r="T120" s="26">
        <v>70</v>
      </c>
      <c r="U120" s="26">
        <v>75</v>
      </c>
      <c r="V120" s="26">
        <v>75</v>
      </c>
      <c r="W120" s="22">
        <v>20</v>
      </c>
      <c r="X120" s="22">
        <v>40</v>
      </c>
      <c r="Y120" s="22" t="s">
        <v>43</v>
      </c>
      <c r="Z120" s="22"/>
      <c r="AA120" s="22"/>
      <c r="AB120" s="22" t="s">
        <v>43</v>
      </c>
      <c r="AC120" s="25"/>
      <c r="AD120" s="22"/>
      <c r="AE120" s="16">
        <v>2</v>
      </c>
    </row>
    <row r="121" spans="1:31" s="24" customFormat="1" ht="20.100000000000001" customHeight="1" x14ac:dyDescent="0.25">
      <c r="A121" s="14" t="s">
        <v>275</v>
      </c>
      <c r="B121" s="15" t="s">
        <v>40</v>
      </c>
      <c r="C121" s="16">
        <v>42</v>
      </c>
      <c r="D121" s="17" t="s">
        <v>582</v>
      </c>
      <c r="E121" s="18" t="s">
        <v>2318</v>
      </c>
      <c r="F121" s="17" t="s">
        <v>548</v>
      </c>
      <c r="G121" s="89" t="s">
        <v>2464</v>
      </c>
      <c r="H121" s="19" t="s">
        <v>276</v>
      </c>
      <c r="I121" s="20" t="s">
        <v>548</v>
      </c>
      <c r="J121" s="21">
        <v>44409</v>
      </c>
      <c r="K121" s="22" t="s">
        <v>42</v>
      </c>
      <c r="L121" s="23">
        <v>22</v>
      </c>
      <c r="M121" s="22">
        <v>2020</v>
      </c>
      <c r="N121" s="26">
        <v>12</v>
      </c>
      <c r="O121" s="22">
        <v>12</v>
      </c>
      <c r="P121" s="26">
        <v>4</v>
      </c>
      <c r="Q121" s="26">
        <v>7</v>
      </c>
      <c r="R121" s="26">
        <v>8</v>
      </c>
      <c r="S121" s="26">
        <v>10</v>
      </c>
      <c r="T121" s="26">
        <v>11</v>
      </c>
      <c r="U121" s="26">
        <v>12</v>
      </c>
      <c r="V121" s="26">
        <v>12</v>
      </c>
      <c r="W121" s="22">
        <v>1</v>
      </c>
      <c r="X121" s="22">
        <v>3</v>
      </c>
      <c r="Y121" s="22" t="s">
        <v>43</v>
      </c>
      <c r="Z121" s="22"/>
      <c r="AA121" s="22"/>
      <c r="AB121" s="22" t="s">
        <v>43</v>
      </c>
      <c r="AC121" s="25"/>
      <c r="AD121" s="22"/>
      <c r="AE121" s="16">
        <v>3</v>
      </c>
    </row>
    <row r="122" spans="1:31" s="24" customFormat="1" ht="20.100000000000001" customHeight="1" x14ac:dyDescent="0.25">
      <c r="A122" s="14" t="s">
        <v>277</v>
      </c>
      <c r="B122" s="15" t="s">
        <v>40</v>
      </c>
      <c r="C122" s="16">
        <v>42</v>
      </c>
      <c r="D122" s="17" t="s">
        <v>582</v>
      </c>
      <c r="E122" s="18" t="s">
        <v>2318</v>
      </c>
      <c r="F122" s="17" t="s">
        <v>548</v>
      </c>
      <c r="G122" s="89" t="s">
        <v>2465</v>
      </c>
      <c r="H122" s="19" t="s">
        <v>278</v>
      </c>
      <c r="I122" s="20" t="s">
        <v>548</v>
      </c>
      <c r="J122" s="21">
        <v>44409</v>
      </c>
      <c r="K122" s="22" t="s">
        <v>42</v>
      </c>
      <c r="L122" s="23">
        <v>3</v>
      </c>
      <c r="M122" s="22">
        <v>2020</v>
      </c>
      <c r="N122" s="26">
        <v>7</v>
      </c>
      <c r="O122" s="22">
        <v>7</v>
      </c>
      <c r="P122" s="26">
        <v>2</v>
      </c>
      <c r="Q122" s="26">
        <v>3</v>
      </c>
      <c r="R122" s="26">
        <v>5</v>
      </c>
      <c r="S122" s="26">
        <v>7</v>
      </c>
      <c r="T122" s="26">
        <v>7</v>
      </c>
      <c r="U122" s="26">
        <v>7</v>
      </c>
      <c r="V122" s="26">
        <v>7</v>
      </c>
      <c r="W122" s="22">
        <v>1</v>
      </c>
      <c r="X122" s="22">
        <v>1</v>
      </c>
      <c r="Y122" s="22" t="s">
        <v>43</v>
      </c>
      <c r="Z122" s="22"/>
      <c r="AA122" s="22"/>
      <c r="AB122" s="22" t="s">
        <v>43</v>
      </c>
      <c r="AC122" s="25"/>
      <c r="AD122" s="22"/>
      <c r="AE122" s="16">
        <v>3</v>
      </c>
    </row>
    <row r="123" spans="1:31" s="24" customFormat="1" ht="20.100000000000001" customHeight="1" x14ac:dyDescent="0.25">
      <c r="A123" s="14" t="s">
        <v>279</v>
      </c>
      <c r="B123" s="15" t="s">
        <v>40</v>
      </c>
      <c r="C123" s="16">
        <v>42</v>
      </c>
      <c r="D123" s="17" t="s">
        <v>582</v>
      </c>
      <c r="E123" s="18" t="s">
        <v>2318</v>
      </c>
      <c r="F123" s="17" t="s">
        <v>548</v>
      </c>
      <c r="G123" s="89" t="s">
        <v>2466</v>
      </c>
      <c r="H123" s="19" t="s">
        <v>280</v>
      </c>
      <c r="I123" s="20" t="s">
        <v>548</v>
      </c>
      <c r="J123" s="21">
        <v>44409</v>
      </c>
      <c r="K123" s="22" t="s">
        <v>42</v>
      </c>
      <c r="L123" s="23">
        <v>2</v>
      </c>
      <c r="M123" s="22">
        <v>2020</v>
      </c>
      <c r="N123" s="26">
        <v>8</v>
      </c>
      <c r="O123" s="22">
        <v>8</v>
      </c>
      <c r="P123" s="26">
        <v>2</v>
      </c>
      <c r="Q123" s="26">
        <v>4</v>
      </c>
      <c r="R123" s="26">
        <v>5</v>
      </c>
      <c r="S123" s="26">
        <v>7</v>
      </c>
      <c r="T123" s="26">
        <v>8</v>
      </c>
      <c r="U123" s="26">
        <v>8</v>
      </c>
      <c r="V123" s="26">
        <v>8</v>
      </c>
      <c r="W123" s="22">
        <v>2</v>
      </c>
      <c r="X123" s="22">
        <v>2</v>
      </c>
      <c r="Y123" s="22" t="s">
        <v>43</v>
      </c>
      <c r="Z123" s="22"/>
      <c r="AA123" s="22"/>
      <c r="AB123" s="22" t="s">
        <v>43</v>
      </c>
      <c r="AC123" s="25"/>
      <c r="AD123" s="22"/>
      <c r="AE123" s="16">
        <v>3</v>
      </c>
    </row>
    <row r="124" spans="1:31" s="24" customFormat="1" ht="20.100000000000001" customHeight="1" x14ac:dyDescent="0.25">
      <c r="A124" s="14" t="s">
        <v>281</v>
      </c>
      <c r="B124" s="15" t="s">
        <v>40</v>
      </c>
      <c r="C124" s="16">
        <v>43</v>
      </c>
      <c r="D124" s="17" t="s">
        <v>587</v>
      </c>
      <c r="E124" s="18" t="s">
        <v>2319</v>
      </c>
      <c r="F124" s="17" t="s">
        <v>411</v>
      </c>
      <c r="G124" s="89" t="s">
        <v>2467</v>
      </c>
      <c r="H124" s="19" t="s">
        <v>282</v>
      </c>
      <c r="I124" s="20" t="s">
        <v>411</v>
      </c>
      <c r="J124" s="21">
        <v>44593</v>
      </c>
      <c r="K124" s="22" t="s">
        <v>42</v>
      </c>
      <c r="L124" s="23">
        <v>0</v>
      </c>
      <c r="M124" s="22">
        <v>2021</v>
      </c>
      <c r="N124" s="26">
        <v>100</v>
      </c>
      <c r="O124" s="22">
        <v>1</v>
      </c>
      <c r="P124" s="26">
        <v>0</v>
      </c>
      <c r="Q124" s="26">
        <v>20</v>
      </c>
      <c r="R124" s="26">
        <v>50</v>
      </c>
      <c r="S124" s="26">
        <v>70</v>
      </c>
      <c r="T124" s="26">
        <v>100</v>
      </c>
      <c r="U124" s="26">
        <v>100</v>
      </c>
      <c r="V124" s="26">
        <v>100</v>
      </c>
      <c r="W124" s="22">
        <v>0</v>
      </c>
      <c r="X124" s="22">
        <v>20</v>
      </c>
      <c r="Y124" s="22" t="s">
        <v>43</v>
      </c>
      <c r="Z124" s="22"/>
      <c r="AA124" s="22"/>
      <c r="AB124" s="22" t="s">
        <v>43</v>
      </c>
      <c r="AC124" s="25"/>
      <c r="AD124" s="22"/>
      <c r="AE124" s="16">
        <v>3</v>
      </c>
    </row>
    <row r="125" spans="1:31" s="24" customFormat="1" ht="20.100000000000001" customHeight="1" x14ac:dyDescent="0.25">
      <c r="A125" s="14" t="s">
        <v>283</v>
      </c>
      <c r="B125" s="15" t="s">
        <v>40</v>
      </c>
      <c r="C125" s="16">
        <v>44</v>
      </c>
      <c r="D125" s="17" t="s">
        <v>592</v>
      </c>
      <c r="E125" s="18" t="s">
        <v>2320</v>
      </c>
      <c r="F125" s="17" t="s">
        <v>537</v>
      </c>
      <c r="G125" s="89" t="s">
        <v>284</v>
      </c>
      <c r="H125" s="19" t="s">
        <v>284</v>
      </c>
      <c r="I125" s="20" t="s">
        <v>537</v>
      </c>
      <c r="J125" s="21">
        <v>44562</v>
      </c>
      <c r="K125" s="22" t="s">
        <v>42</v>
      </c>
      <c r="L125" s="23">
        <v>2</v>
      </c>
      <c r="M125" s="22">
        <v>2021</v>
      </c>
      <c r="N125" s="26">
        <v>2</v>
      </c>
      <c r="O125" s="22">
        <v>2</v>
      </c>
      <c r="P125" s="26">
        <v>0</v>
      </c>
      <c r="Q125" s="26">
        <v>0</v>
      </c>
      <c r="R125" s="26">
        <v>1</v>
      </c>
      <c r="S125" s="26">
        <v>2</v>
      </c>
      <c r="T125" s="26">
        <v>2</v>
      </c>
      <c r="U125" s="26">
        <v>2</v>
      </c>
      <c r="V125" s="26">
        <v>2</v>
      </c>
      <c r="W125" s="22">
        <v>0</v>
      </c>
      <c r="X125" s="22">
        <v>0</v>
      </c>
      <c r="Y125" s="22" t="s">
        <v>43</v>
      </c>
      <c r="Z125" s="22"/>
      <c r="AA125" s="22"/>
      <c r="AB125" s="22" t="s">
        <v>43</v>
      </c>
      <c r="AC125" s="25"/>
      <c r="AD125" s="22"/>
      <c r="AE125" s="16">
        <v>3</v>
      </c>
    </row>
    <row r="126" spans="1:31" s="24" customFormat="1" ht="20.100000000000001" customHeight="1" x14ac:dyDescent="0.25">
      <c r="A126" s="14" t="s">
        <v>285</v>
      </c>
      <c r="B126" s="15" t="s">
        <v>40</v>
      </c>
      <c r="C126" s="16">
        <v>44</v>
      </c>
      <c r="D126" s="17" t="s">
        <v>592</v>
      </c>
      <c r="E126" s="18" t="s">
        <v>2320</v>
      </c>
      <c r="F126" s="17" t="s">
        <v>537</v>
      </c>
      <c r="G126" s="89" t="s">
        <v>2468</v>
      </c>
      <c r="H126" s="19" t="s">
        <v>286</v>
      </c>
      <c r="I126" s="20" t="s">
        <v>537</v>
      </c>
      <c r="J126" s="21">
        <v>44562</v>
      </c>
      <c r="K126" s="22" t="s">
        <v>42</v>
      </c>
      <c r="L126" s="23">
        <v>16</v>
      </c>
      <c r="M126" s="22">
        <v>2021</v>
      </c>
      <c r="N126" s="26">
        <v>16</v>
      </c>
      <c r="O126" s="22">
        <v>16</v>
      </c>
      <c r="P126" s="26">
        <v>0</v>
      </c>
      <c r="Q126" s="26">
        <v>0</v>
      </c>
      <c r="R126" s="26">
        <v>8</v>
      </c>
      <c r="S126" s="26">
        <v>16</v>
      </c>
      <c r="T126" s="26">
        <v>16</v>
      </c>
      <c r="U126" s="26">
        <v>16</v>
      </c>
      <c r="V126" s="26">
        <v>16</v>
      </c>
      <c r="W126" s="22">
        <v>0</v>
      </c>
      <c r="X126" s="22">
        <v>0</v>
      </c>
      <c r="Y126" s="22" t="s">
        <v>43</v>
      </c>
      <c r="Z126" s="22"/>
      <c r="AA126" s="22"/>
      <c r="AB126" s="22" t="s">
        <v>43</v>
      </c>
      <c r="AC126" s="25"/>
      <c r="AD126" s="22"/>
      <c r="AE126" s="16">
        <v>3</v>
      </c>
    </row>
    <row r="127" spans="1:31" s="24" customFormat="1" ht="20.100000000000001" customHeight="1" x14ac:dyDescent="0.25">
      <c r="A127" s="14" t="s">
        <v>287</v>
      </c>
      <c r="B127" s="15" t="s">
        <v>40</v>
      </c>
      <c r="C127" s="16">
        <v>44</v>
      </c>
      <c r="D127" s="17" t="s">
        <v>592</v>
      </c>
      <c r="E127" s="18" t="s">
        <v>2320</v>
      </c>
      <c r="F127" s="17" t="s">
        <v>537</v>
      </c>
      <c r="G127" s="89" t="s">
        <v>2469</v>
      </c>
      <c r="H127" s="19" t="s">
        <v>288</v>
      </c>
      <c r="I127" s="20" t="s">
        <v>537</v>
      </c>
      <c r="J127" s="21">
        <v>44562</v>
      </c>
      <c r="K127" s="22" t="s">
        <v>42</v>
      </c>
      <c r="L127" s="23">
        <v>2</v>
      </c>
      <c r="M127" s="22">
        <v>2021</v>
      </c>
      <c r="N127" s="26">
        <v>2</v>
      </c>
      <c r="O127" s="22">
        <v>2</v>
      </c>
      <c r="P127" s="26">
        <v>0</v>
      </c>
      <c r="Q127" s="26">
        <v>0</v>
      </c>
      <c r="R127" s="26">
        <v>1</v>
      </c>
      <c r="S127" s="26">
        <v>2</v>
      </c>
      <c r="T127" s="26">
        <v>2</v>
      </c>
      <c r="U127" s="26">
        <v>2</v>
      </c>
      <c r="V127" s="26">
        <v>2</v>
      </c>
      <c r="W127" s="22">
        <v>0</v>
      </c>
      <c r="X127" s="22">
        <v>0</v>
      </c>
      <c r="Y127" s="22" t="s">
        <v>43</v>
      </c>
      <c r="Z127" s="22"/>
      <c r="AA127" s="22"/>
      <c r="AB127" s="22" t="s">
        <v>43</v>
      </c>
      <c r="AC127" s="25"/>
      <c r="AD127" s="22"/>
      <c r="AE127" s="16">
        <v>3</v>
      </c>
    </row>
    <row r="128" spans="1:31" s="24" customFormat="1" ht="20.100000000000001" customHeight="1" x14ac:dyDescent="0.25">
      <c r="A128" s="14" t="s">
        <v>289</v>
      </c>
      <c r="B128" s="15" t="s">
        <v>40</v>
      </c>
      <c r="C128" s="16">
        <v>45</v>
      </c>
      <c r="D128" s="17" t="s">
        <v>597</v>
      </c>
      <c r="E128" s="18" t="s">
        <v>2321</v>
      </c>
      <c r="F128" s="17" t="s">
        <v>537</v>
      </c>
      <c r="G128" s="89" t="s">
        <v>2470</v>
      </c>
      <c r="H128" s="19" t="s">
        <v>290</v>
      </c>
      <c r="I128" s="20" t="s">
        <v>537</v>
      </c>
      <c r="J128" s="21">
        <v>44409</v>
      </c>
      <c r="K128" s="22" t="s">
        <v>42</v>
      </c>
      <c r="L128" s="23">
        <v>0</v>
      </c>
      <c r="M128" s="22">
        <v>2021</v>
      </c>
      <c r="N128" s="26">
        <v>100</v>
      </c>
      <c r="O128" s="22">
        <v>1</v>
      </c>
      <c r="P128" s="26">
        <v>10</v>
      </c>
      <c r="Q128" s="26">
        <v>70</v>
      </c>
      <c r="R128" s="26">
        <v>100</v>
      </c>
      <c r="S128" s="26">
        <v>100</v>
      </c>
      <c r="T128" s="26">
        <v>100</v>
      </c>
      <c r="U128" s="26">
        <v>100</v>
      </c>
      <c r="V128" s="26">
        <v>100</v>
      </c>
      <c r="W128" s="22">
        <v>10</v>
      </c>
      <c r="X128" s="22">
        <v>30</v>
      </c>
      <c r="Y128" s="22" t="s">
        <v>43</v>
      </c>
      <c r="Z128" s="22"/>
      <c r="AA128" s="22"/>
      <c r="AB128" s="22" t="s">
        <v>43</v>
      </c>
      <c r="AC128" s="25"/>
      <c r="AD128" s="22"/>
      <c r="AE128" s="16">
        <v>2</v>
      </c>
    </row>
    <row r="129" spans="1:31" s="24" customFormat="1" ht="20.100000000000001" customHeight="1" x14ac:dyDescent="0.25">
      <c r="A129" s="14" t="s">
        <v>291</v>
      </c>
      <c r="B129" s="15" t="s">
        <v>40</v>
      </c>
      <c r="C129" s="16">
        <v>45</v>
      </c>
      <c r="D129" s="17" t="s">
        <v>597</v>
      </c>
      <c r="E129" s="18" t="s">
        <v>2321</v>
      </c>
      <c r="F129" s="17" t="s">
        <v>537</v>
      </c>
      <c r="G129" s="89" t="s">
        <v>2471</v>
      </c>
      <c r="H129" s="19" t="s">
        <v>292</v>
      </c>
      <c r="I129" s="20" t="s">
        <v>537</v>
      </c>
      <c r="J129" s="21">
        <v>44409</v>
      </c>
      <c r="K129" s="22" t="s">
        <v>42</v>
      </c>
      <c r="L129" s="23">
        <v>0</v>
      </c>
      <c r="M129" s="22">
        <v>2021</v>
      </c>
      <c r="N129" s="26">
        <v>100</v>
      </c>
      <c r="O129" s="22">
        <v>1</v>
      </c>
      <c r="P129" s="26">
        <v>0</v>
      </c>
      <c r="Q129" s="26">
        <v>20</v>
      </c>
      <c r="R129" s="26">
        <v>50</v>
      </c>
      <c r="S129" s="26">
        <v>100</v>
      </c>
      <c r="T129" s="26">
        <v>100</v>
      </c>
      <c r="U129" s="26">
        <v>100</v>
      </c>
      <c r="V129" s="26">
        <v>100</v>
      </c>
      <c r="W129" s="22">
        <v>0</v>
      </c>
      <c r="X129" s="22">
        <v>0</v>
      </c>
      <c r="Y129" s="22" t="s">
        <v>43</v>
      </c>
      <c r="Z129" s="22"/>
      <c r="AA129" s="22"/>
      <c r="AB129" s="22" t="s">
        <v>43</v>
      </c>
      <c r="AC129" s="25"/>
      <c r="AD129" s="22"/>
      <c r="AE129" s="16">
        <v>3</v>
      </c>
    </row>
    <row r="130" spans="1:31" s="24" customFormat="1" ht="20.100000000000001" customHeight="1" x14ac:dyDescent="0.25">
      <c r="A130" s="14" t="s">
        <v>293</v>
      </c>
      <c r="B130" s="15" t="s">
        <v>40</v>
      </c>
      <c r="C130" s="16">
        <v>46</v>
      </c>
      <c r="D130" s="17" t="s">
        <v>602</v>
      </c>
      <c r="E130" s="18" t="s">
        <v>2322</v>
      </c>
      <c r="F130" s="17" t="s">
        <v>537</v>
      </c>
      <c r="G130" s="89" t="s">
        <v>2472</v>
      </c>
      <c r="H130" s="19" t="s">
        <v>294</v>
      </c>
      <c r="I130" s="20" t="s">
        <v>537</v>
      </c>
      <c r="J130" s="21">
        <v>44440</v>
      </c>
      <c r="K130" s="22" t="s">
        <v>42</v>
      </c>
      <c r="L130" s="23">
        <v>0</v>
      </c>
      <c r="M130" s="22">
        <v>2021</v>
      </c>
      <c r="N130" s="26">
        <v>120000</v>
      </c>
      <c r="O130" s="22">
        <v>120000</v>
      </c>
      <c r="P130" s="26">
        <v>10000</v>
      </c>
      <c r="Q130" s="26">
        <v>35000</v>
      </c>
      <c r="R130" s="26">
        <v>60000</v>
      </c>
      <c r="S130" s="26">
        <v>85000</v>
      </c>
      <c r="T130" s="26">
        <v>110000</v>
      </c>
      <c r="U130" s="26">
        <v>120000</v>
      </c>
      <c r="V130" s="26">
        <v>120000</v>
      </c>
      <c r="W130" s="22">
        <v>21771</v>
      </c>
      <c r="X130" s="22">
        <v>59517</v>
      </c>
      <c r="Y130" s="22" t="s">
        <v>43</v>
      </c>
      <c r="Z130" s="22"/>
      <c r="AA130" s="22"/>
      <c r="AB130" s="22" t="s">
        <v>43</v>
      </c>
      <c r="AC130" s="25"/>
      <c r="AD130" s="22"/>
      <c r="AE130" s="16">
        <v>3</v>
      </c>
    </row>
    <row r="131" spans="1:31" s="24" customFormat="1" ht="20.100000000000001" customHeight="1" x14ac:dyDescent="0.25">
      <c r="A131" s="14" t="s">
        <v>295</v>
      </c>
      <c r="B131" s="15" t="s">
        <v>40</v>
      </c>
      <c r="C131" s="16">
        <v>47</v>
      </c>
      <c r="D131" s="17" t="s">
        <v>607</v>
      </c>
      <c r="E131" s="18" t="s">
        <v>2323</v>
      </c>
      <c r="F131" s="17" t="s">
        <v>522</v>
      </c>
      <c r="G131" s="89" t="s">
        <v>2473</v>
      </c>
      <c r="H131" s="19" t="s">
        <v>296</v>
      </c>
      <c r="I131" s="20" t="s">
        <v>522</v>
      </c>
      <c r="J131" s="21">
        <v>44409</v>
      </c>
      <c r="K131" s="22" t="s">
        <v>42</v>
      </c>
      <c r="L131" s="23">
        <v>0</v>
      </c>
      <c r="M131" s="22">
        <v>2021</v>
      </c>
      <c r="N131" s="26">
        <v>2794</v>
      </c>
      <c r="O131" s="22">
        <v>2794</v>
      </c>
      <c r="P131" s="26">
        <v>0</v>
      </c>
      <c r="Q131" s="26">
        <v>0</v>
      </c>
      <c r="R131" s="26">
        <v>2794</v>
      </c>
      <c r="S131" s="26">
        <v>2794</v>
      </c>
      <c r="T131" s="26">
        <v>2794</v>
      </c>
      <c r="U131" s="26">
        <v>2794</v>
      </c>
      <c r="V131" s="26">
        <v>2794</v>
      </c>
      <c r="W131" s="22">
        <v>0</v>
      </c>
      <c r="X131" s="22">
        <v>0</v>
      </c>
      <c r="Y131" s="22" t="s">
        <v>43</v>
      </c>
      <c r="Z131" s="22"/>
      <c r="AA131" s="22"/>
      <c r="AB131" s="22" t="s">
        <v>43</v>
      </c>
      <c r="AC131" s="25"/>
      <c r="AD131" s="22"/>
      <c r="AE131" s="16">
        <v>1</v>
      </c>
    </row>
    <row r="132" spans="1:31" s="24" customFormat="1" ht="20.100000000000001" customHeight="1" x14ac:dyDescent="0.25">
      <c r="A132" s="14" t="s">
        <v>297</v>
      </c>
      <c r="B132" s="15" t="s">
        <v>40</v>
      </c>
      <c r="C132" s="16">
        <v>48</v>
      </c>
      <c r="D132" s="17" t="s">
        <v>612</v>
      </c>
      <c r="E132" s="18" t="s">
        <v>2324</v>
      </c>
      <c r="F132" s="17" t="s">
        <v>522</v>
      </c>
      <c r="G132" s="89" t="s">
        <v>2474</v>
      </c>
      <c r="H132" s="19" t="s">
        <v>298</v>
      </c>
      <c r="I132" s="20" t="s">
        <v>522</v>
      </c>
      <c r="J132" s="21">
        <v>44409</v>
      </c>
      <c r="K132" s="22" t="s">
        <v>42</v>
      </c>
      <c r="L132" s="23">
        <v>0</v>
      </c>
      <c r="M132" s="22">
        <v>2021</v>
      </c>
      <c r="N132" s="26">
        <v>22323</v>
      </c>
      <c r="O132" s="22">
        <v>22323</v>
      </c>
      <c r="P132" s="26">
        <v>0</v>
      </c>
      <c r="Q132" s="26">
        <v>0</v>
      </c>
      <c r="R132" s="26">
        <v>0</v>
      </c>
      <c r="S132" s="26">
        <v>0</v>
      </c>
      <c r="T132" s="26">
        <v>22323</v>
      </c>
      <c r="U132" s="26">
        <v>22323</v>
      </c>
      <c r="V132" s="26">
        <v>22323</v>
      </c>
      <c r="W132" s="22">
        <v>0</v>
      </c>
      <c r="X132" s="22">
        <v>0</v>
      </c>
      <c r="Y132" s="22" t="s">
        <v>43</v>
      </c>
      <c r="Z132" s="22"/>
      <c r="AA132" s="22"/>
      <c r="AB132" s="22" t="s">
        <v>43</v>
      </c>
      <c r="AC132" s="25"/>
      <c r="AD132" s="22"/>
      <c r="AE132" s="16">
        <v>1</v>
      </c>
    </row>
    <row r="133" spans="1:31" s="24" customFormat="1" ht="20.100000000000001" customHeight="1" x14ac:dyDescent="0.25">
      <c r="A133" s="14" t="s">
        <v>299</v>
      </c>
      <c r="B133" s="15" t="s">
        <v>40</v>
      </c>
      <c r="C133" s="16">
        <v>49</v>
      </c>
      <c r="D133" s="17" t="s">
        <v>614</v>
      </c>
      <c r="E133" s="18" t="s">
        <v>2325</v>
      </c>
      <c r="F133" s="17" t="s">
        <v>522</v>
      </c>
      <c r="G133" s="89" t="s">
        <v>2475</v>
      </c>
      <c r="H133" s="19" t="s">
        <v>300</v>
      </c>
      <c r="I133" s="20" t="s">
        <v>522</v>
      </c>
      <c r="J133" s="21">
        <v>44409</v>
      </c>
      <c r="K133" s="22" t="s">
        <v>42</v>
      </c>
      <c r="L133" s="23">
        <v>30000</v>
      </c>
      <c r="M133" s="22">
        <v>2021</v>
      </c>
      <c r="N133" s="26">
        <v>30000</v>
      </c>
      <c r="O133" s="22">
        <v>30000</v>
      </c>
      <c r="P133" s="26">
        <v>7600</v>
      </c>
      <c r="Q133" s="26">
        <v>9600</v>
      </c>
      <c r="R133" s="26">
        <v>12100</v>
      </c>
      <c r="S133" s="26">
        <v>14100</v>
      </c>
      <c r="T133" s="26">
        <v>16100</v>
      </c>
      <c r="U133" s="26">
        <v>30000</v>
      </c>
      <c r="V133" s="26">
        <v>30000</v>
      </c>
      <c r="W133" s="22">
        <v>5365</v>
      </c>
      <c r="X133" s="22">
        <v>8833</v>
      </c>
      <c r="Y133" s="22" t="s">
        <v>43</v>
      </c>
      <c r="Z133" s="22"/>
      <c r="AA133" s="22"/>
      <c r="AB133" s="22" t="s">
        <v>43</v>
      </c>
      <c r="AC133" s="25"/>
      <c r="AD133" s="22"/>
      <c r="AE133" s="16">
        <v>3</v>
      </c>
    </row>
    <row r="134" spans="1:31" s="24" customFormat="1" ht="20.100000000000001" customHeight="1" x14ac:dyDescent="0.25">
      <c r="A134" s="14" t="s">
        <v>301</v>
      </c>
      <c r="B134" s="15" t="s">
        <v>40</v>
      </c>
      <c r="C134" s="16">
        <v>50</v>
      </c>
      <c r="D134" s="17" t="s">
        <v>616</v>
      </c>
      <c r="E134" s="18" t="s">
        <v>2326</v>
      </c>
      <c r="F134" s="17" t="s">
        <v>474</v>
      </c>
      <c r="G134" s="89" t="s">
        <v>2476</v>
      </c>
      <c r="H134" s="19" t="s">
        <v>302</v>
      </c>
      <c r="I134" s="20" t="s">
        <v>474</v>
      </c>
      <c r="J134" s="21">
        <v>44470</v>
      </c>
      <c r="K134" s="22" t="s">
        <v>42</v>
      </c>
      <c r="L134" s="23">
        <v>0</v>
      </c>
      <c r="M134" s="22">
        <v>2020</v>
      </c>
      <c r="N134" s="26">
        <v>100</v>
      </c>
      <c r="O134" s="22">
        <v>1</v>
      </c>
      <c r="P134" s="26">
        <v>0</v>
      </c>
      <c r="Q134" s="26">
        <v>15</v>
      </c>
      <c r="R134" s="26">
        <v>80</v>
      </c>
      <c r="S134" s="26">
        <v>100</v>
      </c>
      <c r="T134" s="26">
        <v>100</v>
      </c>
      <c r="U134" s="26">
        <v>100</v>
      </c>
      <c r="V134" s="26">
        <v>100</v>
      </c>
      <c r="W134" s="22">
        <v>0</v>
      </c>
      <c r="X134" s="22">
        <v>11</v>
      </c>
      <c r="Y134" s="22" t="s">
        <v>43</v>
      </c>
      <c r="Z134" s="22"/>
      <c r="AA134" s="22"/>
      <c r="AB134" s="22" t="s">
        <v>43</v>
      </c>
      <c r="AC134" s="25"/>
      <c r="AD134" s="22"/>
      <c r="AE134" s="16">
        <v>3</v>
      </c>
    </row>
    <row r="135" spans="1:31" s="24" customFormat="1" ht="20.100000000000001" customHeight="1" x14ac:dyDescent="0.25">
      <c r="A135" s="14" t="s">
        <v>303</v>
      </c>
      <c r="B135" s="15" t="s">
        <v>40</v>
      </c>
      <c r="C135" s="16">
        <v>50</v>
      </c>
      <c r="D135" s="17" t="s">
        <v>616</v>
      </c>
      <c r="E135" s="18" t="s">
        <v>2326</v>
      </c>
      <c r="F135" s="17" t="s">
        <v>474</v>
      </c>
      <c r="G135" s="89" t="s">
        <v>2477</v>
      </c>
      <c r="H135" s="19" t="s">
        <v>304</v>
      </c>
      <c r="I135" s="20" t="s">
        <v>474</v>
      </c>
      <c r="J135" s="21">
        <v>44470</v>
      </c>
      <c r="K135" s="22" t="s">
        <v>42</v>
      </c>
      <c r="L135" s="23">
        <v>0</v>
      </c>
      <c r="M135" s="22">
        <v>2020</v>
      </c>
      <c r="N135" s="26">
        <v>200</v>
      </c>
      <c r="O135" s="22">
        <v>200</v>
      </c>
      <c r="P135" s="26">
        <v>0</v>
      </c>
      <c r="Q135" s="26">
        <v>0</v>
      </c>
      <c r="R135" s="26">
        <v>200</v>
      </c>
      <c r="S135" s="26">
        <v>200</v>
      </c>
      <c r="T135" s="26">
        <v>200</v>
      </c>
      <c r="U135" s="26">
        <v>200</v>
      </c>
      <c r="V135" s="26">
        <v>200</v>
      </c>
      <c r="W135" s="22">
        <v>0</v>
      </c>
      <c r="X135" s="22">
        <v>0</v>
      </c>
      <c r="Y135" s="22" t="s">
        <v>43</v>
      </c>
      <c r="Z135" s="22"/>
      <c r="AA135" s="22"/>
      <c r="AB135" s="22" t="s">
        <v>43</v>
      </c>
      <c r="AC135" s="25"/>
      <c r="AD135" s="22"/>
      <c r="AE135" s="16">
        <v>3</v>
      </c>
    </row>
    <row r="136" spans="1:31" s="24" customFormat="1" ht="20.100000000000001" customHeight="1" x14ac:dyDescent="0.25">
      <c r="A136" s="14" t="s">
        <v>305</v>
      </c>
      <c r="B136" s="15" t="s">
        <v>40</v>
      </c>
      <c r="C136" s="16">
        <v>50</v>
      </c>
      <c r="D136" s="17" t="s">
        <v>616</v>
      </c>
      <c r="E136" s="18" t="s">
        <v>2326</v>
      </c>
      <c r="F136" s="17" t="s">
        <v>474</v>
      </c>
      <c r="G136" s="89" t="s">
        <v>2478</v>
      </c>
      <c r="H136" s="19" t="s">
        <v>306</v>
      </c>
      <c r="I136" s="20" t="s">
        <v>474</v>
      </c>
      <c r="J136" s="21">
        <v>44470</v>
      </c>
      <c r="K136" s="22" t="s">
        <v>42</v>
      </c>
      <c r="L136" s="23">
        <v>0</v>
      </c>
      <c r="M136" s="22">
        <v>2020</v>
      </c>
      <c r="N136" s="26">
        <v>100</v>
      </c>
      <c r="O136" s="22">
        <v>1</v>
      </c>
      <c r="P136" s="26">
        <v>0</v>
      </c>
      <c r="Q136" s="26">
        <v>0</v>
      </c>
      <c r="R136" s="26">
        <v>0</v>
      </c>
      <c r="S136" s="26">
        <v>30</v>
      </c>
      <c r="T136" s="26">
        <v>80</v>
      </c>
      <c r="U136" s="26">
        <v>100</v>
      </c>
      <c r="V136" s="26">
        <v>100</v>
      </c>
      <c r="W136" s="22">
        <v>0</v>
      </c>
      <c r="X136" s="22">
        <v>0</v>
      </c>
      <c r="Y136" s="22" t="s">
        <v>43</v>
      </c>
      <c r="Z136" s="22"/>
      <c r="AA136" s="22"/>
      <c r="AB136" s="22" t="s">
        <v>43</v>
      </c>
      <c r="AC136" s="25"/>
      <c r="AD136" s="22"/>
      <c r="AE136" s="16">
        <v>2</v>
      </c>
    </row>
    <row r="137" spans="1:31" s="24" customFormat="1" ht="20.100000000000001" customHeight="1" x14ac:dyDescent="0.25">
      <c r="A137" s="14" t="s">
        <v>307</v>
      </c>
      <c r="B137" s="15" t="s">
        <v>40</v>
      </c>
      <c r="C137" s="16">
        <v>51</v>
      </c>
      <c r="D137" s="17" t="s">
        <v>621</v>
      </c>
      <c r="E137" s="18" t="s">
        <v>2327</v>
      </c>
      <c r="F137" s="17" t="s">
        <v>516</v>
      </c>
      <c r="G137" s="89" t="s">
        <v>2479</v>
      </c>
      <c r="H137" s="19" t="s">
        <v>308</v>
      </c>
      <c r="I137" s="20" t="s">
        <v>516</v>
      </c>
      <c r="J137" s="21">
        <v>44440</v>
      </c>
      <c r="K137" s="22" t="s">
        <v>42</v>
      </c>
      <c r="L137" s="23">
        <v>30</v>
      </c>
      <c r="M137" s="22">
        <v>2021</v>
      </c>
      <c r="N137" s="26">
        <v>110</v>
      </c>
      <c r="O137" s="22">
        <v>0</v>
      </c>
      <c r="P137" s="26">
        <v>20</v>
      </c>
      <c r="Q137" s="26">
        <v>40</v>
      </c>
      <c r="R137" s="26">
        <v>60</v>
      </c>
      <c r="S137" s="26">
        <v>80</v>
      </c>
      <c r="T137" s="26">
        <v>100</v>
      </c>
      <c r="U137" s="26">
        <v>110</v>
      </c>
      <c r="V137" s="26">
        <v>110</v>
      </c>
      <c r="W137" s="22">
        <v>94</v>
      </c>
      <c r="X137" s="22">
        <v>58</v>
      </c>
      <c r="Y137" s="22" t="s">
        <v>43</v>
      </c>
      <c r="Z137" s="22"/>
      <c r="AA137" s="22"/>
      <c r="AB137" s="22" t="s">
        <v>43</v>
      </c>
      <c r="AC137" s="25"/>
      <c r="AD137" s="22"/>
      <c r="AE137" s="16">
        <v>2</v>
      </c>
    </row>
    <row r="138" spans="1:31" s="24" customFormat="1" ht="20.100000000000001" customHeight="1" x14ac:dyDescent="0.25">
      <c r="A138" s="14" t="s">
        <v>309</v>
      </c>
      <c r="B138" s="15" t="s">
        <v>40</v>
      </c>
      <c r="C138" s="16">
        <v>51</v>
      </c>
      <c r="D138" s="17" t="s">
        <v>621</v>
      </c>
      <c r="E138" s="18" t="s">
        <v>2327</v>
      </c>
      <c r="F138" s="17" t="s">
        <v>516</v>
      </c>
      <c r="G138" s="89" t="s">
        <v>2480</v>
      </c>
      <c r="H138" s="19" t="s">
        <v>310</v>
      </c>
      <c r="I138" s="20" t="s">
        <v>516</v>
      </c>
      <c r="J138" s="21">
        <v>44440</v>
      </c>
      <c r="K138" s="22" t="s">
        <v>42</v>
      </c>
      <c r="L138" s="23">
        <v>393</v>
      </c>
      <c r="M138" s="22">
        <v>2021</v>
      </c>
      <c r="N138" s="26">
        <v>1150</v>
      </c>
      <c r="O138" s="22">
        <v>0</v>
      </c>
      <c r="P138" s="26">
        <v>100</v>
      </c>
      <c r="Q138" s="26">
        <v>350</v>
      </c>
      <c r="R138" s="26">
        <v>600</v>
      </c>
      <c r="S138" s="26">
        <v>850</v>
      </c>
      <c r="T138" s="26">
        <v>1100</v>
      </c>
      <c r="U138" s="26">
        <v>1150</v>
      </c>
      <c r="V138" s="26">
        <v>1150</v>
      </c>
      <c r="W138" s="22">
        <v>306</v>
      </c>
      <c r="X138" s="22">
        <v>1944</v>
      </c>
      <c r="Y138" s="22" t="s">
        <v>43</v>
      </c>
      <c r="Z138" s="22"/>
      <c r="AA138" s="22"/>
      <c r="AB138" s="22" t="s">
        <v>43</v>
      </c>
      <c r="AC138" s="25"/>
      <c r="AD138" s="22"/>
      <c r="AE138" s="16">
        <v>1</v>
      </c>
    </row>
    <row r="139" spans="1:31" s="24" customFormat="1" ht="20.100000000000001" customHeight="1" x14ac:dyDescent="0.25">
      <c r="A139" s="14" t="s">
        <v>311</v>
      </c>
      <c r="B139" s="15" t="s">
        <v>40</v>
      </c>
      <c r="C139" s="16">
        <v>51</v>
      </c>
      <c r="D139" s="17" t="s">
        <v>621</v>
      </c>
      <c r="E139" s="18" t="s">
        <v>2327</v>
      </c>
      <c r="F139" s="17" t="s">
        <v>516</v>
      </c>
      <c r="G139" s="89" t="s">
        <v>2481</v>
      </c>
      <c r="H139" s="19" t="s">
        <v>312</v>
      </c>
      <c r="I139" s="20" t="s">
        <v>516</v>
      </c>
      <c r="J139" s="21">
        <v>44440</v>
      </c>
      <c r="K139" s="22" t="s">
        <v>42</v>
      </c>
      <c r="L139" s="23">
        <v>7</v>
      </c>
      <c r="M139" s="22">
        <v>2020</v>
      </c>
      <c r="N139" s="26">
        <v>57</v>
      </c>
      <c r="O139" s="22">
        <v>0</v>
      </c>
      <c r="P139" s="26">
        <v>2</v>
      </c>
      <c r="Q139" s="26">
        <v>17</v>
      </c>
      <c r="R139" s="26">
        <v>27</v>
      </c>
      <c r="S139" s="26">
        <v>42</v>
      </c>
      <c r="T139" s="26">
        <v>57</v>
      </c>
      <c r="U139" s="26">
        <v>57</v>
      </c>
      <c r="V139" s="26">
        <v>57</v>
      </c>
      <c r="W139" s="22">
        <v>3</v>
      </c>
      <c r="X139" s="22">
        <v>46</v>
      </c>
      <c r="Y139" s="22" t="s">
        <v>43</v>
      </c>
      <c r="Z139" s="22"/>
      <c r="AA139" s="22"/>
      <c r="AB139" s="22" t="s">
        <v>43</v>
      </c>
      <c r="AC139" s="25"/>
      <c r="AD139" s="22"/>
      <c r="AE139" s="16">
        <v>1</v>
      </c>
    </row>
    <row r="140" spans="1:31" s="24" customFormat="1" ht="20.100000000000001" customHeight="1" x14ac:dyDescent="0.25">
      <c r="A140" s="14" t="s">
        <v>313</v>
      </c>
      <c r="B140" s="15" t="s">
        <v>40</v>
      </c>
      <c r="C140" s="16">
        <v>52</v>
      </c>
      <c r="D140" s="17" t="s">
        <v>626</v>
      </c>
      <c r="E140" s="18" t="s">
        <v>2328</v>
      </c>
      <c r="F140" s="17" t="s">
        <v>516</v>
      </c>
      <c r="G140" s="89" t="s">
        <v>314</v>
      </c>
      <c r="H140" s="19" t="s">
        <v>314</v>
      </c>
      <c r="I140" s="20" t="s">
        <v>516</v>
      </c>
      <c r="J140" s="21">
        <v>44409</v>
      </c>
      <c r="K140" s="22" t="s">
        <v>42</v>
      </c>
      <c r="L140" s="23">
        <v>0.4</v>
      </c>
      <c r="M140" s="22">
        <v>2020</v>
      </c>
      <c r="N140" s="26">
        <v>100</v>
      </c>
      <c r="O140" s="22">
        <v>1</v>
      </c>
      <c r="P140" s="26">
        <v>40</v>
      </c>
      <c r="Q140" s="26">
        <v>60</v>
      </c>
      <c r="R140" s="26">
        <v>70</v>
      </c>
      <c r="S140" s="26">
        <v>90</v>
      </c>
      <c r="T140" s="26">
        <v>90</v>
      </c>
      <c r="U140" s="26">
        <v>100</v>
      </c>
      <c r="V140" s="26">
        <v>100</v>
      </c>
      <c r="W140" s="22">
        <v>40</v>
      </c>
      <c r="X140" s="22">
        <v>20</v>
      </c>
      <c r="Y140" s="22" t="s">
        <v>43</v>
      </c>
      <c r="Z140" s="22"/>
      <c r="AA140" s="22"/>
      <c r="AB140" s="22" t="s">
        <v>43</v>
      </c>
      <c r="AC140" s="25"/>
      <c r="AD140" s="22"/>
      <c r="AE140" s="16">
        <v>2</v>
      </c>
    </row>
    <row r="141" spans="1:31" s="24" customFormat="1" ht="20.100000000000001" customHeight="1" x14ac:dyDescent="0.25">
      <c r="A141" s="14" t="s">
        <v>315</v>
      </c>
      <c r="B141" s="15" t="s">
        <v>40</v>
      </c>
      <c r="C141" s="16">
        <v>52</v>
      </c>
      <c r="D141" s="17" t="s">
        <v>626</v>
      </c>
      <c r="E141" s="18" t="s">
        <v>2328</v>
      </c>
      <c r="F141" s="17" t="s">
        <v>516</v>
      </c>
      <c r="G141" s="89" t="s">
        <v>2482</v>
      </c>
      <c r="H141" s="19" t="s">
        <v>316</v>
      </c>
      <c r="I141" s="20" t="s">
        <v>516</v>
      </c>
      <c r="J141" s="21">
        <v>44409</v>
      </c>
      <c r="K141" s="22" t="s">
        <v>42</v>
      </c>
      <c r="L141" s="23">
        <v>0.3</v>
      </c>
      <c r="M141" s="22">
        <v>2020</v>
      </c>
      <c r="N141" s="26">
        <v>100</v>
      </c>
      <c r="O141" s="22">
        <v>1</v>
      </c>
      <c r="P141" s="26">
        <v>30</v>
      </c>
      <c r="Q141" s="26">
        <v>50</v>
      </c>
      <c r="R141" s="26">
        <v>60</v>
      </c>
      <c r="S141" s="26">
        <v>80</v>
      </c>
      <c r="T141" s="26">
        <v>90</v>
      </c>
      <c r="U141" s="26">
        <v>100</v>
      </c>
      <c r="V141" s="26">
        <v>100</v>
      </c>
      <c r="W141" s="22">
        <v>30</v>
      </c>
      <c r="X141" s="22">
        <v>20</v>
      </c>
      <c r="Y141" s="22" t="s">
        <v>43</v>
      </c>
      <c r="Z141" s="22"/>
      <c r="AA141" s="22"/>
      <c r="AB141" s="22" t="s">
        <v>43</v>
      </c>
      <c r="AC141" s="25"/>
      <c r="AD141" s="22"/>
      <c r="AE141" s="16">
        <v>2</v>
      </c>
    </row>
    <row r="142" spans="1:31" s="24" customFormat="1" ht="20.100000000000001" customHeight="1" x14ac:dyDescent="0.25">
      <c r="A142" s="14" t="s">
        <v>317</v>
      </c>
      <c r="B142" s="15" t="s">
        <v>40</v>
      </c>
      <c r="C142" s="16">
        <v>52</v>
      </c>
      <c r="D142" s="17" t="s">
        <v>626</v>
      </c>
      <c r="E142" s="18" t="s">
        <v>2328</v>
      </c>
      <c r="F142" s="17" t="s">
        <v>516</v>
      </c>
      <c r="G142" s="89" t="s">
        <v>2483</v>
      </c>
      <c r="H142" s="19" t="s">
        <v>318</v>
      </c>
      <c r="I142" s="20" t="s">
        <v>516</v>
      </c>
      <c r="J142" s="21">
        <v>44409</v>
      </c>
      <c r="K142" s="22" t="s">
        <v>42</v>
      </c>
      <c r="L142" s="23">
        <v>0.3</v>
      </c>
      <c r="M142" s="22">
        <v>2020</v>
      </c>
      <c r="N142" s="26">
        <v>100</v>
      </c>
      <c r="O142" s="22">
        <v>1</v>
      </c>
      <c r="P142" s="26">
        <v>20</v>
      </c>
      <c r="Q142" s="26">
        <v>40</v>
      </c>
      <c r="R142" s="26">
        <v>50</v>
      </c>
      <c r="S142" s="26">
        <v>70</v>
      </c>
      <c r="T142" s="26">
        <v>90</v>
      </c>
      <c r="U142" s="26">
        <v>100</v>
      </c>
      <c r="V142" s="26">
        <v>100</v>
      </c>
      <c r="W142" s="22">
        <v>20</v>
      </c>
      <c r="X142" s="22">
        <v>40</v>
      </c>
      <c r="Y142" s="22" t="s">
        <v>43</v>
      </c>
      <c r="Z142" s="22"/>
      <c r="AA142" s="22"/>
      <c r="AB142" s="22" t="s">
        <v>43</v>
      </c>
      <c r="AC142" s="25"/>
      <c r="AD142" s="22"/>
      <c r="AE142" s="16">
        <v>3</v>
      </c>
    </row>
    <row r="143" spans="1:31" s="24" customFormat="1" ht="20.100000000000001" customHeight="1" x14ac:dyDescent="0.25">
      <c r="A143" s="14" t="s">
        <v>319</v>
      </c>
      <c r="B143" s="15" t="s">
        <v>40</v>
      </c>
      <c r="C143" s="16">
        <v>53</v>
      </c>
      <c r="D143" s="17" t="s">
        <v>631</v>
      </c>
      <c r="E143" s="18" t="s">
        <v>2329</v>
      </c>
      <c r="F143" s="17" t="s">
        <v>480</v>
      </c>
      <c r="G143" s="89" t="s">
        <v>2484</v>
      </c>
      <c r="H143" s="19" t="s">
        <v>320</v>
      </c>
      <c r="I143" s="20" t="s">
        <v>480</v>
      </c>
      <c r="J143" s="21">
        <v>44409</v>
      </c>
      <c r="K143" s="22" t="s">
        <v>42</v>
      </c>
      <c r="L143" s="23">
        <v>3</v>
      </c>
      <c r="M143" s="22">
        <v>2020</v>
      </c>
      <c r="N143" s="26">
        <v>14</v>
      </c>
      <c r="O143" s="22">
        <v>14</v>
      </c>
      <c r="P143" s="26">
        <v>2</v>
      </c>
      <c r="Q143" s="26">
        <v>5</v>
      </c>
      <c r="R143" s="26">
        <v>7</v>
      </c>
      <c r="S143" s="26">
        <v>10</v>
      </c>
      <c r="T143" s="26">
        <v>12</v>
      </c>
      <c r="U143" s="26">
        <v>14</v>
      </c>
      <c r="V143" s="26">
        <v>14</v>
      </c>
      <c r="W143" s="22">
        <v>3</v>
      </c>
      <c r="X143" s="22">
        <v>11</v>
      </c>
      <c r="Y143" s="22" t="s">
        <v>43</v>
      </c>
      <c r="Z143" s="22"/>
      <c r="AA143" s="22"/>
      <c r="AB143" s="22" t="s">
        <v>43</v>
      </c>
      <c r="AC143" s="25"/>
      <c r="AD143" s="22"/>
      <c r="AE143" s="16">
        <v>3</v>
      </c>
    </row>
    <row r="144" spans="1:31" s="24" customFormat="1" ht="20.100000000000001" customHeight="1" x14ac:dyDescent="0.25">
      <c r="A144" s="14" t="s">
        <v>321</v>
      </c>
      <c r="B144" s="15" t="s">
        <v>40</v>
      </c>
      <c r="C144" s="16">
        <v>53</v>
      </c>
      <c r="D144" s="17" t="s">
        <v>631</v>
      </c>
      <c r="E144" s="18" t="s">
        <v>2329</v>
      </c>
      <c r="F144" s="17" t="s">
        <v>480</v>
      </c>
      <c r="G144" s="89" t="s">
        <v>2485</v>
      </c>
      <c r="H144" s="19" t="s">
        <v>322</v>
      </c>
      <c r="I144" s="20" t="s">
        <v>480</v>
      </c>
      <c r="J144" s="21">
        <v>44409</v>
      </c>
      <c r="K144" s="22" t="s">
        <v>42</v>
      </c>
      <c r="L144" s="23">
        <v>0</v>
      </c>
      <c r="M144" s="22">
        <v>2020</v>
      </c>
      <c r="N144" s="26">
        <v>4</v>
      </c>
      <c r="O144" s="22">
        <v>4</v>
      </c>
      <c r="P144" s="26">
        <v>0</v>
      </c>
      <c r="Q144" s="26">
        <v>1</v>
      </c>
      <c r="R144" s="26">
        <v>2</v>
      </c>
      <c r="S144" s="26">
        <v>2</v>
      </c>
      <c r="T144" s="26">
        <v>3</v>
      </c>
      <c r="U144" s="26">
        <v>4</v>
      </c>
      <c r="V144" s="26">
        <v>4</v>
      </c>
      <c r="W144" s="22">
        <v>0</v>
      </c>
      <c r="X144" s="22">
        <v>1</v>
      </c>
      <c r="Y144" s="22" t="s">
        <v>43</v>
      </c>
      <c r="Z144" s="22"/>
      <c r="AA144" s="22"/>
      <c r="AB144" s="22" t="s">
        <v>43</v>
      </c>
      <c r="AC144" s="25"/>
      <c r="AD144" s="22"/>
      <c r="AE144" s="16">
        <v>3</v>
      </c>
    </row>
    <row r="145" spans="1:31" s="24" customFormat="1" ht="20.100000000000001" customHeight="1" x14ac:dyDescent="0.25">
      <c r="A145" s="14" t="s">
        <v>323</v>
      </c>
      <c r="B145" s="15" t="s">
        <v>40</v>
      </c>
      <c r="C145" s="16">
        <v>54</v>
      </c>
      <c r="D145" s="17" t="s">
        <v>633</v>
      </c>
      <c r="E145" s="18" t="s">
        <v>2330</v>
      </c>
      <c r="F145" s="17" t="s">
        <v>516</v>
      </c>
      <c r="G145" s="89" t="s">
        <v>2486</v>
      </c>
      <c r="H145" s="19" t="s">
        <v>324</v>
      </c>
      <c r="I145" s="20" t="s">
        <v>516</v>
      </c>
      <c r="J145" s="21">
        <v>44409</v>
      </c>
      <c r="K145" s="22" t="s">
        <v>42</v>
      </c>
      <c r="L145" s="23">
        <v>0</v>
      </c>
      <c r="M145" s="22">
        <v>2020</v>
      </c>
      <c r="N145" s="26">
        <v>33</v>
      </c>
      <c r="O145" s="28">
        <v>0.33000001311302185</v>
      </c>
      <c r="P145" s="26">
        <v>10</v>
      </c>
      <c r="Q145" s="26">
        <v>15</v>
      </c>
      <c r="R145" s="26">
        <v>20</v>
      </c>
      <c r="S145" s="26">
        <v>30</v>
      </c>
      <c r="T145" s="26">
        <v>30</v>
      </c>
      <c r="U145" s="26">
        <v>33</v>
      </c>
      <c r="V145" s="26">
        <v>33</v>
      </c>
      <c r="W145" s="22">
        <v>0</v>
      </c>
      <c r="X145" s="22">
        <v>81</v>
      </c>
      <c r="Y145" s="22" t="s">
        <v>43</v>
      </c>
      <c r="Z145" s="22"/>
      <c r="AA145" s="22"/>
      <c r="AB145" s="22" t="s">
        <v>43</v>
      </c>
      <c r="AC145" s="25"/>
      <c r="AD145" s="22"/>
      <c r="AE145" s="16">
        <v>2</v>
      </c>
    </row>
    <row r="146" spans="1:31" s="24" customFormat="1" ht="20.100000000000001" customHeight="1" x14ac:dyDescent="0.25">
      <c r="A146" s="14" t="s">
        <v>325</v>
      </c>
      <c r="B146" s="15" t="s">
        <v>40</v>
      </c>
      <c r="C146" s="16">
        <v>54</v>
      </c>
      <c r="D146" s="17" t="s">
        <v>633</v>
      </c>
      <c r="E146" s="18" t="s">
        <v>2330</v>
      </c>
      <c r="F146" s="17" t="s">
        <v>516</v>
      </c>
      <c r="G146" s="89" t="s">
        <v>2487</v>
      </c>
      <c r="H146" s="19" t="s">
        <v>326</v>
      </c>
      <c r="I146" s="20" t="s">
        <v>516</v>
      </c>
      <c r="J146" s="21">
        <v>44409</v>
      </c>
      <c r="K146" s="22" t="s">
        <v>42</v>
      </c>
      <c r="L146" s="23">
        <v>0</v>
      </c>
      <c r="M146" s="22">
        <v>2020</v>
      </c>
      <c r="N146" s="26">
        <v>15</v>
      </c>
      <c r="O146" s="22">
        <v>15</v>
      </c>
      <c r="P146" s="26">
        <v>10</v>
      </c>
      <c r="Q146" s="26">
        <v>4</v>
      </c>
      <c r="R146" s="26">
        <v>13</v>
      </c>
      <c r="S146" s="26">
        <v>4</v>
      </c>
      <c r="T146" s="26">
        <v>15</v>
      </c>
      <c r="U146" s="26">
        <v>15</v>
      </c>
      <c r="V146" s="26">
        <v>15</v>
      </c>
      <c r="W146" s="22">
        <v>0</v>
      </c>
      <c r="X146" s="22">
        <v>4</v>
      </c>
      <c r="Y146" s="22" t="s">
        <v>43</v>
      </c>
      <c r="Z146" s="22"/>
      <c r="AA146" s="22"/>
      <c r="AB146" s="22" t="s">
        <v>43</v>
      </c>
      <c r="AC146" s="25"/>
      <c r="AD146" s="22"/>
      <c r="AE146" s="16">
        <v>2</v>
      </c>
    </row>
    <row r="147" spans="1:31" s="24" customFormat="1" ht="20.100000000000001" customHeight="1" x14ac:dyDescent="0.25">
      <c r="A147" s="14" t="s">
        <v>327</v>
      </c>
      <c r="B147" s="15" t="s">
        <v>40</v>
      </c>
      <c r="C147" s="16">
        <v>54</v>
      </c>
      <c r="D147" s="17" t="s">
        <v>633</v>
      </c>
      <c r="E147" s="18" t="s">
        <v>2330</v>
      </c>
      <c r="F147" s="17" t="s">
        <v>516</v>
      </c>
      <c r="G147" s="89" t="s">
        <v>2488</v>
      </c>
      <c r="H147" s="19" t="s">
        <v>328</v>
      </c>
      <c r="I147" s="20" t="s">
        <v>516</v>
      </c>
      <c r="J147" s="21">
        <v>44409</v>
      </c>
      <c r="K147" s="22" t="s">
        <v>42</v>
      </c>
      <c r="L147" s="23">
        <v>0</v>
      </c>
      <c r="M147" s="22">
        <v>2020</v>
      </c>
      <c r="N147" s="26">
        <v>1</v>
      </c>
      <c r="O147" s="22">
        <v>1</v>
      </c>
      <c r="P147" s="26">
        <v>0</v>
      </c>
      <c r="Q147" s="26">
        <v>0</v>
      </c>
      <c r="R147" s="26">
        <v>1</v>
      </c>
      <c r="S147" s="26">
        <v>1</v>
      </c>
      <c r="T147" s="26">
        <v>1</v>
      </c>
      <c r="U147" s="26">
        <v>1</v>
      </c>
      <c r="V147" s="26">
        <v>1</v>
      </c>
      <c r="W147" s="22">
        <v>0</v>
      </c>
      <c r="X147" s="22">
        <v>0</v>
      </c>
      <c r="Y147" s="22" t="s">
        <v>43</v>
      </c>
      <c r="Z147" s="22"/>
      <c r="AA147" s="22"/>
      <c r="AB147" s="22" t="s">
        <v>43</v>
      </c>
      <c r="AC147" s="25"/>
      <c r="AD147" s="22"/>
      <c r="AE147" s="16">
        <v>1</v>
      </c>
    </row>
    <row r="148" spans="1:31" s="24" customFormat="1" ht="20.100000000000001" customHeight="1" x14ac:dyDescent="0.25">
      <c r="A148" s="14" t="s">
        <v>329</v>
      </c>
      <c r="B148" s="15" t="s">
        <v>40</v>
      </c>
      <c r="C148" s="16">
        <v>55</v>
      </c>
      <c r="D148" s="17" t="s">
        <v>637</v>
      </c>
      <c r="E148" s="18" t="s">
        <v>2331</v>
      </c>
      <c r="F148" s="17" t="s">
        <v>639</v>
      </c>
      <c r="G148" s="89" t="s">
        <v>2489</v>
      </c>
      <c r="H148" s="19" t="s">
        <v>330</v>
      </c>
      <c r="I148" s="20" t="s">
        <v>639</v>
      </c>
      <c r="J148" s="21">
        <v>44440</v>
      </c>
      <c r="K148" s="22" t="s">
        <v>42</v>
      </c>
      <c r="L148" s="23">
        <v>5</v>
      </c>
      <c r="M148" s="22">
        <v>2021</v>
      </c>
      <c r="N148" s="26">
        <v>6</v>
      </c>
      <c r="O148" s="22">
        <v>6</v>
      </c>
      <c r="P148" s="26">
        <v>1</v>
      </c>
      <c r="Q148" s="26">
        <v>2</v>
      </c>
      <c r="R148" s="26">
        <v>3</v>
      </c>
      <c r="S148" s="26">
        <v>4</v>
      </c>
      <c r="T148" s="26">
        <v>5</v>
      </c>
      <c r="U148" s="26">
        <v>6</v>
      </c>
      <c r="V148" s="26">
        <v>6</v>
      </c>
      <c r="W148" s="22">
        <v>1</v>
      </c>
      <c r="X148" s="22">
        <v>3</v>
      </c>
      <c r="Y148" s="22" t="s">
        <v>43</v>
      </c>
      <c r="Z148" s="22"/>
      <c r="AA148" s="22"/>
      <c r="AB148" s="22" t="s">
        <v>43</v>
      </c>
      <c r="AC148" s="25"/>
      <c r="AD148" s="22"/>
      <c r="AE148" s="16">
        <v>3</v>
      </c>
    </row>
    <row r="149" spans="1:31" s="24" customFormat="1" ht="20.100000000000001" customHeight="1" x14ac:dyDescent="0.25">
      <c r="A149" s="14" t="s">
        <v>331</v>
      </c>
      <c r="B149" s="15" t="s">
        <v>40</v>
      </c>
      <c r="C149" s="16">
        <v>55</v>
      </c>
      <c r="D149" s="17" t="s">
        <v>637</v>
      </c>
      <c r="E149" s="18" t="s">
        <v>2331</v>
      </c>
      <c r="F149" s="17" t="s">
        <v>639</v>
      </c>
      <c r="G149" s="89" t="s">
        <v>2490</v>
      </c>
      <c r="H149" s="19" t="s">
        <v>332</v>
      </c>
      <c r="I149" s="20" t="s">
        <v>639</v>
      </c>
      <c r="J149" s="21">
        <v>44440</v>
      </c>
      <c r="K149" s="22" t="s">
        <v>42</v>
      </c>
      <c r="L149" s="23">
        <v>0</v>
      </c>
      <c r="M149" s="22">
        <v>2021</v>
      </c>
      <c r="N149" s="26">
        <v>40</v>
      </c>
      <c r="O149" s="22">
        <v>40</v>
      </c>
      <c r="P149" s="26">
        <v>7</v>
      </c>
      <c r="Q149" s="26">
        <v>12</v>
      </c>
      <c r="R149" s="26">
        <v>20</v>
      </c>
      <c r="S149" s="26">
        <v>27</v>
      </c>
      <c r="T149" s="26">
        <v>37</v>
      </c>
      <c r="U149" s="26">
        <v>40</v>
      </c>
      <c r="V149" s="26">
        <v>40</v>
      </c>
      <c r="W149" s="22">
        <v>5</v>
      </c>
      <c r="X149" s="22">
        <v>10</v>
      </c>
      <c r="Y149" s="22" t="s">
        <v>43</v>
      </c>
      <c r="Z149" s="22"/>
      <c r="AA149" s="22"/>
      <c r="AB149" s="22" t="s">
        <v>43</v>
      </c>
      <c r="AC149" s="25"/>
      <c r="AD149" s="22"/>
      <c r="AE149" s="16">
        <v>3</v>
      </c>
    </row>
    <row r="150" spans="1:31" s="24" customFormat="1" ht="20.100000000000001" customHeight="1" x14ac:dyDescent="0.25">
      <c r="A150" s="14" t="s">
        <v>333</v>
      </c>
      <c r="B150" s="15" t="s">
        <v>40</v>
      </c>
      <c r="C150" s="16">
        <v>56</v>
      </c>
      <c r="D150" s="17" t="s">
        <v>643</v>
      </c>
      <c r="E150" s="18" t="s">
        <v>2332</v>
      </c>
      <c r="F150" s="17" t="s">
        <v>639</v>
      </c>
      <c r="G150" s="89" t="s">
        <v>2491</v>
      </c>
      <c r="H150" s="19" t="s">
        <v>334</v>
      </c>
      <c r="I150" s="20" t="s">
        <v>639</v>
      </c>
      <c r="J150" s="21">
        <v>44440</v>
      </c>
      <c r="K150" s="22" t="s">
        <v>42</v>
      </c>
      <c r="L150" s="23">
        <v>0</v>
      </c>
      <c r="M150" s="22">
        <v>2021</v>
      </c>
      <c r="N150" s="26">
        <v>5</v>
      </c>
      <c r="O150" s="22">
        <v>5</v>
      </c>
      <c r="P150" s="26">
        <v>1</v>
      </c>
      <c r="Q150" s="26">
        <v>2</v>
      </c>
      <c r="R150" s="26">
        <v>3</v>
      </c>
      <c r="S150" s="26">
        <v>4</v>
      </c>
      <c r="T150" s="26">
        <v>5</v>
      </c>
      <c r="U150" s="26">
        <v>5</v>
      </c>
      <c r="V150" s="26">
        <v>5</v>
      </c>
      <c r="W150" s="22">
        <v>1</v>
      </c>
      <c r="X150" s="22">
        <v>2</v>
      </c>
      <c r="Y150" s="22" t="s">
        <v>43</v>
      </c>
      <c r="Z150" s="22"/>
      <c r="AA150" s="22"/>
      <c r="AB150" s="22" t="s">
        <v>43</v>
      </c>
      <c r="AC150" s="25"/>
      <c r="AD150" s="22"/>
      <c r="AE150" s="16">
        <v>3</v>
      </c>
    </row>
    <row r="151" spans="1:31" s="24" customFormat="1" ht="20.100000000000001" customHeight="1" x14ac:dyDescent="0.25">
      <c r="A151" s="14" t="s">
        <v>335</v>
      </c>
      <c r="B151" s="15" t="s">
        <v>40</v>
      </c>
      <c r="C151" s="16">
        <v>56</v>
      </c>
      <c r="D151" s="17" t="s">
        <v>643</v>
      </c>
      <c r="E151" s="18" t="s">
        <v>2332</v>
      </c>
      <c r="F151" s="17" t="s">
        <v>639</v>
      </c>
      <c r="G151" s="89" t="s">
        <v>2492</v>
      </c>
      <c r="H151" s="19" t="s">
        <v>336</v>
      </c>
      <c r="I151" s="20" t="s">
        <v>639</v>
      </c>
      <c r="J151" s="21">
        <v>44440</v>
      </c>
      <c r="K151" s="22" t="s">
        <v>42</v>
      </c>
      <c r="L151" s="23">
        <v>0</v>
      </c>
      <c r="M151" s="22">
        <v>2021</v>
      </c>
      <c r="N151" s="26">
        <v>1</v>
      </c>
      <c r="O151" s="22">
        <v>1</v>
      </c>
      <c r="P151" s="26">
        <v>0</v>
      </c>
      <c r="Q151" s="26">
        <v>0</v>
      </c>
      <c r="R151" s="26">
        <v>0</v>
      </c>
      <c r="S151" s="26">
        <v>0</v>
      </c>
      <c r="T151" s="26">
        <v>1</v>
      </c>
      <c r="U151" s="26">
        <v>1</v>
      </c>
      <c r="V151" s="26">
        <v>1</v>
      </c>
      <c r="W151" s="22">
        <v>0</v>
      </c>
      <c r="X151" s="22">
        <v>0</v>
      </c>
      <c r="Y151" s="22" t="s">
        <v>43</v>
      </c>
      <c r="Z151" s="22"/>
      <c r="AA151" s="22"/>
      <c r="AB151" s="22" t="s">
        <v>43</v>
      </c>
      <c r="AC151" s="25"/>
      <c r="AD151" s="22"/>
      <c r="AE151" s="16">
        <v>1</v>
      </c>
    </row>
    <row r="152" spans="1:31" s="24" customFormat="1" ht="20.100000000000001" customHeight="1" x14ac:dyDescent="0.25">
      <c r="A152" s="14" t="s">
        <v>337</v>
      </c>
      <c r="B152" s="15" t="s">
        <v>40</v>
      </c>
      <c r="C152" s="16">
        <v>56</v>
      </c>
      <c r="D152" s="17" t="s">
        <v>643</v>
      </c>
      <c r="E152" s="18" t="s">
        <v>2332</v>
      </c>
      <c r="F152" s="17" t="s">
        <v>639</v>
      </c>
      <c r="G152" s="89" t="s">
        <v>2493</v>
      </c>
      <c r="H152" s="19" t="s">
        <v>338</v>
      </c>
      <c r="I152" s="20" t="s">
        <v>639</v>
      </c>
      <c r="J152" s="21">
        <v>44440</v>
      </c>
      <c r="K152" s="22" t="s">
        <v>42</v>
      </c>
      <c r="L152" s="23">
        <v>0</v>
      </c>
      <c r="M152" s="22">
        <v>2021</v>
      </c>
      <c r="N152" s="26">
        <v>1</v>
      </c>
      <c r="O152" s="22">
        <v>1</v>
      </c>
      <c r="P152" s="26">
        <v>0</v>
      </c>
      <c r="Q152" s="26">
        <v>0</v>
      </c>
      <c r="R152" s="26">
        <v>0</v>
      </c>
      <c r="S152" s="26">
        <v>0</v>
      </c>
      <c r="T152" s="26">
        <v>1</v>
      </c>
      <c r="U152" s="26">
        <v>1</v>
      </c>
      <c r="V152" s="26">
        <v>1</v>
      </c>
      <c r="W152" s="22">
        <v>0</v>
      </c>
      <c r="X152" s="22">
        <v>1</v>
      </c>
      <c r="Y152" s="22" t="s">
        <v>43</v>
      </c>
      <c r="Z152" s="22"/>
      <c r="AA152" s="22"/>
      <c r="AB152" s="22" t="s">
        <v>43</v>
      </c>
      <c r="AC152" s="25"/>
      <c r="AD152" s="22"/>
      <c r="AE152" s="16">
        <v>1</v>
      </c>
    </row>
    <row r="153" spans="1:31" s="24" customFormat="1" ht="20.100000000000001" customHeight="1" x14ac:dyDescent="0.25">
      <c r="A153" s="14" t="s">
        <v>339</v>
      </c>
      <c r="B153" s="15" t="s">
        <v>40</v>
      </c>
      <c r="C153" s="16">
        <v>57</v>
      </c>
      <c r="D153" s="17" t="s">
        <v>645</v>
      </c>
      <c r="E153" s="18" t="s">
        <v>2333</v>
      </c>
      <c r="F153" s="17" t="s">
        <v>639</v>
      </c>
      <c r="G153" s="89" t="s">
        <v>2494</v>
      </c>
      <c r="H153" s="19" t="s">
        <v>340</v>
      </c>
      <c r="I153" s="20" t="s">
        <v>639</v>
      </c>
      <c r="J153" s="21">
        <v>44440</v>
      </c>
      <c r="K153" s="22" t="s">
        <v>42</v>
      </c>
      <c r="L153" s="23">
        <v>0</v>
      </c>
      <c r="M153" s="22">
        <v>2021</v>
      </c>
      <c r="N153" s="26">
        <v>1</v>
      </c>
      <c r="O153" s="22">
        <v>1</v>
      </c>
      <c r="P153" s="26">
        <v>0</v>
      </c>
      <c r="Q153" s="26">
        <v>0</v>
      </c>
      <c r="R153" s="26">
        <v>0</v>
      </c>
      <c r="S153" s="26">
        <v>0</v>
      </c>
      <c r="T153" s="26">
        <v>0</v>
      </c>
      <c r="U153" s="26">
        <v>1</v>
      </c>
      <c r="V153" s="26">
        <v>1</v>
      </c>
      <c r="W153" s="22">
        <v>0</v>
      </c>
      <c r="X153" s="22">
        <v>0</v>
      </c>
      <c r="Y153" s="22" t="s">
        <v>43</v>
      </c>
      <c r="Z153" s="22"/>
      <c r="AA153" s="22"/>
      <c r="AB153" s="22" t="s">
        <v>43</v>
      </c>
      <c r="AC153" s="25"/>
      <c r="AD153" s="22"/>
      <c r="AE153" s="16">
        <v>1</v>
      </c>
    </row>
    <row r="154" spans="1:31" s="24" customFormat="1" ht="20.100000000000001" customHeight="1" x14ac:dyDescent="0.25">
      <c r="A154" s="14" t="s">
        <v>341</v>
      </c>
      <c r="B154" s="15" t="s">
        <v>40</v>
      </c>
      <c r="C154" s="16">
        <v>58</v>
      </c>
      <c r="D154" s="17" t="s">
        <v>647</v>
      </c>
      <c r="E154" s="18" t="s">
        <v>2334</v>
      </c>
      <c r="F154" s="17" t="s">
        <v>480</v>
      </c>
      <c r="G154" s="89" t="s">
        <v>2495</v>
      </c>
      <c r="H154" s="19" t="s">
        <v>342</v>
      </c>
      <c r="I154" s="20" t="s">
        <v>480</v>
      </c>
      <c r="J154" s="21">
        <v>44470</v>
      </c>
      <c r="K154" s="22" t="s">
        <v>42</v>
      </c>
      <c r="L154" s="23">
        <v>4</v>
      </c>
      <c r="M154" s="22">
        <v>2021</v>
      </c>
      <c r="N154" s="26">
        <v>4</v>
      </c>
      <c r="O154" s="22">
        <v>4</v>
      </c>
      <c r="P154" s="26">
        <v>1</v>
      </c>
      <c r="Q154" s="26">
        <v>1</v>
      </c>
      <c r="R154" s="26">
        <v>4</v>
      </c>
      <c r="S154" s="26">
        <v>4</v>
      </c>
      <c r="T154" s="26">
        <v>4</v>
      </c>
      <c r="U154" s="26">
        <v>4</v>
      </c>
      <c r="V154" s="26">
        <v>4</v>
      </c>
      <c r="W154" s="22">
        <v>1</v>
      </c>
      <c r="X154" s="22">
        <v>1</v>
      </c>
      <c r="Y154" s="22" t="s">
        <v>43</v>
      </c>
      <c r="Z154" s="22"/>
      <c r="AA154" s="22"/>
      <c r="AB154" s="22" t="s">
        <v>43</v>
      </c>
      <c r="AC154" s="25"/>
      <c r="AD154" s="22"/>
      <c r="AE154" s="16">
        <v>1</v>
      </c>
    </row>
    <row r="155" spans="1:31" s="24" customFormat="1" ht="20.100000000000001" customHeight="1" x14ac:dyDescent="0.25">
      <c r="A155" s="14" t="s">
        <v>343</v>
      </c>
      <c r="B155" s="15" t="s">
        <v>40</v>
      </c>
      <c r="C155" s="16">
        <v>58</v>
      </c>
      <c r="D155" s="17" t="s">
        <v>647</v>
      </c>
      <c r="E155" s="18" t="s">
        <v>2334</v>
      </c>
      <c r="F155" s="17" t="s">
        <v>480</v>
      </c>
      <c r="G155" s="89" t="s">
        <v>2496</v>
      </c>
      <c r="H155" s="19" t="s">
        <v>344</v>
      </c>
      <c r="I155" s="20" t="s">
        <v>480</v>
      </c>
      <c r="J155" s="21">
        <v>44470</v>
      </c>
      <c r="K155" s="22" t="s">
        <v>42</v>
      </c>
      <c r="L155" s="23">
        <v>2</v>
      </c>
      <c r="M155" s="22">
        <v>2021</v>
      </c>
      <c r="N155" s="26">
        <v>1</v>
      </c>
      <c r="O155" s="22">
        <v>1</v>
      </c>
      <c r="P155" s="26">
        <v>0</v>
      </c>
      <c r="Q155" s="26">
        <v>0</v>
      </c>
      <c r="R155" s="26">
        <v>1</v>
      </c>
      <c r="S155" s="26">
        <v>1</v>
      </c>
      <c r="T155" s="26">
        <v>1</v>
      </c>
      <c r="U155" s="26">
        <v>1</v>
      </c>
      <c r="V155" s="26">
        <v>1</v>
      </c>
      <c r="W155" s="22">
        <v>0</v>
      </c>
      <c r="X155" s="22">
        <v>0</v>
      </c>
      <c r="Y155" s="22" t="s">
        <v>43</v>
      </c>
      <c r="Z155" s="22"/>
      <c r="AA155" s="22"/>
      <c r="AB155" s="22" t="s">
        <v>43</v>
      </c>
      <c r="AC155" s="25"/>
      <c r="AD155" s="22"/>
      <c r="AE155" s="16">
        <v>1</v>
      </c>
    </row>
    <row r="156" spans="1:31" s="24" customFormat="1" ht="20.100000000000001" customHeight="1" x14ac:dyDescent="0.25">
      <c r="A156" s="14" t="s">
        <v>345</v>
      </c>
      <c r="B156" s="15" t="s">
        <v>40</v>
      </c>
      <c r="C156" s="16">
        <v>59</v>
      </c>
      <c r="D156" s="17" t="s">
        <v>652</v>
      </c>
      <c r="E156" s="18" t="s">
        <v>2335</v>
      </c>
      <c r="F156" s="17" t="s">
        <v>411</v>
      </c>
      <c r="G156" s="89" t="s">
        <v>2497</v>
      </c>
      <c r="H156" s="19" t="s">
        <v>346</v>
      </c>
      <c r="I156" s="20" t="s">
        <v>411</v>
      </c>
      <c r="J156" s="21">
        <v>44440</v>
      </c>
      <c r="K156" s="22" t="s">
        <v>42</v>
      </c>
      <c r="L156" s="23">
        <v>10</v>
      </c>
      <c r="M156" s="22">
        <v>2019</v>
      </c>
      <c r="N156" s="26">
        <v>38</v>
      </c>
      <c r="O156" s="22">
        <v>38</v>
      </c>
      <c r="P156" s="26">
        <v>0</v>
      </c>
      <c r="Q156" s="26">
        <v>10</v>
      </c>
      <c r="R156" s="26">
        <v>20</v>
      </c>
      <c r="S156" s="26">
        <v>28</v>
      </c>
      <c r="T156" s="26">
        <v>37</v>
      </c>
      <c r="U156" s="26">
        <v>38</v>
      </c>
      <c r="V156" s="26">
        <v>38</v>
      </c>
      <c r="W156" s="22">
        <v>0</v>
      </c>
      <c r="X156" s="22">
        <v>10</v>
      </c>
      <c r="Y156" s="22" t="s">
        <v>43</v>
      </c>
      <c r="Z156" s="22"/>
      <c r="AA156" s="22"/>
      <c r="AB156" s="22" t="s">
        <v>43</v>
      </c>
      <c r="AC156" s="25"/>
      <c r="AD156" s="22"/>
      <c r="AE156" s="16">
        <v>1</v>
      </c>
    </row>
    <row r="157" spans="1:31" s="24" customFormat="1" ht="20.100000000000001" customHeight="1" x14ac:dyDescent="0.25">
      <c r="A157" s="14" t="s">
        <v>347</v>
      </c>
      <c r="B157" s="15" t="s">
        <v>40</v>
      </c>
      <c r="C157" s="16">
        <v>59</v>
      </c>
      <c r="D157" s="17" t="s">
        <v>652</v>
      </c>
      <c r="E157" s="18" t="s">
        <v>2335</v>
      </c>
      <c r="F157" s="17" t="s">
        <v>411</v>
      </c>
      <c r="G157" s="89" t="s">
        <v>2498</v>
      </c>
      <c r="H157" s="19" t="s">
        <v>348</v>
      </c>
      <c r="I157" s="20" t="s">
        <v>411</v>
      </c>
      <c r="J157" s="21">
        <v>44440</v>
      </c>
      <c r="K157" s="22" t="s">
        <v>42</v>
      </c>
      <c r="L157" s="23">
        <v>0</v>
      </c>
      <c r="M157" s="22">
        <v>2020</v>
      </c>
      <c r="N157" s="26">
        <v>100</v>
      </c>
      <c r="O157" s="22">
        <v>1</v>
      </c>
      <c r="P157" s="26">
        <v>15</v>
      </c>
      <c r="Q157" s="26">
        <v>40</v>
      </c>
      <c r="R157" s="26">
        <v>55</v>
      </c>
      <c r="S157" s="26">
        <v>80</v>
      </c>
      <c r="T157" s="26">
        <v>95</v>
      </c>
      <c r="U157" s="26">
        <v>100</v>
      </c>
      <c r="V157" s="26">
        <v>100</v>
      </c>
      <c r="W157" s="22">
        <v>0</v>
      </c>
      <c r="X157" s="22">
        <v>25</v>
      </c>
      <c r="Y157" s="22" t="s">
        <v>43</v>
      </c>
      <c r="Z157" s="22"/>
      <c r="AA157" s="22"/>
      <c r="AB157" s="22" t="s">
        <v>43</v>
      </c>
      <c r="AC157" s="25"/>
      <c r="AD157" s="22"/>
      <c r="AE157" s="16">
        <v>2</v>
      </c>
    </row>
    <row r="158" spans="1:31" s="24" customFormat="1" ht="20.100000000000001" customHeight="1" x14ac:dyDescent="0.25">
      <c r="A158" s="14" t="s">
        <v>349</v>
      </c>
      <c r="B158" s="15" t="s">
        <v>40</v>
      </c>
      <c r="C158" s="16">
        <v>59</v>
      </c>
      <c r="D158" s="17" t="s">
        <v>652</v>
      </c>
      <c r="E158" s="18" t="s">
        <v>2335</v>
      </c>
      <c r="F158" s="17" t="s">
        <v>411</v>
      </c>
      <c r="G158" s="89" t="s">
        <v>2499</v>
      </c>
      <c r="H158" s="19" t="s">
        <v>350</v>
      </c>
      <c r="I158" s="20" t="s">
        <v>411</v>
      </c>
      <c r="J158" s="21">
        <v>44440</v>
      </c>
      <c r="K158" s="22" t="s">
        <v>42</v>
      </c>
      <c r="L158" s="23">
        <v>10</v>
      </c>
      <c r="M158" s="22">
        <v>2020</v>
      </c>
      <c r="N158" s="26">
        <v>35</v>
      </c>
      <c r="O158" s="22">
        <v>35</v>
      </c>
      <c r="P158" s="26">
        <v>3</v>
      </c>
      <c r="Q158" s="26">
        <v>11</v>
      </c>
      <c r="R158" s="26">
        <v>19</v>
      </c>
      <c r="S158" s="26">
        <v>25</v>
      </c>
      <c r="T158" s="26">
        <v>31</v>
      </c>
      <c r="U158" s="26">
        <v>35</v>
      </c>
      <c r="V158" s="26">
        <v>35</v>
      </c>
      <c r="W158" s="22">
        <v>3</v>
      </c>
      <c r="X158" s="22">
        <v>11</v>
      </c>
      <c r="Y158" s="22" t="s">
        <v>43</v>
      </c>
      <c r="Z158" s="22"/>
      <c r="AA158" s="22"/>
      <c r="AB158" s="22" t="s">
        <v>43</v>
      </c>
      <c r="AC158" s="25"/>
      <c r="AD158" s="22"/>
      <c r="AE158" s="16">
        <v>1</v>
      </c>
    </row>
    <row r="159" spans="1:31" s="24" customFormat="1" ht="20.100000000000001" customHeight="1" x14ac:dyDescent="0.25">
      <c r="A159" s="14" t="s">
        <v>351</v>
      </c>
      <c r="B159" s="15" t="s">
        <v>40</v>
      </c>
      <c r="C159" s="16">
        <v>60</v>
      </c>
      <c r="D159" s="17" t="s">
        <v>656</v>
      </c>
      <c r="E159" s="18" t="s">
        <v>2336</v>
      </c>
      <c r="F159" s="17" t="s">
        <v>474</v>
      </c>
      <c r="G159" s="89" t="s">
        <v>2500</v>
      </c>
      <c r="H159" s="19" t="s">
        <v>352</v>
      </c>
      <c r="I159" s="20" t="s">
        <v>474</v>
      </c>
      <c r="J159" s="21">
        <v>44470</v>
      </c>
      <c r="K159" s="22" t="s">
        <v>42</v>
      </c>
      <c r="L159" s="23">
        <v>13</v>
      </c>
      <c r="M159" s="22">
        <v>2020</v>
      </c>
      <c r="N159" s="26">
        <v>55</v>
      </c>
      <c r="O159" s="22">
        <v>55</v>
      </c>
      <c r="P159" s="26">
        <v>10</v>
      </c>
      <c r="Q159" s="26">
        <v>20</v>
      </c>
      <c r="R159" s="26">
        <v>30</v>
      </c>
      <c r="S159" s="26">
        <v>40</v>
      </c>
      <c r="T159" s="26">
        <v>50</v>
      </c>
      <c r="U159" s="26">
        <v>55</v>
      </c>
      <c r="V159" s="26">
        <v>55</v>
      </c>
      <c r="W159" s="22">
        <v>10</v>
      </c>
      <c r="X159" s="22">
        <v>18</v>
      </c>
      <c r="Y159" s="22" t="s">
        <v>43</v>
      </c>
      <c r="Z159" s="22"/>
      <c r="AA159" s="22"/>
      <c r="AB159" s="22" t="s">
        <v>43</v>
      </c>
      <c r="AC159" s="25"/>
      <c r="AD159" s="22"/>
      <c r="AE159" s="16">
        <v>3</v>
      </c>
    </row>
    <row r="160" spans="1:31" s="24" customFormat="1" ht="20.100000000000001" customHeight="1" x14ac:dyDescent="0.25">
      <c r="A160" s="14" t="s">
        <v>353</v>
      </c>
      <c r="B160" s="15" t="s">
        <v>40</v>
      </c>
      <c r="C160" s="16">
        <v>60</v>
      </c>
      <c r="D160" s="17" t="s">
        <v>656</v>
      </c>
      <c r="E160" s="18" t="s">
        <v>2336</v>
      </c>
      <c r="F160" s="17" t="s">
        <v>474</v>
      </c>
      <c r="G160" s="89" t="s">
        <v>2501</v>
      </c>
      <c r="H160" s="19" t="s">
        <v>354</v>
      </c>
      <c r="I160" s="20" t="s">
        <v>474</v>
      </c>
      <c r="J160" s="21">
        <v>44470</v>
      </c>
      <c r="K160" s="22" t="s">
        <v>42</v>
      </c>
      <c r="L160" s="23">
        <v>2</v>
      </c>
      <c r="M160" s="22">
        <v>2020</v>
      </c>
      <c r="N160" s="26">
        <v>19</v>
      </c>
      <c r="O160" s="22">
        <v>19</v>
      </c>
      <c r="P160" s="26">
        <v>1</v>
      </c>
      <c r="Q160" s="26">
        <v>5</v>
      </c>
      <c r="R160" s="26">
        <v>10</v>
      </c>
      <c r="S160" s="26">
        <v>15</v>
      </c>
      <c r="T160" s="26">
        <v>19</v>
      </c>
      <c r="U160" s="26">
        <v>19</v>
      </c>
      <c r="V160" s="26">
        <v>19</v>
      </c>
      <c r="W160" s="22">
        <v>1</v>
      </c>
      <c r="X160" s="22">
        <v>5</v>
      </c>
      <c r="Y160" s="22" t="s">
        <v>43</v>
      </c>
      <c r="Z160" s="22"/>
      <c r="AA160" s="22"/>
      <c r="AB160" s="22" t="s">
        <v>43</v>
      </c>
      <c r="AC160" s="25"/>
      <c r="AD160" s="22"/>
      <c r="AE160" s="16">
        <v>3</v>
      </c>
    </row>
    <row r="161" spans="1:31" s="24" customFormat="1" ht="20.100000000000001" customHeight="1" x14ac:dyDescent="0.25">
      <c r="A161" s="14" t="s">
        <v>355</v>
      </c>
      <c r="B161" s="15" t="s">
        <v>40</v>
      </c>
      <c r="C161" s="16">
        <v>60</v>
      </c>
      <c r="D161" s="17" t="s">
        <v>656</v>
      </c>
      <c r="E161" s="18" t="s">
        <v>2336</v>
      </c>
      <c r="F161" s="17" t="s">
        <v>474</v>
      </c>
      <c r="G161" s="89" t="s">
        <v>2502</v>
      </c>
      <c r="H161" s="19" t="s">
        <v>356</v>
      </c>
      <c r="I161" s="20" t="s">
        <v>474</v>
      </c>
      <c r="J161" s="21">
        <v>44470</v>
      </c>
      <c r="K161" s="22" t="s">
        <v>42</v>
      </c>
      <c r="L161" s="23">
        <v>8</v>
      </c>
      <c r="M161" s="22">
        <v>2020</v>
      </c>
      <c r="N161" s="26">
        <v>9</v>
      </c>
      <c r="O161" s="22">
        <v>9</v>
      </c>
      <c r="P161" s="26">
        <v>0</v>
      </c>
      <c r="Q161" s="26">
        <v>2</v>
      </c>
      <c r="R161" s="26">
        <v>6</v>
      </c>
      <c r="S161" s="26">
        <v>8</v>
      </c>
      <c r="T161" s="26">
        <v>9</v>
      </c>
      <c r="U161" s="26">
        <v>9</v>
      </c>
      <c r="V161" s="26">
        <v>9</v>
      </c>
      <c r="W161" s="22">
        <v>0</v>
      </c>
      <c r="X161" s="22">
        <v>0</v>
      </c>
      <c r="Y161" s="22" t="s">
        <v>43</v>
      </c>
      <c r="Z161" s="22"/>
      <c r="AA161" s="22"/>
      <c r="AB161" s="22" t="s">
        <v>43</v>
      </c>
      <c r="AC161" s="25"/>
      <c r="AD161" s="22"/>
      <c r="AE161" s="16">
        <v>3</v>
      </c>
    </row>
    <row r="162" spans="1:31" s="24" customFormat="1" ht="20.100000000000001" customHeight="1" x14ac:dyDescent="0.25">
      <c r="A162" s="14" t="s">
        <v>357</v>
      </c>
      <c r="B162" s="15" t="s">
        <v>40</v>
      </c>
      <c r="C162" s="16">
        <v>61</v>
      </c>
      <c r="D162" s="17" t="s">
        <v>661</v>
      </c>
      <c r="E162" s="18" t="s">
        <v>2337</v>
      </c>
      <c r="F162" s="17" t="s">
        <v>516</v>
      </c>
      <c r="G162" s="89" t="s">
        <v>2503</v>
      </c>
      <c r="H162" s="19" t="s">
        <v>358</v>
      </c>
      <c r="I162" s="20" t="s">
        <v>516</v>
      </c>
      <c r="J162" s="21">
        <v>44409</v>
      </c>
      <c r="K162" s="22" t="s">
        <v>42</v>
      </c>
      <c r="L162" s="23">
        <v>638</v>
      </c>
      <c r="M162" s="22">
        <v>2020</v>
      </c>
      <c r="N162" s="26">
        <v>2250</v>
      </c>
      <c r="O162" s="22">
        <v>2250</v>
      </c>
      <c r="P162" s="26">
        <v>350</v>
      </c>
      <c r="Q162" s="26">
        <v>700</v>
      </c>
      <c r="R162" s="26">
        <v>1050</v>
      </c>
      <c r="S162" s="26">
        <v>1550</v>
      </c>
      <c r="T162" s="26">
        <v>2050</v>
      </c>
      <c r="U162" s="26">
        <v>2250</v>
      </c>
      <c r="V162" s="26">
        <v>2250</v>
      </c>
      <c r="W162" s="22">
        <v>360</v>
      </c>
      <c r="X162" s="22">
        <v>1254</v>
      </c>
      <c r="Y162" s="22" t="s">
        <v>43</v>
      </c>
      <c r="Z162" s="22"/>
      <c r="AA162" s="22"/>
      <c r="AB162" s="22" t="s">
        <v>43</v>
      </c>
      <c r="AC162" s="25"/>
      <c r="AD162" s="22"/>
      <c r="AE162" s="16">
        <v>3</v>
      </c>
    </row>
    <row r="163" spans="1:31" s="24" customFormat="1" ht="20.100000000000001" customHeight="1" x14ac:dyDescent="0.25">
      <c r="A163" s="14" t="s">
        <v>359</v>
      </c>
      <c r="B163" s="15" t="s">
        <v>40</v>
      </c>
      <c r="C163" s="16">
        <v>61</v>
      </c>
      <c r="D163" s="17" t="s">
        <v>661</v>
      </c>
      <c r="E163" s="18" t="s">
        <v>2337</v>
      </c>
      <c r="F163" s="17" t="s">
        <v>516</v>
      </c>
      <c r="G163" s="89" t="s">
        <v>2504</v>
      </c>
      <c r="H163" s="19" t="s">
        <v>360</v>
      </c>
      <c r="I163" s="20" t="s">
        <v>516</v>
      </c>
      <c r="J163" s="21">
        <v>44409</v>
      </c>
      <c r="K163" s="22" t="s">
        <v>42</v>
      </c>
      <c r="L163" s="23">
        <v>329</v>
      </c>
      <c r="M163" s="22">
        <v>2020</v>
      </c>
      <c r="N163" s="26">
        <v>1400</v>
      </c>
      <c r="O163" s="22">
        <v>1400</v>
      </c>
      <c r="P163" s="26">
        <v>300</v>
      </c>
      <c r="Q163" s="26">
        <v>550</v>
      </c>
      <c r="R163" s="26">
        <v>800</v>
      </c>
      <c r="S163" s="26">
        <v>1050</v>
      </c>
      <c r="T163" s="26">
        <v>1300</v>
      </c>
      <c r="U163" s="26">
        <v>1400</v>
      </c>
      <c r="V163" s="26">
        <v>1400</v>
      </c>
      <c r="W163" s="22">
        <v>487</v>
      </c>
      <c r="X163" s="22">
        <v>650</v>
      </c>
      <c r="Y163" s="22" t="s">
        <v>43</v>
      </c>
      <c r="Z163" s="22"/>
      <c r="AA163" s="22"/>
      <c r="AB163" s="22" t="s">
        <v>43</v>
      </c>
      <c r="AC163" s="25"/>
      <c r="AD163" s="22"/>
      <c r="AE163" s="16">
        <v>3</v>
      </c>
    </row>
    <row r="164" spans="1:31" s="24" customFormat="1" ht="20.100000000000001" customHeight="1" x14ac:dyDescent="0.25">
      <c r="A164" s="14" t="s">
        <v>361</v>
      </c>
      <c r="B164" s="15" t="s">
        <v>40</v>
      </c>
      <c r="C164" s="16">
        <v>61</v>
      </c>
      <c r="D164" s="17" t="s">
        <v>661</v>
      </c>
      <c r="E164" s="18" t="s">
        <v>2337</v>
      </c>
      <c r="F164" s="17" t="s">
        <v>516</v>
      </c>
      <c r="G164" s="89" t="s">
        <v>2505</v>
      </c>
      <c r="H164" s="19" t="s">
        <v>362</v>
      </c>
      <c r="I164" s="20" t="s">
        <v>516</v>
      </c>
      <c r="J164" s="21">
        <v>44409</v>
      </c>
      <c r="K164" s="22" t="s">
        <v>42</v>
      </c>
      <c r="L164" s="23">
        <v>19979</v>
      </c>
      <c r="M164" s="22">
        <v>2020</v>
      </c>
      <c r="N164" s="26">
        <v>75000</v>
      </c>
      <c r="O164" s="22">
        <v>75000</v>
      </c>
      <c r="P164" s="26">
        <v>20000</v>
      </c>
      <c r="Q164" s="26">
        <v>32000</v>
      </c>
      <c r="R164" s="26">
        <v>45000</v>
      </c>
      <c r="S164" s="26">
        <v>57000</v>
      </c>
      <c r="T164" s="26">
        <v>70000</v>
      </c>
      <c r="U164" s="26">
        <v>75000</v>
      </c>
      <c r="V164" s="26">
        <v>75000</v>
      </c>
      <c r="W164" s="22">
        <v>25552</v>
      </c>
      <c r="X164" s="22">
        <v>48641</v>
      </c>
      <c r="Y164" s="22" t="s">
        <v>43</v>
      </c>
      <c r="Z164" s="22"/>
      <c r="AA164" s="22"/>
      <c r="AB164" s="22" t="s">
        <v>43</v>
      </c>
      <c r="AC164" s="25"/>
      <c r="AD164" s="22"/>
      <c r="AE164" s="16">
        <v>3</v>
      </c>
    </row>
    <row r="165" spans="1:31" s="24" customFormat="1" ht="20.100000000000001" customHeight="1" x14ac:dyDescent="0.25">
      <c r="A165" s="14" t="s">
        <v>363</v>
      </c>
      <c r="B165" s="15" t="s">
        <v>40</v>
      </c>
      <c r="C165" s="16">
        <v>61</v>
      </c>
      <c r="D165" s="17" t="s">
        <v>661</v>
      </c>
      <c r="E165" s="18" t="s">
        <v>2337</v>
      </c>
      <c r="F165" s="17" t="s">
        <v>516</v>
      </c>
      <c r="G165" s="89" t="s">
        <v>2506</v>
      </c>
      <c r="H165" s="19" t="s">
        <v>364</v>
      </c>
      <c r="I165" s="20" t="s">
        <v>516</v>
      </c>
      <c r="J165" s="21">
        <v>44409</v>
      </c>
      <c r="K165" s="22" t="s">
        <v>42</v>
      </c>
      <c r="L165" s="23">
        <v>0</v>
      </c>
      <c r="M165" s="22">
        <v>2020</v>
      </c>
      <c r="N165" s="26">
        <v>4</v>
      </c>
      <c r="O165" s="22">
        <v>4</v>
      </c>
      <c r="P165" s="26">
        <v>0</v>
      </c>
      <c r="Q165" s="26">
        <v>0</v>
      </c>
      <c r="R165" s="26">
        <v>1</v>
      </c>
      <c r="S165" s="26">
        <v>1</v>
      </c>
      <c r="T165" s="26">
        <v>4</v>
      </c>
      <c r="U165" s="26">
        <v>4</v>
      </c>
      <c r="V165" s="26">
        <v>4</v>
      </c>
      <c r="W165" s="22">
        <v>0</v>
      </c>
      <c r="X165" s="22">
        <v>3</v>
      </c>
      <c r="Y165" s="22" t="s">
        <v>43</v>
      </c>
      <c r="Z165" s="22"/>
      <c r="AA165" s="22"/>
      <c r="AB165" s="22" t="s">
        <v>43</v>
      </c>
      <c r="AC165" s="25"/>
      <c r="AD165" s="22"/>
      <c r="AE165" s="16">
        <v>1</v>
      </c>
    </row>
    <row r="166" spans="1:31" s="24" customFormat="1" ht="20.100000000000001" customHeight="1" x14ac:dyDescent="0.25">
      <c r="A166" s="14" t="s">
        <v>365</v>
      </c>
      <c r="B166" s="15" t="s">
        <v>40</v>
      </c>
      <c r="C166" s="16">
        <v>62</v>
      </c>
      <c r="D166" s="17" t="s">
        <v>666</v>
      </c>
      <c r="E166" s="18" t="s">
        <v>2338</v>
      </c>
      <c r="F166" s="17" t="s">
        <v>522</v>
      </c>
      <c r="G166" s="89" t="s">
        <v>2507</v>
      </c>
      <c r="H166" s="19" t="s">
        <v>366</v>
      </c>
      <c r="I166" s="20" t="s">
        <v>522</v>
      </c>
      <c r="J166" s="21">
        <v>44571</v>
      </c>
      <c r="K166" s="22" t="s">
        <v>42</v>
      </c>
      <c r="L166" s="23">
        <v>0</v>
      </c>
      <c r="M166" s="22">
        <v>2021</v>
      </c>
      <c r="N166" s="26">
        <v>100</v>
      </c>
      <c r="O166" s="22">
        <v>1</v>
      </c>
      <c r="P166" s="26">
        <v>0</v>
      </c>
      <c r="Q166" s="26">
        <v>20</v>
      </c>
      <c r="R166" s="26">
        <v>60</v>
      </c>
      <c r="S166" s="26">
        <v>100</v>
      </c>
      <c r="T166" s="26">
        <v>100</v>
      </c>
      <c r="U166" s="26">
        <v>100</v>
      </c>
      <c r="V166" s="26">
        <v>100</v>
      </c>
      <c r="W166" s="22">
        <v>0</v>
      </c>
      <c r="X166" s="22">
        <v>20</v>
      </c>
      <c r="Y166" s="22" t="s">
        <v>43</v>
      </c>
      <c r="Z166" s="22"/>
      <c r="AA166" s="22"/>
      <c r="AB166" s="22" t="s">
        <v>43</v>
      </c>
      <c r="AC166" s="25"/>
      <c r="AD166" s="22"/>
      <c r="AE166" s="16">
        <v>3</v>
      </c>
    </row>
    <row r="167" spans="1:31" s="24" customFormat="1" ht="20.100000000000001" customHeight="1" x14ac:dyDescent="0.25">
      <c r="A167" s="14" t="s">
        <v>367</v>
      </c>
      <c r="B167" s="15" t="s">
        <v>40</v>
      </c>
      <c r="C167" s="16">
        <v>62</v>
      </c>
      <c r="D167" s="17" t="s">
        <v>666</v>
      </c>
      <c r="E167" s="18" t="s">
        <v>2338</v>
      </c>
      <c r="F167" s="17" t="s">
        <v>522</v>
      </c>
      <c r="G167" s="89" t="s">
        <v>2508</v>
      </c>
      <c r="H167" s="19" t="s">
        <v>368</v>
      </c>
      <c r="I167" s="20" t="s">
        <v>522</v>
      </c>
      <c r="J167" s="21">
        <v>44571</v>
      </c>
      <c r="K167" s="22" t="s">
        <v>42</v>
      </c>
      <c r="L167" s="23">
        <v>0</v>
      </c>
      <c r="M167" s="22">
        <v>2021</v>
      </c>
      <c r="N167" s="26">
        <v>100</v>
      </c>
      <c r="O167" s="22">
        <v>1</v>
      </c>
      <c r="P167" s="26">
        <v>0</v>
      </c>
      <c r="Q167" s="26">
        <v>20</v>
      </c>
      <c r="R167" s="26">
        <v>60</v>
      </c>
      <c r="S167" s="26">
        <v>100</v>
      </c>
      <c r="T167" s="26">
        <v>100</v>
      </c>
      <c r="U167" s="26">
        <v>100</v>
      </c>
      <c r="V167" s="26">
        <v>100</v>
      </c>
      <c r="W167" s="22">
        <v>0</v>
      </c>
      <c r="X167" s="22">
        <v>20</v>
      </c>
      <c r="Y167" s="22" t="s">
        <v>43</v>
      </c>
      <c r="Z167" s="22"/>
      <c r="AA167" s="22"/>
      <c r="AB167" s="22" t="s">
        <v>43</v>
      </c>
      <c r="AC167" s="25"/>
      <c r="AD167" s="22"/>
      <c r="AE167" s="16">
        <v>3</v>
      </c>
    </row>
    <row r="168" spans="1:31" s="24" customFormat="1" ht="20.100000000000001" customHeight="1" x14ac:dyDescent="0.25">
      <c r="A168" s="14" t="s">
        <v>369</v>
      </c>
      <c r="B168" s="15" t="s">
        <v>40</v>
      </c>
      <c r="C168" s="16">
        <v>62</v>
      </c>
      <c r="D168" s="17" t="s">
        <v>666</v>
      </c>
      <c r="E168" s="18" t="s">
        <v>2338</v>
      </c>
      <c r="F168" s="17" t="s">
        <v>522</v>
      </c>
      <c r="G168" s="89" t="s">
        <v>2509</v>
      </c>
      <c r="H168" s="19" t="s">
        <v>370</v>
      </c>
      <c r="I168" s="20" t="s">
        <v>522</v>
      </c>
      <c r="J168" s="21">
        <v>44571</v>
      </c>
      <c r="K168" s="22" t="s">
        <v>42</v>
      </c>
      <c r="L168" s="23">
        <v>0</v>
      </c>
      <c r="M168" s="22">
        <v>2021</v>
      </c>
      <c r="N168" s="26">
        <v>100</v>
      </c>
      <c r="O168" s="22">
        <v>1</v>
      </c>
      <c r="P168" s="26">
        <v>0</v>
      </c>
      <c r="Q168" s="26">
        <v>30</v>
      </c>
      <c r="R168" s="26">
        <v>60</v>
      </c>
      <c r="S168" s="26">
        <v>100</v>
      </c>
      <c r="T168" s="26">
        <v>100</v>
      </c>
      <c r="U168" s="26">
        <v>100</v>
      </c>
      <c r="V168" s="26">
        <v>100</v>
      </c>
      <c r="W168" s="22">
        <v>0</v>
      </c>
      <c r="X168" s="22">
        <v>30</v>
      </c>
      <c r="Y168" s="22" t="s">
        <v>43</v>
      </c>
      <c r="Z168" s="22"/>
      <c r="AA168" s="22"/>
      <c r="AB168" s="22" t="s">
        <v>43</v>
      </c>
      <c r="AC168" s="25"/>
      <c r="AD168" s="22"/>
      <c r="AE168" s="16">
        <v>3</v>
      </c>
    </row>
    <row r="169" spans="1:31" s="24" customFormat="1" ht="20.100000000000001" customHeight="1" x14ac:dyDescent="0.25">
      <c r="A169" s="14" t="s">
        <v>371</v>
      </c>
      <c r="B169" s="15" t="s">
        <v>40</v>
      </c>
      <c r="C169" s="16">
        <v>65</v>
      </c>
      <c r="D169" s="17" t="s">
        <v>671</v>
      </c>
      <c r="E169" s="18" t="s">
        <v>2339</v>
      </c>
      <c r="F169" s="17" t="s">
        <v>480</v>
      </c>
      <c r="G169" s="89" t="s">
        <v>2510</v>
      </c>
      <c r="H169" s="19" t="s">
        <v>372</v>
      </c>
      <c r="I169" s="20" t="s">
        <v>480</v>
      </c>
      <c r="J169" s="21">
        <v>44411</v>
      </c>
      <c r="K169" s="22" t="s">
        <v>42</v>
      </c>
      <c r="L169" s="23">
        <v>0</v>
      </c>
      <c r="M169" s="22">
        <v>2021</v>
      </c>
      <c r="N169" s="26">
        <v>100</v>
      </c>
      <c r="O169" s="22">
        <v>1</v>
      </c>
      <c r="P169" s="26">
        <v>10</v>
      </c>
      <c r="Q169" s="26">
        <v>20</v>
      </c>
      <c r="R169" s="26">
        <v>50</v>
      </c>
      <c r="S169" s="26">
        <v>60</v>
      </c>
      <c r="T169" s="26">
        <v>90</v>
      </c>
      <c r="U169" s="26">
        <v>100</v>
      </c>
      <c r="V169" s="26">
        <v>100</v>
      </c>
      <c r="W169" s="22">
        <v>10</v>
      </c>
      <c r="X169" s="22">
        <v>20</v>
      </c>
      <c r="Y169" s="22" t="s">
        <v>43</v>
      </c>
      <c r="Z169" s="22"/>
      <c r="AA169" s="22"/>
      <c r="AB169" s="22" t="s">
        <v>43</v>
      </c>
      <c r="AC169" s="25"/>
      <c r="AD169" s="22"/>
      <c r="AE169" s="16">
        <v>1</v>
      </c>
    </row>
    <row r="170" spans="1:31" s="24" customFormat="1" ht="20.100000000000001" customHeight="1" x14ac:dyDescent="0.25">
      <c r="A170" s="14" t="s">
        <v>373</v>
      </c>
      <c r="B170" s="15" t="s">
        <v>40</v>
      </c>
      <c r="C170" s="16">
        <v>65</v>
      </c>
      <c r="D170" s="17" t="s">
        <v>671</v>
      </c>
      <c r="E170" s="18" t="s">
        <v>2339</v>
      </c>
      <c r="F170" s="17" t="s">
        <v>480</v>
      </c>
      <c r="G170" s="89" t="s">
        <v>2511</v>
      </c>
      <c r="H170" s="19" t="s">
        <v>374</v>
      </c>
      <c r="I170" s="20" t="s">
        <v>480</v>
      </c>
      <c r="J170" s="21">
        <v>44411</v>
      </c>
      <c r="K170" s="22" t="s">
        <v>42</v>
      </c>
      <c r="L170" s="23">
        <v>0</v>
      </c>
      <c r="M170" s="22">
        <v>2021</v>
      </c>
      <c r="N170" s="26">
        <v>100</v>
      </c>
      <c r="O170" s="22">
        <v>1</v>
      </c>
      <c r="P170" s="26">
        <v>30</v>
      </c>
      <c r="Q170" s="26">
        <v>40</v>
      </c>
      <c r="R170" s="26">
        <v>60</v>
      </c>
      <c r="S170" s="26">
        <v>70</v>
      </c>
      <c r="T170" s="26">
        <v>90</v>
      </c>
      <c r="U170" s="26">
        <v>100</v>
      </c>
      <c r="V170" s="26">
        <v>100</v>
      </c>
      <c r="W170" s="22">
        <v>30</v>
      </c>
      <c r="X170" s="22">
        <v>40</v>
      </c>
      <c r="Y170" s="22" t="s">
        <v>43</v>
      </c>
      <c r="Z170" s="22"/>
      <c r="AA170" s="22"/>
      <c r="AB170" s="22" t="s">
        <v>43</v>
      </c>
      <c r="AC170" s="25"/>
      <c r="AD170" s="22"/>
      <c r="AE170" s="16">
        <v>1</v>
      </c>
    </row>
    <row r="171" spans="1:31" s="24" customFormat="1" ht="20.100000000000001" customHeight="1" x14ac:dyDescent="0.25">
      <c r="A171" s="14" t="s">
        <v>375</v>
      </c>
      <c r="B171" s="15" t="s">
        <v>40</v>
      </c>
      <c r="C171" s="16">
        <v>66</v>
      </c>
      <c r="D171" s="17" t="s">
        <v>676</v>
      </c>
      <c r="E171" s="18" t="s">
        <v>2340</v>
      </c>
      <c r="F171" s="17" t="s">
        <v>480</v>
      </c>
      <c r="G171" s="89" t="s">
        <v>2512</v>
      </c>
      <c r="H171" s="19" t="s">
        <v>376</v>
      </c>
      <c r="I171" s="20" t="s">
        <v>480</v>
      </c>
      <c r="J171" s="21">
        <v>44410</v>
      </c>
      <c r="K171" s="22" t="s">
        <v>42</v>
      </c>
      <c r="L171" s="23">
        <v>0.05</v>
      </c>
      <c r="M171" s="22">
        <v>2020</v>
      </c>
      <c r="N171" s="26">
        <v>100</v>
      </c>
      <c r="O171" s="22">
        <v>1</v>
      </c>
      <c r="P171" s="26">
        <v>10</v>
      </c>
      <c r="Q171" s="26">
        <v>20</v>
      </c>
      <c r="R171" s="26">
        <v>50</v>
      </c>
      <c r="S171" s="26">
        <v>70</v>
      </c>
      <c r="T171" s="26">
        <v>90</v>
      </c>
      <c r="U171" s="26">
        <v>100</v>
      </c>
      <c r="V171" s="26">
        <v>100</v>
      </c>
      <c r="W171" s="22">
        <v>10</v>
      </c>
      <c r="X171" s="22">
        <v>31</v>
      </c>
      <c r="Y171" s="22" t="s">
        <v>43</v>
      </c>
      <c r="Z171" s="22"/>
      <c r="AA171" s="22"/>
      <c r="AB171" s="22" t="s">
        <v>43</v>
      </c>
      <c r="AC171" s="25"/>
      <c r="AD171" s="22"/>
      <c r="AE171" s="16">
        <v>3</v>
      </c>
    </row>
    <row r="172" spans="1:31" s="24" customFormat="1" ht="27.75" customHeight="1" x14ac:dyDescent="0.25">
      <c r="A172" s="14" t="s">
        <v>377</v>
      </c>
      <c r="B172" s="15" t="s">
        <v>40</v>
      </c>
      <c r="C172" s="16">
        <v>66</v>
      </c>
      <c r="D172" s="17" t="s">
        <v>676</v>
      </c>
      <c r="E172" s="18" t="s">
        <v>2340</v>
      </c>
      <c r="F172" s="17" t="s">
        <v>480</v>
      </c>
      <c r="G172" s="89" t="s">
        <v>2513</v>
      </c>
      <c r="H172" s="19" t="s">
        <v>378</v>
      </c>
      <c r="I172" s="20" t="s">
        <v>480</v>
      </c>
      <c r="J172" s="21">
        <v>44410</v>
      </c>
      <c r="K172" s="22" t="s">
        <v>42</v>
      </c>
      <c r="L172" s="23">
        <v>0</v>
      </c>
      <c r="M172" s="22">
        <v>2020</v>
      </c>
      <c r="N172" s="26">
        <v>100</v>
      </c>
      <c r="O172" s="22">
        <v>1</v>
      </c>
      <c r="P172" s="26">
        <v>10</v>
      </c>
      <c r="Q172" s="26">
        <v>20</v>
      </c>
      <c r="R172" s="26">
        <v>50</v>
      </c>
      <c r="S172" s="26">
        <v>70</v>
      </c>
      <c r="T172" s="26">
        <v>90</v>
      </c>
      <c r="U172" s="26">
        <v>100</v>
      </c>
      <c r="V172" s="26">
        <v>100</v>
      </c>
      <c r="W172" s="22">
        <v>10</v>
      </c>
      <c r="X172" s="22">
        <v>48</v>
      </c>
      <c r="Y172" s="22" t="s">
        <v>43</v>
      </c>
      <c r="Z172" s="22"/>
      <c r="AA172" s="22"/>
      <c r="AB172" s="22" t="s">
        <v>43</v>
      </c>
      <c r="AC172" s="25"/>
      <c r="AD172" s="22"/>
      <c r="AE172" s="16">
        <v>3</v>
      </c>
    </row>
    <row r="173" spans="1:31" x14ac:dyDescent="0.25"/>
    <row r="174" spans="1:31" x14ac:dyDescent="0.25">
      <c r="N174">
        <f>COLUMN()</f>
        <v>14</v>
      </c>
      <c r="O174">
        <f>COLUMN()</f>
        <v>15</v>
      </c>
      <c r="P174">
        <f>COLUMN()</f>
        <v>16</v>
      </c>
      <c r="Q174">
        <f>COLUMN()</f>
        <v>17</v>
      </c>
      <c r="R174">
        <f>COLUMN()</f>
        <v>18</v>
      </c>
      <c r="S174">
        <f>COLUMN()</f>
        <v>19</v>
      </c>
      <c r="T174">
        <f>COLUMN()</f>
        <v>20</v>
      </c>
      <c r="U174">
        <f>COLUMN()</f>
        <v>21</v>
      </c>
      <c r="V174">
        <f>COLUMN()</f>
        <v>22</v>
      </c>
      <c r="W174">
        <f>COLUMN()</f>
        <v>23</v>
      </c>
    </row>
    <row r="175" spans="1:31" x14ac:dyDescent="0.25"/>
    <row r="1048575" spans="4:15" ht="9.75" hidden="1" customHeight="1" x14ac:dyDescent="0.25">
      <c r="D1048575"/>
      <c r="F1048575"/>
      <c r="G1048575"/>
      <c r="I1048575"/>
      <c r="L1048575"/>
      <c r="M1048575"/>
      <c r="N1048575"/>
      <c r="O1048575"/>
    </row>
    <row r="1048576" spans="4:15" ht="12" hidden="1" customHeight="1" x14ac:dyDescent="0.25">
      <c r="D1048576"/>
      <c r="F1048576"/>
      <c r="G1048576"/>
      <c r="I1048576"/>
      <c r="L1048576"/>
      <c r="M1048576"/>
      <c r="N1048576"/>
      <c r="O1048576"/>
    </row>
  </sheetData>
  <autoFilter ref="A3:AW172" xr:uid="{D2AC96ED-1647-455F-A692-781966978719}"/>
  <mergeCells count="10">
    <mergeCell ref="AB1:AD2"/>
    <mergeCell ref="Q2:R2"/>
    <mergeCell ref="S2:T2"/>
    <mergeCell ref="U2:V2"/>
    <mergeCell ref="A1:A2"/>
    <mergeCell ref="B1:F2"/>
    <mergeCell ref="G1:N2"/>
    <mergeCell ref="P1:U1"/>
    <mergeCell ref="W1:X1"/>
    <mergeCell ref="Y1:AA2"/>
  </mergeCells>
  <conditionalFormatting sqref="AE3 A3:E3 I3:K3 P3:X3">
    <cfRule type="containsBlanks" dxfId="24" priority="17">
      <formula>LEN(TRIM(A3))=0</formula>
    </cfRule>
  </conditionalFormatting>
  <conditionalFormatting sqref="N3:O3">
    <cfRule type="containsBlanks" dxfId="23" priority="16">
      <formula>LEN(TRIM(N3))=0</formula>
    </cfRule>
  </conditionalFormatting>
  <conditionalFormatting sqref="L3:M3">
    <cfRule type="containsBlanks" dxfId="22" priority="15">
      <formula>LEN(TRIM(L3))=0</formula>
    </cfRule>
  </conditionalFormatting>
  <conditionalFormatting sqref="H3">
    <cfRule type="containsBlanks" dxfId="21" priority="14">
      <formula>LEN(TRIM(H3))=0</formula>
    </cfRule>
  </conditionalFormatting>
  <conditionalFormatting sqref="G3">
    <cfRule type="containsBlanks" dxfId="20" priority="13">
      <formula>LEN(TRIM(G3))=0</formula>
    </cfRule>
  </conditionalFormatting>
  <conditionalFormatting sqref="F3">
    <cfRule type="containsBlanks" dxfId="19" priority="12">
      <formula>LEN(TRIM(F3))=0</formula>
    </cfRule>
  </conditionalFormatting>
  <conditionalFormatting sqref="Y3:Z3">
    <cfRule type="containsBlanks" dxfId="18" priority="11">
      <formula>LEN(TRIM(Y3))=0</formula>
    </cfRule>
  </conditionalFormatting>
  <conditionalFormatting sqref="Y5:Z172 Y4">
    <cfRule type="containsText" dxfId="17" priority="9" operator="containsText" text="Sí">
      <formula>NOT(ISERROR(SEARCH("Sí",Y4)))</formula>
    </cfRule>
    <cfRule type="containsText" dxfId="16" priority="10" operator="containsText" text="No">
      <formula>NOT(ISERROR(SEARCH("No",Y4)))</formula>
    </cfRule>
  </conditionalFormatting>
  <conditionalFormatting sqref="AA3">
    <cfRule type="containsBlanks" dxfId="15" priority="8">
      <formula>LEN(TRIM(AA3))=0</formula>
    </cfRule>
  </conditionalFormatting>
  <conditionalFormatting sqref="AA4:AA172">
    <cfRule type="containsText" dxfId="14" priority="6" operator="containsText" text="Sí">
      <formula>NOT(ISERROR(SEARCH("Sí",AA4)))</formula>
    </cfRule>
    <cfRule type="containsText" dxfId="13" priority="7" operator="containsText" text="No">
      <formula>NOT(ISERROR(SEARCH("No",AA4)))</formula>
    </cfRule>
  </conditionalFormatting>
  <conditionalFormatting sqref="AB3:AD3">
    <cfRule type="containsBlanks" dxfId="12" priority="5">
      <formula>LEN(TRIM(AB3))=0</formula>
    </cfRule>
  </conditionalFormatting>
  <conditionalFormatting sqref="AB4:AB172">
    <cfRule type="containsText" dxfId="11" priority="3" operator="containsText" text="Sí">
      <formula>NOT(ISERROR(SEARCH("Sí",AB4)))</formula>
    </cfRule>
    <cfRule type="containsText" dxfId="10" priority="4" operator="containsText" text="No">
      <formula>NOT(ISERROR(SEARCH("No",AB4)))</formula>
    </cfRule>
  </conditionalFormatting>
  <conditionalFormatting sqref="AD4:AD172">
    <cfRule type="containsText" dxfId="9" priority="1" operator="containsText" text="Sí">
      <formula>NOT(ISERROR(SEARCH("Sí",AD4)))</formula>
    </cfRule>
    <cfRule type="containsText" dxfId="8" priority="2" operator="containsText" text="No">
      <formula>NOT(ISERROR(SEARCH("No",AD4)))</formula>
    </cfRule>
  </conditionalFormatting>
  <dataValidations count="1">
    <dataValidation type="list" allowBlank="1" showInputMessage="1" showErrorMessage="1" sqref="Y4:Y172 AB4:AB172" xr:uid="{00000000-0002-0000-0200-000000000000}">
      <formula1>"Sí,No"</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tabColor theme="1" tint="0.499984740745262"/>
  </sheetPr>
  <dimension ref="A1:AA996"/>
  <sheetViews>
    <sheetView showGridLines="0" zoomScaleNormal="100" workbookViewId="0">
      <pane xSplit="2" ySplit="1" topLeftCell="F2" activePane="bottomRight" state="frozen"/>
      <selection pane="topRight" activeCell="C1" sqref="C1"/>
      <selection pane="bottomLeft" activeCell="A2" sqref="A2"/>
      <selection pane="bottomRight" activeCell="J2" sqref="J2"/>
    </sheetView>
  </sheetViews>
  <sheetFormatPr baseColWidth="10" defaultColWidth="0" defaultRowHeight="15" customHeight="1" zeroHeight="1" x14ac:dyDescent="0.25"/>
  <cols>
    <col min="1" max="1" width="22.42578125" style="42" customWidth="1"/>
    <col min="2" max="2" width="62.85546875" style="42" customWidth="1"/>
    <col min="3" max="3" width="49.5703125" style="42" customWidth="1"/>
    <col min="4" max="4" width="35.85546875" style="42" customWidth="1"/>
    <col min="5" max="5" width="20.42578125" style="42" customWidth="1"/>
    <col min="6" max="6" width="29.42578125" style="42" customWidth="1"/>
    <col min="7" max="7" width="30.7109375" style="42" customWidth="1"/>
    <col min="8" max="8" width="31.28515625" style="42" customWidth="1"/>
    <col min="9" max="9" width="17.85546875" style="42" customWidth="1"/>
    <col min="10" max="10" width="20.85546875" style="42" customWidth="1"/>
    <col min="11" max="11" width="16" style="42" customWidth="1"/>
    <col min="12" max="12" width="33.7109375" style="42" customWidth="1"/>
    <col min="13" max="13" width="10.7109375" style="42" customWidth="1"/>
    <col min="14" max="14" width="16.85546875" style="42" customWidth="1"/>
    <col min="15" max="16" width="15.28515625" style="42" customWidth="1"/>
    <col min="17" max="17" width="24.5703125" style="92" bestFit="1" customWidth="1"/>
    <col min="18" max="18" width="11.42578125" style="42" customWidth="1"/>
    <col min="19" max="27" width="10.7109375" style="42" hidden="1" customWidth="1"/>
    <col min="28" max="16384" width="14.42578125" style="42" hidden="1"/>
  </cols>
  <sheetData>
    <row r="1" spans="1:27" x14ac:dyDescent="0.25">
      <c r="A1" s="40" t="s">
        <v>12</v>
      </c>
      <c r="B1" s="40" t="s">
        <v>395</v>
      </c>
      <c r="C1" s="40" t="s">
        <v>396</v>
      </c>
      <c r="D1" s="40" t="s">
        <v>18</v>
      </c>
      <c r="E1" s="40" t="s">
        <v>397</v>
      </c>
      <c r="F1" s="40" t="s">
        <v>398</v>
      </c>
      <c r="G1" s="40" t="s">
        <v>399</v>
      </c>
      <c r="H1" s="40" t="s">
        <v>400</v>
      </c>
      <c r="I1" s="40" t="s">
        <v>401</v>
      </c>
      <c r="J1" s="40" t="s">
        <v>402</v>
      </c>
      <c r="K1" s="40" t="s">
        <v>403</v>
      </c>
      <c r="L1" s="40" t="s">
        <v>404</v>
      </c>
      <c r="M1" s="40" t="s">
        <v>405</v>
      </c>
      <c r="N1" s="40" t="s">
        <v>406</v>
      </c>
      <c r="O1" s="40" t="s">
        <v>407</v>
      </c>
      <c r="P1" s="40" t="s">
        <v>408</v>
      </c>
      <c r="Q1" s="90" t="s">
        <v>14</v>
      </c>
      <c r="R1" s="41"/>
      <c r="S1" s="41"/>
      <c r="T1" s="41"/>
      <c r="U1" s="41"/>
      <c r="V1" s="41"/>
      <c r="W1" s="41"/>
      <c r="X1" s="41"/>
      <c r="Y1" s="41"/>
      <c r="Z1" s="41"/>
      <c r="AA1" s="41"/>
    </row>
    <row r="2" spans="1:27" ht="19.5" customHeight="1" x14ac:dyDescent="0.25">
      <c r="A2" s="43">
        <v>1</v>
      </c>
      <c r="B2" s="44" t="s">
        <v>409</v>
      </c>
      <c r="C2" s="44" t="s">
        <v>410</v>
      </c>
      <c r="D2" s="44" t="s">
        <v>411</v>
      </c>
      <c r="E2" s="44">
        <v>2</v>
      </c>
      <c r="F2" s="44" t="s">
        <v>412</v>
      </c>
      <c r="G2" s="44" t="s">
        <v>413</v>
      </c>
      <c r="H2" s="44" t="s">
        <v>414</v>
      </c>
      <c r="I2" s="45">
        <v>44409</v>
      </c>
      <c r="J2" s="45">
        <v>45382</v>
      </c>
      <c r="K2" s="46">
        <v>1000.85</v>
      </c>
      <c r="L2" s="44"/>
      <c r="M2" s="47"/>
      <c r="N2" s="47"/>
      <c r="O2" s="47"/>
      <c r="P2" s="47"/>
      <c r="Q2" s="49" t="s">
        <v>2286</v>
      </c>
      <c r="R2" s="48"/>
      <c r="S2" s="41"/>
      <c r="T2" s="41"/>
      <c r="U2" s="41"/>
      <c r="V2" s="41"/>
      <c r="W2" s="41"/>
      <c r="X2" s="41"/>
      <c r="Y2" s="41"/>
      <c r="Z2" s="41"/>
      <c r="AA2" s="41"/>
    </row>
    <row r="3" spans="1:27" ht="19.5" customHeight="1" x14ac:dyDescent="0.25">
      <c r="A3" s="43">
        <v>2</v>
      </c>
      <c r="B3" s="44" t="s">
        <v>415</v>
      </c>
      <c r="C3" s="44" t="s">
        <v>416</v>
      </c>
      <c r="D3" s="44" t="s">
        <v>411</v>
      </c>
      <c r="E3" s="44">
        <v>1</v>
      </c>
      <c r="F3" s="44" t="s">
        <v>417</v>
      </c>
      <c r="G3" s="44" t="s">
        <v>418</v>
      </c>
      <c r="H3" s="44" t="s">
        <v>419</v>
      </c>
      <c r="I3" s="45">
        <v>44440</v>
      </c>
      <c r="J3" s="45">
        <v>45352</v>
      </c>
      <c r="K3" s="46">
        <v>492.6</v>
      </c>
      <c r="L3" s="44"/>
      <c r="M3" s="47"/>
      <c r="N3" s="47"/>
      <c r="O3" s="47"/>
      <c r="P3" s="47"/>
      <c r="Q3" s="49" t="s">
        <v>2287</v>
      </c>
      <c r="R3" s="48"/>
      <c r="S3" s="41"/>
      <c r="T3" s="41"/>
      <c r="U3" s="41"/>
      <c r="V3" s="41"/>
      <c r="W3" s="41"/>
      <c r="X3" s="41"/>
      <c r="Y3" s="41"/>
      <c r="Z3" s="41"/>
      <c r="AA3" s="41"/>
    </row>
    <row r="4" spans="1:27" ht="19.5" customHeight="1" x14ac:dyDescent="0.25">
      <c r="A4" s="43">
        <v>4</v>
      </c>
      <c r="B4" s="44" t="s">
        <v>420</v>
      </c>
      <c r="C4" s="44" t="s">
        <v>421</v>
      </c>
      <c r="D4" s="44" t="s">
        <v>411</v>
      </c>
      <c r="E4" s="44">
        <v>1</v>
      </c>
      <c r="F4" s="44" t="s">
        <v>422</v>
      </c>
      <c r="G4" s="44" t="s">
        <v>423</v>
      </c>
      <c r="H4" s="44" t="s">
        <v>424</v>
      </c>
      <c r="I4" s="45">
        <v>44409</v>
      </c>
      <c r="J4" s="45">
        <v>45382</v>
      </c>
      <c r="K4" s="46"/>
      <c r="L4" s="44"/>
      <c r="M4" s="47"/>
      <c r="N4" s="47"/>
      <c r="O4" s="47"/>
      <c r="P4" s="47"/>
      <c r="Q4" s="49" t="s">
        <v>2288</v>
      </c>
      <c r="R4" s="48"/>
      <c r="S4" s="41"/>
      <c r="T4" s="41"/>
      <c r="U4" s="41"/>
      <c r="V4" s="41"/>
      <c r="W4" s="41"/>
      <c r="X4" s="41"/>
      <c r="Y4" s="41"/>
      <c r="Z4" s="41"/>
      <c r="AA4" s="41"/>
    </row>
    <row r="5" spans="1:27" ht="19.5" customHeight="1" x14ac:dyDescent="0.25">
      <c r="A5" s="43">
        <v>5</v>
      </c>
      <c r="B5" s="44" t="s">
        <v>425</v>
      </c>
      <c r="C5" s="44" t="s">
        <v>426</v>
      </c>
      <c r="D5" s="44" t="s">
        <v>411</v>
      </c>
      <c r="E5" s="44">
        <v>1</v>
      </c>
      <c r="F5" s="44" t="s">
        <v>427</v>
      </c>
      <c r="G5" s="44" t="s">
        <v>428</v>
      </c>
      <c r="H5" s="44" t="s">
        <v>429</v>
      </c>
      <c r="I5" s="45">
        <v>44287</v>
      </c>
      <c r="J5" s="45">
        <v>45382</v>
      </c>
      <c r="K5" s="46">
        <v>14000</v>
      </c>
      <c r="L5" s="44"/>
      <c r="M5" s="47"/>
      <c r="N5" s="47"/>
      <c r="O5" s="47"/>
      <c r="P5" s="47"/>
      <c r="Q5" s="49" t="s">
        <v>2289</v>
      </c>
      <c r="R5" s="48"/>
      <c r="S5" s="41"/>
      <c r="T5" s="41"/>
      <c r="U5" s="41"/>
      <c r="V5" s="41"/>
      <c r="W5" s="41"/>
      <c r="X5" s="41"/>
      <c r="Y5" s="41"/>
      <c r="Z5" s="41"/>
      <c r="AA5" s="41"/>
    </row>
    <row r="6" spans="1:27" ht="19.5" customHeight="1" x14ac:dyDescent="0.25">
      <c r="A6" s="43">
        <v>6</v>
      </c>
      <c r="B6" s="44" t="s">
        <v>430</v>
      </c>
      <c r="C6" s="44" t="s">
        <v>431</v>
      </c>
      <c r="D6" s="44" t="s">
        <v>411</v>
      </c>
      <c r="E6" s="44">
        <v>1</v>
      </c>
      <c r="F6" s="44" t="s">
        <v>427</v>
      </c>
      <c r="G6" s="44" t="s">
        <v>428</v>
      </c>
      <c r="H6" s="44" t="s">
        <v>432</v>
      </c>
      <c r="I6" s="45">
        <v>44287</v>
      </c>
      <c r="J6" s="45">
        <v>45382</v>
      </c>
      <c r="K6" s="46"/>
      <c r="L6" s="44" t="s">
        <v>433</v>
      </c>
      <c r="M6" s="47"/>
      <c r="N6" s="47"/>
      <c r="O6" s="47"/>
      <c r="P6" s="47"/>
      <c r="Q6" s="49" t="s">
        <v>2290</v>
      </c>
      <c r="R6" s="48"/>
      <c r="S6" s="41"/>
      <c r="T6" s="41"/>
      <c r="U6" s="41"/>
      <c r="V6" s="41"/>
      <c r="W6" s="41"/>
      <c r="X6" s="41"/>
      <c r="Y6" s="41"/>
      <c r="Z6" s="41"/>
      <c r="AA6" s="41"/>
    </row>
    <row r="7" spans="1:27" ht="19.5" customHeight="1" x14ac:dyDescent="0.25">
      <c r="A7" s="43">
        <v>7</v>
      </c>
      <c r="B7" s="44" t="s">
        <v>434</v>
      </c>
      <c r="C7" s="44" t="s">
        <v>435</v>
      </c>
      <c r="D7" s="44" t="s">
        <v>411</v>
      </c>
      <c r="E7" s="44">
        <v>1</v>
      </c>
      <c r="F7" s="44" t="s">
        <v>436</v>
      </c>
      <c r="G7" s="44" t="s">
        <v>437</v>
      </c>
      <c r="H7" s="44" t="s">
        <v>438</v>
      </c>
      <c r="I7" s="45">
        <v>44378</v>
      </c>
      <c r="J7" s="45">
        <v>45382</v>
      </c>
      <c r="K7" s="46">
        <v>463.23</v>
      </c>
      <c r="L7" s="44" t="s">
        <v>433</v>
      </c>
      <c r="M7" s="47"/>
      <c r="N7" s="47"/>
      <c r="O7" s="47"/>
      <c r="P7" s="47"/>
      <c r="Q7" s="49" t="s">
        <v>2291</v>
      </c>
      <c r="R7" s="48"/>
      <c r="S7" s="41"/>
      <c r="T7" s="41"/>
      <c r="U7" s="41"/>
      <c r="V7" s="41"/>
      <c r="W7" s="41"/>
      <c r="X7" s="41"/>
      <c r="Y7" s="41"/>
      <c r="Z7" s="41"/>
      <c r="AA7" s="41"/>
    </row>
    <row r="8" spans="1:27" ht="19.5" customHeight="1" x14ac:dyDescent="0.25">
      <c r="A8" s="43">
        <v>8</v>
      </c>
      <c r="B8" s="44" t="s">
        <v>439</v>
      </c>
      <c r="C8" s="44" t="s">
        <v>440</v>
      </c>
      <c r="D8" s="44" t="s">
        <v>441</v>
      </c>
      <c r="E8" s="44">
        <v>1</v>
      </c>
      <c r="F8" s="44" t="s">
        <v>442</v>
      </c>
      <c r="G8" s="44" t="s">
        <v>443</v>
      </c>
      <c r="H8" s="44" t="s">
        <v>444</v>
      </c>
      <c r="I8" s="45">
        <v>44409</v>
      </c>
      <c r="J8" s="45">
        <v>45382</v>
      </c>
      <c r="K8" s="46">
        <v>327</v>
      </c>
      <c r="L8" s="44" t="s">
        <v>433</v>
      </c>
      <c r="M8" s="47"/>
      <c r="N8" s="47"/>
      <c r="O8" s="47"/>
      <c r="P8" s="47"/>
      <c r="Q8" s="49" t="s">
        <v>2292</v>
      </c>
      <c r="R8" s="48"/>
      <c r="S8" s="41"/>
      <c r="T8" s="41"/>
      <c r="U8" s="41"/>
      <c r="V8" s="41"/>
      <c r="W8" s="41"/>
      <c r="X8" s="41"/>
      <c r="Y8" s="41"/>
      <c r="Z8" s="41"/>
      <c r="AA8" s="41"/>
    </row>
    <row r="9" spans="1:27" ht="19.5" customHeight="1" x14ac:dyDescent="0.25">
      <c r="A9" s="43">
        <v>38</v>
      </c>
      <c r="B9" s="44" t="s">
        <v>445</v>
      </c>
      <c r="C9" s="44" t="s">
        <v>446</v>
      </c>
      <c r="D9" s="44" t="s">
        <v>447</v>
      </c>
      <c r="E9" s="44">
        <v>3</v>
      </c>
      <c r="F9" s="44" t="s">
        <v>448</v>
      </c>
      <c r="G9" s="44" t="s">
        <v>449</v>
      </c>
      <c r="H9" s="44" t="s">
        <v>450</v>
      </c>
      <c r="I9" s="45">
        <v>44473</v>
      </c>
      <c r="J9" s="45">
        <v>45351</v>
      </c>
      <c r="K9" s="46">
        <v>448.76</v>
      </c>
      <c r="L9" s="44"/>
      <c r="M9" s="47"/>
      <c r="N9" s="47"/>
      <c r="O9" s="47"/>
      <c r="P9" s="47"/>
      <c r="Q9" s="49" t="s">
        <v>2293</v>
      </c>
      <c r="R9" s="48"/>
      <c r="S9" s="41"/>
      <c r="T9" s="41"/>
      <c r="U9" s="41"/>
      <c r="V9" s="41"/>
      <c r="W9" s="41"/>
      <c r="X9" s="41"/>
      <c r="Y9" s="41"/>
      <c r="Z9" s="41"/>
      <c r="AA9" s="41"/>
    </row>
    <row r="10" spans="1:27" ht="19.5" customHeight="1" x14ac:dyDescent="0.25">
      <c r="A10" s="43">
        <v>10</v>
      </c>
      <c r="B10" s="44" t="s">
        <v>451</v>
      </c>
      <c r="C10" s="44" t="s">
        <v>452</v>
      </c>
      <c r="D10" s="44" t="s">
        <v>441</v>
      </c>
      <c r="E10" s="44">
        <v>1</v>
      </c>
      <c r="F10" s="44" t="s">
        <v>453</v>
      </c>
      <c r="G10" s="44" t="s">
        <v>454</v>
      </c>
      <c r="H10" s="44" t="s">
        <v>455</v>
      </c>
      <c r="I10" s="45">
        <v>44440</v>
      </c>
      <c r="J10" s="45">
        <v>45170</v>
      </c>
      <c r="K10" s="46">
        <v>303</v>
      </c>
      <c r="L10" s="44" t="s">
        <v>433</v>
      </c>
      <c r="M10" s="47"/>
      <c r="N10" s="47"/>
      <c r="O10" s="47"/>
      <c r="P10" s="47"/>
      <c r="Q10" s="49" t="s">
        <v>2294</v>
      </c>
      <c r="R10" s="48"/>
      <c r="S10" s="41"/>
      <c r="T10" s="41"/>
      <c r="U10" s="41"/>
      <c r="V10" s="41"/>
      <c r="W10" s="41"/>
      <c r="X10" s="41"/>
      <c r="Y10" s="41"/>
      <c r="Z10" s="41"/>
      <c r="AA10" s="41"/>
    </row>
    <row r="11" spans="1:27" ht="19.5" customHeight="1" x14ac:dyDescent="0.25">
      <c r="A11" s="43">
        <v>11</v>
      </c>
      <c r="B11" s="44" t="s">
        <v>456</v>
      </c>
      <c r="C11" s="44" t="s">
        <v>457</v>
      </c>
      <c r="D11" s="44" t="s">
        <v>458</v>
      </c>
      <c r="E11" s="44">
        <v>1</v>
      </c>
      <c r="F11" s="44" t="s">
        <v>459</v>
      </c>
      <c r="G11" s="44" t="s">
        <v>460</v>
      </c>
      <c r="H11" s="44" t="s">
        <v>461</v>
      </c>
      <c r="I11" s="45">
        <v>44440</v>
      </c>
      <c r="J11" s="45">
        <v>45382</v>
      </c>
      <c r="K11" s="46"/>
      <c r="L11" s="44" t="s">
        <v>433</v>
      </c>
      <c r="M11" s="47"/>
      <c r="N11" s="47"/>
      <c r="O11" s="47"/>
      <c r="P11" s="47"/>
      <c r="Q11" s="49" t="s">
        <v>2295</v>
      </c>
      <c r="R11" s="48"/>
      <c r="S11" s="41"/>
      <c r="T11" s="41"/>
      <c r="U11" s="41"/>
      <c r="V11" s="41"/>
      <c r="W11" s="41"/>
      <c r="X11" s="41"/>
      <c r="Y11" s="41"/>
      <c r="Z11" s="41"/>
      <c r="AA11" s="41"/>
    </row>
    <row r="12" spans="1:27" ht="19.5" customHeight="1" x14ac:dyDescent="0.25">
      <c r="A12" s="43">
        <v>12</v>
      </c>
      <c r="B12" s="44" t="s">
        <v>462</v>
      </c>
      <c r="C12" s="44" t="s">
        <v>463</v>
      </c>
      <c r="D12" s="44" t="s">
        <v>458</v>
      </c>
      <c r="E12" s="44">
        <v>1</v>
      </c>
      <c r="F12" s="44" t="s">
        <v>464</v>
      </c>
      <c r="G12" s="44" t="s">
        <v>465</v>
      </c>
      <c r="H12" s="44" t="s">
        <v>466</v>
      </c>
      <c r="I12" s="45">
        <v>44440</v>
      </c>
      <c r="J12" s="45">
        <v>45352</v>
      </c>
      <c r="K12" s="46"/>
      <c r="L12" s="44" t="s">
        <v>433</v>
      </c>
      <c r="M12" s="47"/>
      <c r="N12" s="47"/>
      <c r="O12" s="47"/>
      <c r="P12" s="47"/>
      <c r="Q12" s="49" t="s">
        <v>2296</v>
      </c>
      <c r="R12" s="48"/>
      <c r="S12" s="41"/>
      <c r="T12" s="41"/>
      <c r="U12" s="41"/>
      <c r="V12" s="41"/>
      <c r="W12" s="41"/>
      <c r="X12" s="41"/>
      <c r="Y12" s="41"/>
      <c r="Z12" s="41"/>
      <c r="AA12" s="41"/>
    </row>
    <row r="13" spans="1:27" ht="19.5" customHeight="1" x14ac:dyDescent="0.25">
      <c r="A13" s="43">
        <v>13</v>
      </c>
      <c r="B13" s="44" t="s">
        <v>467</v>
      </c>
      <c r="C13" s="44" t="s">
        <v>468</v>
      </c>
      <c r="D13" s="44" t="s">
        <v>411</v>
      </c>
      <c r="E13" s="44">
        <v>1</v>
      </c>
      <c r="F13" s="44" t="s">
        <v>469</v>
      </c>
      <c r="G13" s="44" t="s">
        <v>470</v>
      </c>
      <c r="H13" s="44" t="s">
        <v>471</v>
      </c>
      <c r="I13" s="45">
        <v>44409</v>
      </c>
      <c r="J13" s="45">
        <v>45351</v>
      </c>
      <c r="K13" s="46">
        <v>976.44</v>
      </c>
      <c r="L13" s="44"/>
      <c r="M13" s="47"/>
      <c r="N13" s="47"/>
      <c r="O13" s="47"/>
      <c r="P13" s="47"/>
      <c r="Q13" s="49" t="s">
        <v>2297</v>
      </c>
      <c r="R13" s="48"/>
      <c r="S13" s="41"/>
      <c r="T13" s="41"/>
      <c r="U13" s="41"/>
      <c r="V13" s="41"/>
      <c r="W13" s="41"/>
      <c r="X13" s="41"/>
      <c r="Y13" s="41"/>
      <c r="Z13" s="41"/>
      <c r="AA13" s="41"/>
    </row>
    <row r="14" spans="1:27" ht="19.5" customHeight="1" x14ac:dyDescent="0.25">
      <c r="A14" s="43">
        <v>14</v>
      </c>
      <c r="B14" s="44" t="s">
        <v>472</v>
      </c>
      <c r="C14" s="44" t="s">
        <v>473</v>
      </c>
      <c r="D14" s="44" t="s">
        <v>474</v>
      </c>
      <c r="E14" s="44">
        <v>1</v>
      </c>
      <c r="F14" s="44" t="s">
        <v>475</v>
      </c>
      <c r="G14" s="44" t="s">
        <v>476</v>
      </c>
      <c r="H14" s="44" t="s">
        <v>477</v>
      </c>
      <c r="I14" s="45">
        <v>44440</v>
      </c>
      <c r="J14" s="45">
        <v>45382</v>
      </c>
      <c r="K14" s="46">
        <v>5559.6</v>
      </c>
      <c r="L14" s="44"/>
      <c r="M14" s="47"/>
      <c r="N14" s="47"/>
      <c r="O14" s="47"/>
      <c r="P14" s="47"/>
      <c r="Q14" s="49" t="s">
        <v>2298</v>
      </c>
      <c r="R14" s="48"/>
      <c r="S14" s="41"/>
      <c r="T14" s="41"/>
      <c r="U14" s="41"/>
      <c r="V14" s="41"/>
      <c r="W14" s="41"/>
      <c r="X14" s="41"/>
      <c r="Y14" s="41"/>
      <c r="Z14" s="41"/>
      <c r="AA14" s="41"/>
    </row>
    <row r="15" spans="1:27" ht="19.5" customHeight="1" x14ac:dyDescent="0.25">
      <c r="A15" s="43">
        <v>15</v>
      </c>
      <c r="B15" s="44" t="s">
        <v>478</v>
      </c>
      <c r="C15" s="44" t="s">
        <v>479</v>
      </c>
      <c r="D15" s="44" t="s">
        <v>480</v>
      </c>
      <c r="E15" s="44">
        <v>2</v>
      </c>
      <c r="F15" s="44" t="s">
        <v>481</v>
      </c>
      <c r="G15" s="44" t="s">
        <v>482</v>
      </c>
      <c r="H15" s="44" t="s">
        <v>483</v>
      </c>
      <c r="I15" s="45">
        <v>44463</v>
      </c>
      <c r="J15" s="45">
        <v>45291</v>
      </c>
      <c r="K15" s="46">
        <v>172.36</v>
      </c>
      <c r="L15" s="44" t="s">
        <v>433</v>
      </c>
      <c r="M15" s="47"/>
      <c r="N15" s="47"/>
      <c r="O15" s="47"/>
      <c r="P15" s="47"/>
      <c r="Q15" s="49" t="s">
        <v>2299</v>
      </c>
      <c r="R15" s="48"/>
      <c r="S15" s="41"/>
      <c r="T15" s="41"/>
      <c r="U15" s="41"/>
      <c r="V15" s="41"/>
      <c r="W15" s="41"/>
      <c r="X15" s="41"/>
      <c r="Y15" s="41"/>
      <c r="Z15" s="41"/>
      <c r="AA15" s="41"/>
    </row>
    <row r="16" spans="1:27" ht="19.5" customHeight="1" x14ac:dyDescent="0.25">
      <c r="A16" s="43">
        <v>16</v>
      </c>
      <c r="B16" s="44" t="s">
        <v>484</v>
      </c>
      <c r="C16" s="44" t="s">
        <v>485</v>
      </c>
      <c r="D16" s="44" t="s">
        <v>480</v>
      </c>
      <c r="E16" s="44">
        <v>2</v>
      </c>
      <c r="F16" s="44" t="s">
        <v>486</v>
      </c>
      <c r="G16" s="44" t="s">
        <v>487</v>
      </c>
      <c r="H16" s="44" t="s">
        <v>488</v>
      </c>
      <c r="I16" s="45">
        <v>44479</v>
      </c>
      <c r="J16" s="45">
        <v>45267</v>
      </c>
      <c r="K16" s="46">
        <v>158.57</v>
      </c>
      <c r="L16" s="44"/>
      <c r="M16" s="47"/>
      <c r="N16" s="47"/>
      <c r="O16" s="47"/>
      <c r="P16" s="47"/>
      <c r="Q16" s="49" t="s">
        <v>2300</v>
      </c>
      <c r="R16" s="48"/>
      <c r="S16" s="41"/>
      <c r="T16" s="41"/>
      <c r="U16" s="41"/>
      <c r="V16" s="41"/>
      <c r="W16" s="41"/>
      <c r="X16" s="41"/>
      <c r="Y16" s="41"/>
      <c r="Z16" s="41"/>
      <c r="AA16" s="41"/>
    </row>
    <row r="17" spans="1:27" ht="19.5" customHeight="1" x14ac:dyDescent="0.25">
      <c r="A17" s="43">
        <v>17</v>
      </c>
      <c r="B17" s="44" t="s">
        <v>489</v>
      </c>
      <c r="C17" s="44" t="s">
        <v>490</v>
      </c>
      <c r="D17" s="44" t="s">
        <v>447</v>
      </c>
      <c r="E17" s="44">
        <v>1</v>
      </c>
      <c r="F17" s="44" t="s">
        <v>491</v>
      </c>
      <c r="G17" s="44" t="s">
        <v>492</v>
      </c>
      <c r="H17" s="44" t="s">
        <v>493</v>
      </c>
      <c r="I17" s="45">
        <v>44423</v>
      </c>
      <c r="J17" s="45">
        <v>45366</v>
      </c>
      <c r="K17" s="46">
        <v>447968426.16000003</v>
      </c>
      <c r="L17" s="44" t="s">
        <v>433</v>
      </c>
      <c r="M17" s="47"/>
      <c r="N17" s="47"/>
      <c r="O17" s="47"/>
      <c r="P17" s="47"/>
      <c r="Q17" s="49" t="s">
        <v>2301</v>
      </c>
      <c r="R17" s="48"/>
      <c r="S17" s="41"/>
      <c r="T17" s="41"/>
      <c r="U17" s="41"/>
      <c r="V17" s="41"/>
      <c r="W17" s="41"/>
      <c r="X17" s="41"/>
      <c r="Y17" s="41"/>
      <c r="Z17" s="41"/>
      <c r="AA17" s="41"/>
    </row>
    <row r="18" spans="1:27" ht="19.5" customHeight="1" x14ac:dyDescent="0.25">
      <c r="A18" s="43">
        <v>18</v>
      </c>
      <c r="B18" s="44" t="s">
        <v>494</v>
      </c>
      <c r="C18" s="44" t="s">
        <v>495</v>
      </c>
      <c r="D18" s="44" t="s">
        <v>496</v>
      </c>
      <c r="E18" s="44">
        <v>4</v>
      </c>
      <c r="F18" s="44" t="s">
        <v>497</v>
      </c>
      <c r="G18" s="44" t="s">
        <v>498</v>
      </c>
      <c r="H18" s="44" t="s">
        <v>499</v>
      </c>
      <c r="I18" s="45">
        <v>44440</v>
      </c>
      <c r="J18" s="45">
        <v>45245</v>
      </c>
      <c r="K18" s="46">
        <v>309.02</v>
      </c>
      <c r="L18" s="44" t="s">
        <v>433</v>
      </c>
      <c r="M18" s="47"/>
      <c r="N18" s="47"/>
      <c r="O18" s="47"/>
      <c r="P18" s="47"/>
      <c r="Q18" s="49" t="s">
        <v>2302</v>
      </c>
      <c r="R18" s="48"/>
      <c r="S18" s="41"/>
      <c r="T18" s="41"/>
      <c r="U18" s="41"/>
      <c r="V18" s="41"/>
      <c r="W18" s="41"/>
      <c r="X18" s="41"/>
      <c r="Y18" s="41"/>
      <c r="Z18" s="41"/>
      <c r="AA18" s="41"/>
    </row>
    <row r="19" spans="1:27" ht="19.5" customHeight="1" x14ac:dyDescent="0.25">
      <c r="A19" s="43">
        <v>19</v>
      </c>
      <c r="B19" s="44" t="s">
        <v>500</v>
      </c>
      <c r="C19" s="44" t="s">
        <v>501</v>
      </c>
      <c r="D19" s="44" t="s">
        <v>496</v>
      </c>
      <c r="E19" s="44">
        <v>1</v>
      </c>
      <c r="F19" s="44" t="s">
        <v>502</v>
      </c>
      <c r="G19" s="44" t="s">
        <v>503</v>
      </c>
      <c r="H19" s="44" t="s">
        <v>504</v>
      </c>
      <c r="I19" s="45">
        <v>44409</v>
      </c>
      <c r="J19" s="45">
        <v>45381</v>
      </c>
      <c r="K19" s="46">
        <v>4743.8599999999997</v>
      </c>
      <c r="L19" s="44" t="s">
        <v>433</v>
      </c>
      <c r="M19" s="47"/>
      <c r="N19" s="47"/>
      <c r="O19" s="47"/>
      <c r="P19" s="47"/>
      <c r="Q19" s="49" t="s">
        <v>2303</v>
      </c>
      <c r="R19" s="48"/>
      <c r="S19" s="41"/>
      <c r="T19" s="41"/>
      <c r="U19" s="41"/>
      <c r="V19" s="41"/>
      <c r="W19" s="41"/>
      <c r="X19" s="41"/>
      <c r="Y19" s="41"/>
      <c r="Z19" s="41"/>
      <c r="AA19" s="41"/>
    </row>
    <row r="20" spans="1:27" ht="19.5" customHeight="1" x14ac:dyDescent="0.25">
      <c r="A20" s="43">
        <v>20</v>
      </c>
      <c r="B20" s="44" t="s">
        <v>505</v>
      </c>
      <c r="C20" s="44" t="s">
        <v>506</v>
      </c>
      <c r="D20" s="44" t="s">
        <v>496</v>
      </c>
      <c r="E20" s="44">
        <v>1</v>
      </c>
      <c r="F20" s="44" t="s">
        <v>507</v>
      </c>
      <c r="G20" s="44" t="s">
        <v>508</v>
      </c>
      <c r="H20" s="44" t="s">
        <v>509</v>
      </c>
      <c r="I20" s="45">
        <v>44454</v>
      </c>
      <c r="J20" s="45">
        <v>45366</v>
      </c>
      <c r="K20" s="46">
        <v>769</v>
      </c>
      <c r="L20" s="44" t="s">
        <v>433</v>
      </c>
      <c r="M20" s="47"/>
      <c r="N20" s="47"/>
      <c r="O20" s="47"/>
      <c r="P20" s="47"/>
      <c r="Q20" s="49" t="s">
        <v>2304</v>
      </c>
      <c r="R20" s="48"/>
      <c r="S20" s="41"/>
      <c r="T20" s="41"/>
      <c r="U20" s="41"/>
      <c r="V20" s="41"/>
      <c r="W20" s="41"/>
      <c r="X20" s="41"/>
      <c r="Y20" s="41"/>
      <c r="Z20" s="41"/>
      <c r="AA20" s="41"/>
    </row>
    <row r="21" spans="1:27" ht="19.5" customHeight="1" x14ac:dyDescent="0.25">
      <c r="A21" s="43">
        <v>23</v>
      </c>
      <c r="B21" s="44" t="s">
        <v>510</v>
      </c>
      <c r="C21" s="44" t="s">
        <v>511</v>
      </c>
      <c r="D21" s="44" t="s">
        <v>441</v>
      </c>
      <c r="E21" s="44">
        <v>1</v>
      </c>
      <c r="F21" s="44" t="s">
        <v>512</v>
      </c>
      <c r="G21" s="44" t="s">
        <v>454</v>
      </c>
      <c r="H21" s="44" t="s">
        <v>513</v>
      </c>
      <c r="I21" s="45">
        <v>44409</v>
      </c>
      <c r="J21" s="45">
        <v>45261</v>
      </c>
      <c r="K21" s="46">
        <v>99</v>
      </c>
      <c r="L21" s="44" t="s">
        <v>43</v>
      </c>
      <c r="M21" s="47"/>
      <c r="N21" s="47"/>
      <c r="O21" s="47"/>
      <c r="P21" s="47"/>
      <c r="Q21" s="49" t="s">
        <v>2305</v>
      </c>
      <c r="R21" s="48"/>
      <c r="S21" s="41"/>
      <c r="T21" s="41"/>
      <c r="U21" s="41"/>
      <c r="V21" s="41"/>
      <c r="W21" s="41"/>
      <c r="X21" s="41"/>
      <c r="Y21" s="41"/>
      <c r="Z21" s="41"/>
      <c r="AA21" s="41"/>
    </row>
    <row r="22" spans="1:27" ht="19.5" customHeight="1" x14ac:dyDescent="0.25">
      <c r="A22" s="43">
        <v>24</v>
      </c>
      <c r="B22" s="44" t="s">
        <v>514</v>
      </c>
      <c r="C22" s="44" t="s">
        <v>515</v>
      </c>
      <c r="D22" s="44" t="s">
        <v>516</v>
      </c>
      <c r="E22" s="44">
        <v>1</v>
      </c>
      <c r="F22" s="44" t="s">
        <v>517</v>
      </c>
      <c r="G22" s="44" t="s">
        <v>518</v>
      </c>
      <c r="H22" s="44" t="s">
        <v>519</v>
      </c>
      <c r="I22" s="45">
        <v>44409</v>
      </c>
      <c r="J22" s="45">
        <v>45382</v>
      </c>
      <c r="K22" s="44"/>
      <c r="L22" s="44" t="s">
        <v>433</v>
      </c>
      <c r="M22" s="47"/>
      <c r="N22" s="47"/>
      <c r="O22" s="47"/>
      <c r="P22" s="47"/>
      <c r="Q22" s="49" t="s">
        <v>2306</v>
      </c>
      <c r="R22" s="48"/>
      <c r="S22" s="41"/>
      <c r="T22" s="41"/>
      <c r="U22" s="41"/>
      <c r="V22" s="41"/>
      <c r="W22" s="41"/>
      <c r="X22" s="41"/>
      <c r="Y22" s="41"/>
      <c r="Z22" s="41"/>
      <c r="AA22" s="41"/>
    </row>
    <row r="23" spans="1:27" ht="19.5" customHeight="1" x14ac:dyDescent="0.25">
      <c r="A23" s="43">
        <v>25</v>
      </c>
      <c r="B23" s="44" t="s">
        <v>520</v>
      </c>
      <c r="C23" s="44" t="s">
        <v>521</v>
      </c>
      <c r="D23" s="44" t="s">
        <v>522</v>
      </c>
      <c r="E23" s="44">
        <v>1</v>
      </c>
      <c r="F23" s="44" t="s">
        <v>523</v>
      </c>
      <c r="G23" s="44" t="s">
        <v>524</v>
      </c>
      <c r="H23" s="44" t="s">
        <v>525</v>
      </c>
      <c r="I23" s="45">
        <v>44409</v>
      </c>
      <c r="J23" s="45">
        <v>45354</v>
      </c>
      <c r="K23" s="46">
        <v>3868.12</v>
      </c>
      <c r="L23" s="44" t="s">
        <v>433</v>
      </c>
      <c r="M23" s="47"/>
      <c r="N23" s="47"/>
      <c r="O23" s="47"/>
      <c r="P23" s="47"/>
      <c r="Q23" s="49" t="s">
        <v>2307</v>
      </c>
      <c r="R23" s="48"/>
      <c r="S23" s="41"/>
      <c r="T23" s="41"/>
      <c r="U23" s="41"/>
      <c r="V23" s="41"/>
      <c r="W23" s="41"/>
      <c r="X23" s="41"/>
      <c r="Y23" s="41"/>
      <c r="Z23" s="41"/>
      <c r="AA23" s="41"/>
    </row>
    <row r="24" spans="1:27" ht="19.5" customHeight="1" x14ac:dyDescent="0.25">
      <c r="A24" s="43">
        <v>27</v>
      </c>
      <c r="B24" s="44" t="s">
        <v>526</v>
      </c>
      <c r="C24" s="44" t="s">
        <v>527</v>
      </c>
      <c r="D24" s="44" t="s">
        <v>528</v>
      </c>
      <c r="E24" s="44">
        <v>2</v>
      </c>
      <c r="F24" s="44" t="s">
        <v>529</v>
      </c>
      <c r="G24" s="44" t="s">
        <v>530</v>
      </c>
      <c r="H24" s="44" t="s">
        <v>531</v>
      </c>
      <c r="I24" s="45">
        <v>44409</v>
      </c>
      <c r="J24" s="45">
        <v>45381</v>
      </c>
      <c r="K24" s="44"/>
      <c r="L24" s="44" t="s">
        <v>433</v>
      </c>
      <c r="M24" s="47"/>
      <c r="N24" s="47"/>
      <c r="O24" s="47"/>
      <c r="P24" s="47"/>
      <c r="Q24" s="49" t="s">
        <v>2308</v>
      </c>
      <c r="R24" s="48"/>
      <c r="S24" s="41"/>
      <c r="T24" s="41"/>
      <c r="U24" s="41"/>
      <c r="V24" s="41"/>
      <c r="W24" s="41"/>
      <c r="X24" s="41"/>
      <c r="Y24" s="41"/>
      <c r="Z24" s="41"/>
      <c r="AA24" s="41"/>
    </row>
    <row r="25" spans="1:27" ht="19.5" customHeight="1" x14ac:dyDescent="0.25">
      <c r="A25" s="43">
        <v>28</v>
      </c>
      <c r="B25" s="44" t="s">
        <v>532</v>
      </c>
      <c r="C25" s="44" t="s">
        <v>533</v>
      </c>
      <c r="D25" s="44" t="s">
        <v>528</v>
      </c>
      <c r="E25" s="44">
        <v>2</v>
      </c>
      <c r="F25" s="44" t="s">
        <v>529</v>
      </c>
      <c r="G25" s="44" t="s">
        <v>534</v>
      </c>
      <c r="H25" s="44" t="s">
        <v>531</v>
      </c>
      <c r="I25" s="45">
        <v>44409</v>
      </c>
      <c r="J25" s="45">
        <v>45381</v>
      </c>
      <c r="K25" s="44"/>
      <c r="L25" s="44" t="s">
        <v>433</v>
      </c>
      <c r="M25" s="47"/>
      <c r="N25" s="47"/>
      <c r="O25" s="47"/>
      <c r="P25" s="47"/>
      <c r="Q25" s="49" t="s">
        <v>2309</v>
      </c>
      <c r="R25" s="48"/>
      <c r="S25" s="41"/>
      <c r="T25" s="41"/>
      <c r="U25" s="41"/>
      <c r="V25" s="41"/>
      <c r="W25" s="41"/>
      <c r="X25" s="41"/>
      <c r="Y25" s="41"/>
      <c r="Z25" s="41"/>
      <c r="AA25" s="41"/>
    </row>
    <row r="26" spans="1:27" ht="19.5" customHeight="1" x14ac:dyDescent="0.25">
      <c r="A26" s="43">
        <v>29</v>
      </c>
      <c r="B26" s="44" t="s">
        <v>535</v>
      </c>
      <c r="C26" s="44" t="s">
        <v>536</v>
      </c>
      <c r="D26" s="44" t="s">
        <v>537</v>
      </c>
      <c r="E26" s="44">
        <v>2</v>
      </c>
      <c r="F26" s="44" t="s">
        <v>538</v>
      </c>
      <c r="G26" s="44" t="s">
        <v>539</v>
      </c>
      <c r="H26" s="44" t="s">
        <v>540</v>
      </c>
      <c r="I26" s="45">
        <v>44515</v>
      </c>
      <c r="J26" s="45">
        <v>45361</v>
      </c>
      <c r="K26" s="44"/>
      <c r="L26" s="44" t="s">
        <v>433</v>
      </c>
      <c r="M26" s="47"/>
      <c r="N26" s="47"/>
      <c r="O26" s="47"/>
      <c r="P26" s="47"/>
      <c r="Q26" s="49" t="s">
        <v>2310</v>
      </c>
      <c r="R26" s="48"/>
      <c r="S26" s="41"/>
      <c r="T26" s="41"/>
      <c r="U26" s="41"/>
      <c r="V26" s="41"/>
      <c r="W26" s="41"/>
      <c r="X26" s="41"/>
      <c r="Y26" s="41"/>
      <c r="Z26" s="41"/>
      <c r="AA26" s="41"/>
    </row>
    <row r="27" spans="1:27" ht="19.5" customHeight="1" x14ac:dyDescent="0.25">
      <c r="A27" s="43">
        <v>30</v>
      </c>
      <c r="B27" s="47" t="s">
        <v>541</v>
      </c>
      <c r="C27" s="44" t="s">
        <v>542</v>
      </c>
      <c r="D27" s="44" t="s">
        <v>537</v>
      </c>
      <c r="E27" s="44">
        <v>1</v>
      </c>
      <c r="F27" s="44" t="s">
        <v>543</v>
      </c>
      <c r="G27" s="44" t="s">
        <v>544</v>
      </c>
      <c r="H27" s="44" t="s">
        <v>545</v>
      </c>
      <c r="I27" s="45">
        <v>44440</v>
      </c>
      <c r="J27" s="45">
        <v>45382</v>
      </c>
      <c r="K27" s="44"/>
      <c r="L27" s="44" t="s">
        <v>433</v>
      </c>
      <c r="M27" s="47"/>
      <c r="N27" s="47"/>
      <c r="O27" s="47"/>
      <c r="P27" s="47"/>
      <c r="Q27" s="49" t="s">
        <v>2311</v>
      </c>
      <c r="R27" s="48"/>
      <c r="S27" s="41"/>
      <c r="T27" s="41"/>
      <c r="U27" s="41"/>
      <c r="V27" s="41"/>
      <c r="W27" s="41"/>
      <c r="X27" s="41"/>
      <c r="Y27" s="41"/>
      <c r="Z27" s="41"/>
      <c r="AA27" s="41"/>
    </row>
    <row r="28" spans="1:27" ht="19.5" customHeight="1" x14ac:dyDescent="0.25">
      <c r="A28" s="43">
        <v>31</v>
      </c>
      <c r="B28" s="44" t="s">
        <v>546</v>
      </c>
      <c r="C28" s="44" t="s">
        <v>547</v>
      </c>
      <c r="D28" s="44" t="s">
        <v>548</v>
      </c>
      <c r="E28" s="44">
        <v>1</v>
      </c>
      <c r="F28" s="44" t="s">
        <v>549</v>
      </c>
      <c r="G28" s="44" t="s">
        <v>550</v>
      </c>
      <c r="H28" s="44" t="s">
        <v>551</v>
      </c>
      <c r="I28" s="45">
        <v>44410</v>
      </c>
      <c r="J28" s="45">
        <v>45378</v>
      </c>
      <c r="K28" s="46">
        <v>4411.7700000000004</v>
      </c>
      <c r="L28" s="44" t="s">
        <v>433</v>
      </c>
      <c r="M28" s="47"/>
      <c r="N28" s="47"/>
      <c r="O28" s="47"/>
      <c r="P28" s="47"/>
      <c r="Q28" s="49" t="s">
        <v>2312</v>
      </c>
      <c r="R28" s="48"/>
      <c r="S28" s="41"/>
      <c r="T28" s="41"/>
      <c r="U28" s="41"/>
      <c r="V28" s="41"/>
      <c r="W28" s="41"/>
      <c r="X28" s="41"/>
      <c r="Y28" s="41"/>
      <c r="Z28" s="41"/>
      <c r="AA28" s="41"/>
    </row>
    <row r="29" spans="1:27" ht="19.5" customHeight="1" x14ac:dyDescent="0.25">
      <c r="A29" s="43">
        <v>32</v>
      </c>
      <c r="B29" s="44" t="s">
        <v>552</v>
      </c>
      <c r="C29" s="44" t="s">
        <v>553</v>
      </c>
      <c r="D29" s="44" t="s">
        <v>474</v>
      </c>
      <c r="E29" s="44">
        <v>1</v>
      </c>
      <c r="F29" s="44" t="s">
        <v>554</v>
      </c>
      <c r="G29" s="44" t="s">
        <v>555</v>
      </c>
      <c r="H29" s="44" t="s">
        <v>556</v>
      </c>
      <c r="I29" s="45">
        <v>44440</v>
      </c>
      <c r="J29" s="45">
        <v>45382</v>
      </c>
      <c r="K29" s="44"/>
      <c r="L29" s="44"/>
      <c r="M29" s="47"/>
      <c r="N29" s="47"/>
      <c r="O29" s="47"/>
      <c r="P29" s="47"/>
      <c r="Q29" s="49" t="s">
        <v>2313</v>
      </c>
      <c r="R29" s="48"/>
      <c r="S29" s="41"/>
      <c r="T29" s="41"/>
      <c r="U29" s="41"/>
      <c r="V29" s="41"/>
      <c r="W29" s="41"/>
      <c r="X29" s="41"/>
      <c r="Y29" s="41"/>
      <c r="Z29" s="41"/>
      <c r="AA29" s="41"/>
    </row>
    <row r="30" spans="1:27" ht="19.5" customHeight="1" x14ac:dyDescent="0.25">
      <c r="A30" s="43">
        <v>34</v>
      </c>
      <c r="B30" s="49" t="s">
        <v>2428</v>
      </c>
      <c r="C30" s="44" t="s">
        <v>557</v>
      </c>
      <c r="D30" s="44" t="s">
        <v>558</v>
      </c>
      <c r="E30" s="44">
        <v>2</v>
      </c>
      <c r="F30" s="44" t="s">
        <v>559</v>
      </c>
      <c r="G30" s="44" t="s">
        <v>560</v>
      </c>
      <c r="H30" s="44" t="s">
        <v>561</v>
      </c>
      <c r="I30" s="45">
        <v>44578</v>
      </c>
      <c r="J30" s="45">
        <v>45382</v>
      </c>
      <c r="K30" s="44"/>
      <c r="L30" s="44" t="s">
        <v>433</v>
      </c>
      <c r="M30" s="47"/>
      <c r="N30" s="47"/>
      <c r="O30" s="47"/>
      <c r="P30" s="47"/>
      <c r="Q30" s="49" t="s">
        <v>2429</v>
      </c>
      <c r="R30" s="48"/>
      <c r="S30" s="41"/>
      <c r="T30" s="41"/>
      <c r="U30" s="41"/>
      <c r="V30" s="41"/>
      <c r="W30" s="41"/>
      <c r="X30" s="41"/>
      <c r="Y30" s="41"/>
      <c r="Z30" s="41"/>
      <c r="AA30" s="41"/>
    </row>
    <row r="31" spans="1:27" ht="19.5" customHeight="1" x14ac:dyDescent="0.25">
      <c r="A31" s="43">
        <v>35</v>
      </c>
      <c r="B31" s="44" t="s">
        <v>562</v>
      </c>
      <c r="C31" s="44" t="s">
        <v>563</v>
      </c>
      <c r="D31" s="44" t="s">
        <v>480</v>
      </c>
      <c r="E31" s="44">
        <v>3</v>
      </c>
      <c r="F31" s="44" t="s">
        <v>564</v>
      </c>
      <c r="G31" s="44" t="s">
        <v>565</v>
      </c>
      <c r="H31" s="44" t="s">
        <v>566</v>
      </c>
      <c r="I31" s="45">
        <v>44409</v>
      </c>
      <c r="J31" s="45">
        <v>45383</v>
      </c>
      <c r="K31" s="46">
        <v>230.86</v>
      </c>
      <c r="L31" s="44" t="s">
        <v>433</v>
      </c>
      <c r="M31" s="47"/>
      <c r="N31" s="47"/>
      <c r="O31" s="47"/>
      <c r="P31" s="47"/>
      <c r="Q31" s="49" t="s">
        <v>2314</v>
      </c>
      <c r="R31" s="48"/>
      <c r="S31" s="41"/>
      <c r="T31" s="41"/>
      <c r="U31" s="41"/>
      <c r="V31" s="41"/>
      <c r="W31" s="41"/>
      <c r="X31" s="41"/>
      <c r="Y31" s="41"/>
      <c r="Z31" s="41"/>
      <c r="AA31" s="41"/>
    </row>
    <row r="32" spans="1:27" ht="19.5" customHeight="1" x14ac:dyDescent="0.25">
      <c r="A32" s="43">
        <v>36</v>
      </c>
      <c r="B32" s="44" t="s">
        <v>567</v>
      </c>
      <c r="C32" s="44" t="s">
        <v>568</v>
      </c>
      <c r="D32" s="44" t="s">
        <v>516</v>
      </c>
      <c r="E32" s="44">
        <v>1</v>
      </c>
      <c r="F32" s="44" t="s">
        <v>569</v>
      </c>
      <c r="G32" s="44" t="s">
        <v>570</v>
      </c>
      <c r="H32" s="44" t="s">
        <v>571</v>
      </c>
      <c r="I32" s="45">
        <v>44440</v>
      </c>
      <c r="J32" s="45">
        <v>45382</v>
      </c>
      <c r="K32" s="44"/>
      <c r="L32" s="44" t="s">
        <v>433</v>
      </c>
      <c r="M32" s="47"/>
      <c r="N32" s="47"/>
      <c r="O32" s="47"/>
      <c r="P32" s="47"/>
      <c r="Q32" s="49" t="s">
        <v>2315</v>
      </c>
      <c r="R32" s="48"/>
      <c r="S32" s="41"/>
      <c r="T32" s="41"/>
      <c r="U32" s="41"/>
      <c r="V32" s="41"/>
      <c r="W32" s="41"/>
      <c r="X32" s="41"/>
      <c r="Y32" s="41"/>
      <c r="Z32" s="41"/>
      <c r="AA32" s="41"/>
    </row>
    <row r="33" spans="1:27" ht="19.5" customHeight="1" x14ac:dyDescent="0.25">
      <c r="A33" s="43">
        <v>39</v>
      </c>
      <c r="B33" s="44" t="s">
        <v>572</v>
      </c>
      <c r="C33" s="44" t="s">
        <v>573</v>
      </c>
      <c r="D33" s="44" t="s">
        <v>548</v>
      </c>
      <c r="E33" s="44">
        <v>1</v>
      </c>
      <c r="F33" s="44" t="s">
        <v>574</v>
      </c>
      <c r="G33" s="44" t="s">
        <v>575</v>
      </c>
      <c r="H33" s="44" t="s">
        <v>576</v>
      </c>
      <c r="I33" s="45">
        <v>44410</v>
      </c>
      <c r="J33" s="45">
        <v>45373</v>
      </c>
      <c r="K33" s="44">
        <v>24521.3</v>
      </c>
      <c r="L33" s="44" t="s">
        <v>433</v>
      </c>
      <c r="M33" s="47"/>
      <c r="N33" s="47"/>
      <c r="O33" s="47"/>
      <c r="P33" s="47"/>
      <c r="Q33" s="49" t="s">
        <v>2316</v>
      </c>
      <c r="R33" s="48"/>
      <c r="S33" s="41"/>
      <c r="T33" s="41"/>
      <c r="U33" s="41"/>
      <c r="V33" s="41"/>
      <c r="W33" s="41"/>
      <c r="X33" s="41"/>
      <c r="Y33" s="41"/>
      <c r="Z33" s="41"/>
      <c r="AA33" s="41"/>
    </row>
    <row r="34" spans="1:27" ht="19.5" customHeight="1" x14ac:dyDescent="0.25">
      <c r="A34" s="43">
        <v>40</v>
      </c>
      <c r="B34" s="44" t="s">
        <v>577</v>
      </c>
      <c r="C34" s="44" t="s">
        <v>578</v>
      </c>
      <c r="D34" s="44" t="s">
        <v>548</v>
      </c>
      <c r="E34" s="44">
        <v>2</v>
      </c>
      <c r="F34" s="44" t="s">
        <v>579</v>
      </c>
      <c r="G34" s="44" t="s">
        <v>580</v>
      </c>
      <c r="H34" s="44" t="s">
        <v>581</v>
      </c>
      <c r="I34" s="45">
        <v>44410</v>
      </c>
      <c r="J34" s="45">
        <v>45373</v>
      </c>
      <c r="K34" s="46">
        <v>20030.3</v>
      </c>
      <c r="L34" s="44" t="s">
        <v>433</v>
      </c>
      <c r="M34" s="47"/>
      <c r="N34" s="47"/>
      <c r="O34" s="47"/>
      <c r="P34" s="47"/>
      <c r="Q34" s="49" t="s">
        <v>2317</v>
      </c>
      <c r="R34" s="48"/>
      <c r="S34" s="41"/>
      <c r="T34" s="41"/>
      <c r="U34" s="41"/>
      <c r="V34" s="41"/>
      <c r="W34" s="41"/>
      <c r="X34" s="41"/>
      <c r="Y34" s="41"/>
      <c r="Z34" s="41"/>
      <c r="AA34" s="41"/>
    </row>
    <row r="35" spans="1:27" ht="19.5" customHeight="1" x14ac:dyDescent="0.25">
      <c r="A35" s="43">
        <v>42</v>
      </c>
      <c r="B35" s="44" t="s">
        <v>582</v>
      </c>
      <c r="C35" s="44" t="s">
        <v>583</v>
      </c>
      <c r="D35" s="44" t="s">
        <v>548</v>
      </c>
      <c r="E35" s="44">
        <v>1</v>
      </c>
      <c r="F35" s="44" t="s">
        <v>584</v>
      </c>
      <c r="G35" s="44" t="s">
        <v>585</v>
      </c>
      <c r="H35" s="44" t="s">
        <v>586</v>
      </c>
      <c r="I35" s="45">
        <v>44409</v>
      </c>
      <c r="J35" s="45">
        <v>45382</v>
      </c>
      <c r="K35" s="46">
        <v>2363.2199999999998</v>
      </c>
      <c r="L35" s="44"/>
      <c r="M35" s="47"/>
      <c r="N35" s="47"/>
      <c r="O35" s="47"/>
      <c r="P35" s="47"/>
      <c r="Q35" s="49" t="s">
        <v>2318</v>
      </c>
      <c r="R35" s="48"/>
      <c r="S35" s="41"/>
      <c r="T35" s="41"/>
      <c r="U35" s="41"/>
      <c r="V35" s="41"/>
      <c r="W35" s="41"/>
      <c r="X35" s="41"/>
      <c r="Y35" s="41"/>
      <c r="Z35" s="41"/>
      <c r="AA35" s="41"/>
    </row>
    <row r="36" spans="1:27" ht="19.5" customHeight="1" x14ac:dyDescent="0.25">
      <c r="A36" s="43">
        <v>43</v>
      </c>
      <c r="B36" s="44" t="s">
        <v>587</v>
      </c>
      <c r="C36" s="44" t="s">
        <v>588</v>
      </c>
      <c r="D36" s="44" t="s">
        <v>411</v>
      </c>
      <c r="E36" s="44">
        <v>1</v>
      </c>
      <c r="F36" s="44" t="s">
        <v>589</v>
      </c>
      <c r="G36" s="44" t="s">
        <v>590</v>
      </c>
      <c r="H36" s="44" t="s">
        <v>591</v>
      </c>
      <c r="I36" s="45">
        <v>44593</v>
      </c>
      <c r="J36" s="45">
        <v>44958</v>
      </c>
      <c r="K36" s="46">
        <v>300</v>
      </c>
      <c r="L36" s="44" t="s">
        <v>433</v>
      </c>
      <c r="M36" s="47"/>
      <c r="N36" s="47"/>
      <c r="O36" s="47"/>
      <c r="P36" s="47"/>
      <c r="Q36" s="49" t="s">
        <v>2319</v>
      </c>
      <c r="R36" s="48"/>
      <c r="S36" s="41"/>
      <c r="T36" s="41"/>
      <c r="U36" s="41"/>
      <c r="V36" s="41"/>
      <c r="W36" s="41"/>
      <c r="X36" s="41"/>
      <c r="Y36" s="41"/>
      <c r="Z36" s="41"/>
      <c r="AA36" s="41"/>
    </row>
    <row r="37" spans="1:27" ht="19.5" customHeight="1" x14ac:dyDescent="0.25">
      <c r="A37" s="43">
        <v>44</v>
      </c>
      <c r="B37" s="44" t="s">
        <v>592</v>
      </c>
      <c r="C37" s="44" t="s">
        <v>593</v>
      </c>
      <c r="D37" s="44" t="s">
        <v>537</v>
      </c>
      <c r="E37" s="44">
        <v>1</v>
      </c>
      <c r="F37" s="44" t="s">
        <v>594</v>
      </c>
      <c r="G37" s="44" t="s">
        <v>595</v>
      </c>
      <c r="H37" s="44" t="s">
        <v>596</v>
      </c>
      <c r="I37" s="45">
        <v>44562</v>
      </c>
      <c r="J37" s="45">
        <v>45381</v>
      </c>
      <c r="K37" s="46">
        <v>180</v>
      </c>
      <c r="L37" s="44"/>
      <c r="M37" s="47"/>
      <c r="N37" s="47"/>
      <c r="O37" s="47"/>
      <c r="P37" s="47"/>
      <c r="Q37" s="49" t="s">
        <v>2320</v>
      </c>
      <c r="R37" s="48"/>
      <c r="S37" s="41"/>
      <c r="T37" s="41"/>
      <c r="U37" s="41"/>
      <c r="V37" s="41"/>
      <c r="W37" s="41"/>
      <c r="X37" s="41"/>
      <c r="Y37" s="41"/>
      <c r="Z37" s="41"/>
      <c r="AA37" s="41"/>
    </row>
    <row r="38" spans="1:27" ht="19.5" customHeight="1" x14ac:dyDescent="0.25">
      <c r="A38" s="43">
        <v>45</v>
      </c>
      <c r="B38" s="44" t="s">
        <v>597</v>
      </c>
      <c r="C38" s="44" t="s">
        <v>598</v>
      </c>
      <c r="D38" s="44" t="s">
        <v>537</v>
      </c>
      <c r="E38" s="44">
        <v>1</v>
      </c>
      <c r="F38" s="44" t="s">
        <v>599</v>
      </c>
      <c r="G38" s="44" t="s">
        <v>600</v>
      </c>
      <c r="H38" s="44" t="s">
        <v>601</v>
      </c>
      <c r="I38" s="45">
        <v>44409</v>
      </c>
      <c r="J38" s="45">
        <v>44985</v>
      </c>
      <c r="K38" s="44"/>
      <c r="L38" s="44" t="s">
        <v>433</v>
      </c>
      <c r="M38" s="47"/>
      <c r="N38" s="47"/>
      <c r="O38" s="47"/>
      <c r="P38" s="47"/>
      <c r="Q38" s="49" t="s">
        <v>2321</v>
      </c>
      <c r="R38" s="48"/>
      <c r="S38" s="41"/>
      <c r="T38" s="41"/>
      <c r="U38" s="41"/>
      <c r="V38" s="41"/>
      <c r="W38" s="41"/>
      <c r="X38" s="41"/>
      <c r="Y38" s="41"/>
      <c r="Z38" s="41"/>
      <c r="AA38" s="41"/>
    </row>
    <row r="39" spans="1:27" ht="19.5" customHeight="1" x14ac:dyDescent="0.25">
      <c r="A39" s="43">
        <v>46</v>
      </c>
      <c r="B39" s="44" t="s">
        <v>602</v>
      </c>
      <c r="C39" s="44" t="s">
        <v>603</v>
      </c>
      <c r="D39" s="44" t="s">
        <v>537</v>
      </c>
      <c r="E39" s="44">
        <v>1</v>
      </c>
      <c r="F39" s="44" t="s">
        <v>604</v>
      </c>
      <c r="G39" s="44" t="s">
        <v>605</v>
      </c>
      <c r="H39" s="44" t="s">
        <v>606</v>
      </c>
      <c r="I39" s="45">
        <v>44440</v>
      </c>
      <c r="J39" s="45">
        <v>45382</v>
      </c>
      <c r="K39" s="44"/>
      <c r="L39" s="44" t="s">
        <v>433</v>
      </c>
      <c r="M39" s="47"/>
      <c r="N39" s="47"/>
      <c r="O39" s="47"/>
      <c r="P39" s="47"/>
      <c r="Q39" s="49" t="s">
        <v>2322</v>
      </c>
      <c r="R39" s="48"/>
      <c r="S39" s="41"/>
      <c r="T39" s="41"/>
      <c r="U39" s="41"/>
      <c r="V39" s="41"/>
      <c r="W39" s="41"/>
      <c r="X39" s="41"/>
      <c r="Y39" s="41"/>
      <c r="Z39" s="41"/>
      <c r="AA39" s="41"/>
    </row>
    <row r="40" spans="1:27" ht="19.5" customHeight="1" x14ac:dyDescent="0.25">
      <c r="A40" s="43">
        <v>47</v>
      </c>
      <c r="B40" s="44" t="s">
        <v>607</v>
      </c>
      <c r="C40" s="44" t="s">
        <v>608</v>
      </c>
      <c r="D40" s="44" t="s">
        <v>522</v>
      </c>
      <c r="E40" s="44">
        <v>1</v>
      </c>
      <c r="F40" s="44" t="s">
        <v>609</v>
      </c>
      <c r="G40" s="44" t="s">
        <v>610</v>
      </c>
      <c r="H40" s="44" t="s">
        <v>611</v>
      </c>
      <c r="I40" s="45">
        <v>44409</v>
      </c>
      <c r="J40" s="45">
        <v>45383</v>
      </c>
      <c r="K40" s="46">
        <v>12193</v>
      </c>
      <c r="L40" s="44" t="s">
        <v>433</v>
      </c>
      <c r="M40" s="47"/>
      <c r="N40" s="47"/>
      <c r="O40" s="47"/>
      <c r="P40" s="47"/>
      <c r="Q40" s="49" t="s">
        <v>2323</v>
      </c>
      <c r="R40" s="48"/>
      <c r="S40" s="41"/>
      <c r="T40" s="41"/>
      <c r="U40" s="41"/>
      <c r="V40" s="41"/>
      <c r="W40" s="41"/>
      <c r="X40" s="41"/>
      <c r="Y40" s="41"/>
      <c r="Z40" s="41"/>
      <c r="AA40" s="41"/>
    </row>
    <row r="41" spans="1:27" ht="19.5" customHeight="1" x14ac:dyDescent="0.25">
      <c r="A41" s="43">
        <v>48</v>
      </c>
      <c r="B41" s="44" t="s">
        <v>612</v>
      </c>
      <c r="C41" s="44" t="s">
        <v>613</v>
      </c>
      <c r="D41" s="44" t="s">
        <v>522</v>
      </c>
      <c r="E41" s="44">
        <v>1</v>
      </c>
      <c r="F41" s="44" t="s">
        <v>609</v>
      </c>
      <c r="G41" s="44" t="s">
        <v>610</v>
      </c>
      <c r="H41" s="44" t="s">
        <v>611</v>
      </c>
      <c r="I41" s="45">
        <v>44409</v>
      </c>
      <c r="J41" s="45">
        <v>45383</v>
      </c>
      <c r="K41" s="46">
        <v>82872</v>
      </c>
      <c r="L41" s="44" t="s">
        <v>433</v>
      </c>
      <c r="M41" s="47"/>
      <c r="N41" s="47"/>
      <c r="O41" s="47"/>
      <c r="P41" s="47"/>
      <c r="Q41" s="49" t="s">
        <v>2324</v>
      </c>
      <c r="R41" s="48"/>
      <c r="S41" s="41"/>
      <c r="T41" s="41"/>
      <c r="U41" s="41"/>
      <c r="V41" s="41"/>
      <c r="W41" s="41"/>
      <c r="X41" s="41"/>
      <c r="Y41" s="41"/>
      <c r="Z41" s="41"/>
      <c r="AA41" s="41"/>
    </row>
    <row r="42" spans="1:27" ht="19.5" customHeight="1" x14ac:dyDescent="0.25">
      <c r="A42" s="43">
        <v>49</v>
      </c>
      <c r="B42" s="44" t="s">
        <v>614</v>
      </c>
      <c r="C42" s="44" t="s">
        <v>615</v>
      </c>
      <c r="D42" s="44" t="s">
        <v>522</v>
      </c>
      <c r="E42" s="44">
        <v>1</v>
      </c>
      <c r="F42" s="44" t="s">
        <v>609</v>
      </c>
      <c r="G42" s="44" t="s">
        <v>610</v>
      </c>
      <c r="H42" s="44" t="s">
        <v>611</v>
      </c>
      <c r="I42" s="45">
        <v>44409</v>
      </c>
      <c r="J42" s="45">
        <v>45383</v>
      </c>
      <c r="K42" s="44">
        <v>48590</v>
      </c>
      <c r="L42" s="44" t="s">
        <v>433</v>
      </c>
      <c r="M42" s="47"/>
      <c r="N42" s="47"/>
      <c r="O42" s="47"/>
      <c r="P42" s="47"/>
      <c r="Q42" s="49" t="s">
        <v>2325</v>
      </c>
      <c r="R42" s="48"/>
      <c r="S42" s="41"/>
      <c r="T42" s="41"/>
      <c r="U42" s="41"/>
      <c r="V42" s="41"/>
      <c r="W42" s="41"/>
      <c r="X42" s="41"/>
      <c r="Y42" s="41"/>
      <c r="Z42" s="41"/>
      <c r="AA42" s="41"/>
    </row>
    <row r="43" spans="1:27" ht="19.5" customHeight="1" x14ac:dyDescent="0.25">
      <c r="A43" s="43">
        <v>50</v>
      </c>
      <c r="B43" s="44" t="s">
        <v>616</v>
      </c>
      <c r="C43" s="44" t="s">
        <v>617</v>
      </c>
      <c r="D43" s="44" t="s">
        <v>474</v>
      </c>
      <c r="E43" s="44">
        <v>1</v>
      </c>
      <c r="F43" s="44" t="s">
        <v>618</v>
      </c>
      <c r="G43" s="44" t="s">
        <v>619</v>
      </c>
      <c r="H43" s="44" t="s">
        <v>620</v>
      </c>
      <c r="I43" s="45">
        <v>44470</v>
      </c>
      <c r="J43" s="45">
        <v>45366</v>
      </c>
      <c r="K43" s="44"/>
      <c r="L43" s="44"/>
      <c r="M43" s="47"/>
      <c r="N43" s="47"/>
      <c r="O43" s="47"/>
      <c r="P43" s="47"/>
      <c r="Q43" s="49" t="s">
        <v>2326</v>
      </c>
      <c r="R43" s="48"/>
      <c r="S43" s="41"/>
      <c r="T43" s="41"/>
      <c r="U43" s="41"/>
      <c r="V43" s="41"/>
      <c r="W43" s="41"/>
      <c r="X43" s="41"/>
      <c r="Y43" s="41"/>
      <c r="Z43" s="41"/>
      <c r="AA43" s="41"/>
    </row>
    <row r="44" spans="1:27" ht="19.5" customHeight="1" x14ac:dyDescent="0.25">
      <c r="A44" s="43">
        <v>51</v>
      </c>
      <c r="B44" s="44" t="s">
        <v>621</v>
      </c>
      <c r="C44" s="44" t="s">
        <v>622</v>
      </c>
      <c r="D44" s="44" t="s">
        <v>516</v>
      </c>
      <c r="E44" s="44">
        <v>2</v>
      </c>
      <c r="F44" s="44" t="s">
        <v>623</v>
      </c>
      <c r="G44" s="44" t="s">
        <v>624</v>
      </c>
      <c r="H44" s="44" t="s">
        <v>625</v>
      </c>
      <c r="I44" s="45">
        <v>44440</v>
      </c>
      <c r="J44" s="45">
        <v>45382</v>
      </c>
      <c r="K44" s="46">
        <v>2359.56</v>
      </c>
      <c r="L44" s="44"/>
      <c r="M44" s="47"/>
      <c r="N44" s="47"/>
      <c r="O44" s="47"/>
      <c r="P44" s="47"/>
      <c r="Q44" s="49" t="s">
        <v>2327</v>
      </c>
      <c r="R44" s="48"/>
      <c r="S44" s="41"/>
      <c r="T44" s="41"/>
      <c r="U44" s="41"/>
      <c r="V44" s="41"/>
      <c r="W44" s="41"/>
      <c r="X44" s="41"/>
      <c r="Y44" s="41"/>
      <c r="Z44" s="41"/>
      <c r="AA44" s="41"/>
    </row>
    <row r="45" spans="1:27" ht="19.5" customHeight="1" x14ac:dyDescent="0.25">
      <c r="A45" s="43">
        <v>52</v>
      </c>
      <c r="B45" s="44" t="s">
        <v>626</v>
      </c>
      <c r="C45" s="44" t="s">
        <v>627</v>
      </c>
      <c r="D45" s="44" t="s">
        <v>516</v>
      </c>
      <c r="E45" s="44">
        <v>1</v>
      </c>
      <c r="F45" s="44" t="s">
        <v>628</v>
      </c>
      <c r="G45" s="44" t="s">
        <v>629</v>
      </c>
      <c r="H45" s="44" t="s">
        <v>630</v>
      </c>
      <c r="I45" s="45">
        <v>44409</v>
      </c>
      <c r="J45" s="45">
        <v>45380</v>
      </c>
      <c r="K45" s="46">
        <v>1555.8</v>
      </c>
      <c r="L45" s="44" t="s">
        <v>433</v>
      </c>
      <c r="M45" s="47"/>
      <c r="N45" s="47"/>
      <c r="O45" s="47"/>
      <c r="P45" s="47"/>
      <c r="Q45" s="49" t="s">
        <v>2328</v>
      </c>
      <c r="R45" s="48"/>
      <c r="S45" s="41"/>
      <c r="T45" s="41"/>
      <c r="U45" s="41"/>
      <c r="V45" s="41"/>
      <c r="W45" s="41"/>
      <c r="X45" s="41"/>
      <c r="Y45" s="41"/>
      <c r="Z45" s="41"/>
      <c r="AA45" s="41"/>
    </row>
    <row r="46" spans="1:27" ht="19.5" customHeight="1" x14ac:dyDescent="0.25">
      <c r="A46" s="43">
        <v>53</v>
      </c>
      <c r="B46" s="47" t="s">
        <v>631</v>
      </c>
      <c r="C46" s="44" t="s">
        <v>632</v>
      </c>
      <c r="D46" s="44" t="s">
        <v>480</v>
      </c>
      <c r="E46" s="44">
        <v>3</v>
      </c>
      <c r="F46" s="44" t="s">
        <v>564</v>
      </c>
      <c r="G46" s="44" t="s">
        <v>565</v>
      </c>
      <c r="H46" s="44" t="s">
        <v>566</v>
      </c>
      <c r="I46" s="45">
        <v>44409</v>
      </c>
      <c r="J46" s="45">
        <v>45352</v>
      </c>
      <c r="K46" s="46">
        <v>644.87</v>
      </c>
      <c r="L46" s="44" t="s">
        <v>433</v>
      </c>
      <c r="M46" s="47"/>
      <c r="N46" s="47"/>
      <c r="O46" s="47"/>
      <c r="P46" s="47"/>
      <c r="Q46" s="49" t="s">
        <v>2329</v>
      </c>
      <c r="R46" s="48"/>
      <c r="S46" s="41"/>
      <c r="T46" s="41"/>
      <c r="U46" s="41"/>
      <c r="V46" s="41"/>
      <c r="W46" s="41"/>
      <c r="X46" s="41"/>
      <c r="Y46" s="41"/>
      <c r="Z46" s="41"/>
      <c r="AA46" s="41"/>
    </row>
    <row r="47" spans="1:27" ht="19.5" customHeight="1" x14ac:dyDescent="0.25">
      <c r="A47" s="43">
        <v>54</v>
      </c>
      <c r="B47" s="44" t="s">
        <v>633</v>
      </c>
      <c r="C47" s="44" t="s">
        <v>634</v>
      </c>
      <c r="D47" s="44" t="s">
        <v>516</v>
      </c>
      <c r="E47" s="44">
        <v>1</v>
      </c>
      <c r="F47" s="44" t="s">
        <v>635</v>
      </c>
      <c r="G47" s="44" t="s">
        <v>636</v>
      </c>
      <c r="H47" s="44" t="s">
        <v>519</v>
      </c>
      <c r="I47" s="45">
        <v>44409</v>
      </c>
      <c r="J47" s="45">
        <v>45382</v>
      </c>
      <c r="K47" s="44"/>
      <c r="L47" s="44" t="s">
        <v>433</v>
      </c>
      <c r="M47" s="47"/>
      <c r="N47" s="47"/>
      <c r="O47" s="47"/>
      <c r="P47" s="47"/>
      <c r="Q47" s="49" t="s">
        <v>2330</v>
      </c>
      <c r="R47" s="48"/>
      <c r="S47" s="41"/>
      <c r="T47" s="41"/>
      <c r="U47" s="41"/>
      <c r="V47" s="41"/>
      <c r="W47" s="41"/>
      <c r="X47" s="41"/>
      <c r="Y47" s="41"/>
      <c r="Z47" s="41"/>
      <c r="AA47" s="41"/>
    </row>
    <row r="48" spans="1:27" ht="19.5" customHeight="1" x14ac:dyDescent="0.25">
      <c r="A48" s="43">
        <v>55</v>
      </c>
      <c r="B48" s="44" t="s">
        <v>637</v>
      </c>
      <c r="C48" s="44" t="s">
        <v>638</v>
      </c>
      <c r="D48" s="44" t="s">
        <v>639</v>
      </c>
      <c r="E48" s="44">
        <v>1</v>
      </c>
      <c r="F48" s="44" t="s">
        <v>640</v>
      </c>
      <c r="G48" s="44" t="s">
        <v>641</v>
      </c>
      <c r="H48" s="44" t="s">
        <v>642</v>
      </c>
      <c r="I48" s="45">
        <v>44440</v>
      </c>
      <c r="J48" s="45">
        <v>45381</v>
      </c>
      <c r="K48" s="44"/>
      <c r="L48" s="44"/>
      <c r="M48" s="47"/>
      <c r="N48" s="47"/>
      <c r="O48" s="47"/>
      <c r="P48" s="47"/>
      <c r="Q48" s="49" t="s">
        <v>2331</v>
      </c>
      <c r="R48" s="48"/>
      <c r="S48" s="41"/>
      <c r="T48" s="41"/>
      <c r="U48" s="41"/>
      <c r="V48" s="41"/>
      <c r="W48" s="41"/>
      <c r="X48" s="41"/>
      <c r="Y48" s="41"/>
      <c r="Z48" s="41"/>
      <c r="AA48" s="41"/>
    </row>
    <row r="49" spans="1:27" ht="19.5" customHeight="1" x14ac:dyDescent="0.25">
      <c r="A49" s="43">
        <v>56</v>
      </c>
      <c r="B49" s="44" t="s">
        <v>643</v>
      </c>
      <c r="C49" s="44" t="s">
        <v>644</v>
      </c>
      <c r="D49" s="44" t="s">
        <v>639</v>
      </c>
      <c r="E49" s="44">
        <v>1</v>
      </c>
      <c r="F49" s="44" t="s">
        <v>640</v>
      </c>
      <c r="G49" s="44" t="s">
        <v>641</v>
      </c>
      <c r="H49" s="44" t="s">
        <v>642</v>
      </c>
      <c r="I49" s="45">
        <v>44440</v>
      </c>
      <c r="J49" s="45">
        <v>45373</v>
      </c>
      <c r="K49" s="44"/>
      <c r="L49" s="44"/>
      <c r="M49" s="47"/>
      <c r="N49" s="47"/>
      <c r="O49" s="47"/>
      <c r="P49" s="47"/>
      <c r="Q49" s="49" t="s">
        <v>2332</v>
      </c>
      <c r="R49" s="48"/>
      <c r="S49" s="41"/>
      <c r="T49" s="41"/>
      <c r="U49" s="41"/>
      <c r="V49" s="41"/>
      <c r="W49" s="41"/>
      <c r="X49" s="41"/>
      <c r="Y49" s="41"/>
      <c r="Z49" s="41"/>
      <c r="AA49" s="41"/>
    </row>
    <row r="50" spans="1:27" ht="19.5" customHeight="1" x14ac:dyDescent="0.25">
      <c r="A50" s="43">
        <v>57</v>
      </c>
      <c r="B50" s="44" t="s">
        <v>645</v>
      </c>
      <c r="C50" s="44" t="s">
        <v>646</v>
      </c>
      <c r="D50" s="44" t="s">
        <v>639</v>
      </c>
      <c r="E50" s="44">
        <v>1</v>
      </c>
      <c r="F50" s="44"/>
      <c r="G50" s="44"/>
      <c r="H50" s="44"/>
      <c r="I50" s="45">
        <v>44440</v>
      </c>
      <c r="J50" s="45">
        <v>45260</v>
      </c>
      <c r="K50" s="44"/>
      <c r="L50" s="44"/>
      <c r="M50" s="47"/>
      <c r="N50" s="47"/>
      <c r="O50" s="47"/>
      <c r="P50" s="47"/>
      <c r="Q50" s="49" t="s">
        <v>2333</v>
      </c>
      <c r="R50" s="48"/>
      <c r="S50" s="41"/>
      <c r="T50" s="41"/>
      <c r="U50" s="41"/>
      <c r="V50" s="41"/>
      <c r="W50" s="41"/>
      <c r="X50" s="41"/>
      <c r="Y50" s="41"/>
      <c r="Z50" s="41"/>
      <c r="AA50" s="41"/>
    </row>
    <row r="51" spans="1:27" ht="19.5" customHeight="1" x14ac:dyDescent="0.25">
      <c r="A51" s="43">
        <v>58</v>
      </c>
      <c r="B51" s="44" t="s">
        <v>647</v>
      </c>
      <c r="C51" s="44" t="s">
        <v>648</v>
      </c>
      <c r="D51" s="44" t="s">
        <v>480</v>
      </c>
      <c r="E51" s="44">
        <v>3</v>
      </c>
      <c r="F51" s="44" t="s">
        <v>649</v>
      </c>
      <c r="G51" s="44" t="s">
        <v>650</v>
      </c>
      <c r="H51" s="44" t="s">
        <v>651</v>
      </c>
      <c r="I51" s="45">
        <v>44470</v>
      </c>
      <c r="J51" s="45">
        <v>44864</v>
      </c>
      <c r="K51" s="46">
        <v>1099.17</v>
      </c>
      <c r="L51" s="44" t="s">
        <v>433</v>
      </c>
      <c r="M51" s="47"/>
      <c r="N51" s="47"/>
      <c r="O51" s="47"/>
      <c r="P51" s="47"/>
      <c r="Q51" s="49" t="s">
        <v>2334</v>
      </c>
      <c r="R51" s="48"/>
      <c r="S51" s="41"/>
      <c r="T51" s="41"/>
      <c r="U51" s="41"/>
      <c r="V51" s="41"/>
      <c r="W51" s="41"/>
      <c r="X51" s="41"/>
      <c r="Y51" s="41"/>
      <c r="Z51" s="41"/>
      <c r="AA51" s="41"/>
    </row>
    <row r="52" spans="1:27" ht="19.5" customHeight="1" x14ac:dyDescent="0.25">
      <c r="A52" s="43">
        <v>59</v>
      </c>
      <c r="B52" s="44" t="s">
        <v>652</v>
      </c>
      <c r="C52" s="44" t="s">
        <v>653</v>
      </c>
      <c r="D52" s="44" t="s">
        <v>411</v>
      </c>
      <c r="E52" s="44">
        <v>2</v>
      </c>
      <c r="F52" s="44" t="s">
        <v>654</v>
      </c>
      <c r="G52" s="44" t="s">
        <v>655</v>
      </c>
      <c r="H52" s="44" t="s">
        <v>652</v>
      </c>
      <c r="I52" s="45">
        <v>44440</v>
      </c>
      <c r="J52" s="45">
        <v>45382</v>
      </c>
      <c r="K52" s="46">
        <v>682.72</v>
      </c>
      <c r="L52" s="44"/>
      <c r="M52" s="47"/>
      <c r="N52" s="47"/>
      <c r="O52" s="47"/>
      <c r="P52" s="47"/>
      <c r="Q52" s="49" t="s">
        <v>2335</v>
      </c>
      <c r="R52" s="48"/>
      <c r="S52" s="41"/>
      <c r="T52" s="41"/>
      <c r="U52" s="41"/>
      <c r="V52" s="41"/>
      <c r="W52" s="41"/>
      <c r="X52" s="41"/>
      <c r="Y52" s="41"/>
      <c r="Z52" s="41"/>
      <c r="AA52" s="41"/>
    </row>
    <row r="53" spans="1:27" ht="19.5" customHeight="1" x14ac:dyDescent="0.25">
      <c r="A53" s="43">
        <v>60</v>
      </c>
      <c r="B53" s="44" t="s">
        <v>656</v>
      </c>
      <c r="C53" s="44" t="s">
        <v>657</v>
      </c>
      <c r="D53" s="44" t="s">
        <v>474</v>
      </c>
      <c r="E53" s="44">
        <v>1</v>
      </c>
      <c r="F53" s="44" t="s">
        <v>658</v>
      </c>
      <c r="G53" s="44" t="s">
        <v>659</v>
      </c>
      <c r="H53" s="44" t="s">
        <v>660</v>
      </c>
      <c r="I53" s="45">
        <v>44470</v>
      </c>
      <c r="J53" s="45">
        <v>45382</v>
      </c>
      <c r="K53" s="44"/>
      <c r="L53" s="44" t="s">
        <v>433</v>
      </c>
      <c r="M53" s="47"/>
      <c r="N53" s="47"/>
      <c r="O53" s="47"/>
      <c r="P53" s="47"/>
      <c r="Q53" s="49" t="s">
        <v>2336</v>
      </c>
      <c r="R53" s="48"/>
      <c r="S53" s="41"/>
      <c r="T53" s="41"/>
      <c r="U53" s="41"/>
      <c r="V53" s="41"/>
      <c r="W53" s="41"/>
      <c r="X53" s="41"/>
      <c r="Y53" s="41"/>
      <c r="Z53" s="41"/>
      <c r="AA53" s="41"/>
    </row>
    <row r="54" spans="1:27" ht="19.5" customHeight="1" x14ac:dyDescent="0.25">
      <c r="A54" s="43">
        <v>61</v>
      </c>
      <c r="B54" s="44" t="s">
        <v>661</v>
      </c>
      <c r="C54" s="44" t="s">
        <v>662</v>
      </c>
      <c r="D54" s="44" t="s">
        <v>516</v>
      </c>
      <c r="E54" s="44">
        <v>1</v>
      </c>
      <c r="F54" s="44" t="s">
        <v>663</v>
      </c>
      <c r="G54" s="44" t="s">
        <v>664</v>
      </c>
      <c r="H54" s="44" t="s">
        <v>665</v>
      </c>
      <c r="I54" s="45">
        <v>44409</v>
      </c>
      <c r="J54" s="45">
        <v>45382</v>
      </c>
      <c r="K54" s="44"/>
      <c r="L54" s="44" t="s">
        <v>433</v>
      </c>
      <c r="M54" s="47"/>
      <c r="N54" s="47"/>
      <c r="O54" s="47"/>
      <c r="P54" s="47"/>
      <c r="Q54" s="49" t="s">
        <v>2337</v>
      </c>
      <c r="R54" s="48"/>
      <c r="S54" s="41"/>
      <c r="T54" s="41"/>
      <c r="U54" s="41"/>
      <c r="V54" s="41"/>
      <c r="W54" s="41"/>
      <c r="X54" s="41"/>
      <c r="Y54" s="41"/>
      <c r="Z54" s="41"/>
      <c r="AA54" s="41"/>
    </row>
    <row r="55" spans="1:27" ht="19.5" customHeight="1" x14ac:dyDescent="0.25">
      <c r="A55" s="43">
        <v>62</v>
      </c>
      <c r="B55" s="44" t="s">
        <v>666</v>
      </c>
      <c r="C55" s="44" t="s">
        <v>667</v>
      </c>
      <c r="D55" s="44" t="s">
        <v>522</v>
      </c>
      <c r="E55" s="44">
        <v>1</v>
      </c>
      <c r="F55" s="44" t="s">
        <v>668</v>
      </c>
      <c r="G55" s="44" t="s">
        <v>669</v>
      </c>
      <c r="H55" s="44" t="s">
        <v>670</v>
      </c>
      <c r="I55" s="45">
        <v>44571</v>
      </c>
      <c r="J55" s="45">
        <v>45025</v>
      </c>
      <c r="K55" s="46">
        <v>2522.5</v>
      </c>
      <c r="L55" s="44" t="s">
        <v>433</v>
      </c>
      <c r="M55" s="47"/>
      <c r="N55" s="47"/>
      <c r="O55" s="47"/>
      <c r="P55" s="47"/>
      <c r="Q55" s="49" t="s">
        <v>2338</v>
      </c>
      <c r="R55" s="48"/>
      <c r="S55" s="41"/>
      <c r="T55" s="41"/>
      <c r="U55" s="41"/>
      <c r="V55" s="41"/>
      <c r="W55" s="41"/>
      <c r="X55" s="41"/>
      <c r="Y55" s="41"/>
      <c r="Z55" s="41"/>
      <c r="AA55" s="41"/>
    </row>
    <row r="56" spans="1:27" ht="19.5" customHeight="1" x14ac:dyDescent="0.25">
      <c r="A56" s="43">
        <v>65</v>
      </c>
      <c r="B56" s="44" t="s">
        <v>671</v>
      </c>
      <c r="C56" s="44" t="s">
        <v>672</v>
      </c>
      <c r="D56" s="44" t="s">
        <v>480</v>
      </c>
      <c r="E56" s="44">
        <v>2</v>
      </c>
      <c r="F56" s="44" t="s">
        <v>673</v>
      </c>
      <c r="G56" s="44" t="s">
        <v>674</v>
      </c>
      <c r="H56" s="44" t="s">
        <v>675</v>
      </c>
      <c r="I56" s="45">
        <v>44411</v>
      </c>
      <c r="J56" s="45">
        <v>44775</v>
      </c>
      <c r="K56" s="46">
        <v>426.62</v>
      </c>
      <c r="L56" s="44" t="s">
        <v>433</v>
      </c>
      <c r="M56" s="47"/>
      <c r="N56" s="47"/>
      <c r="O56" s="47"/>
      <c r="P56" s="47"/>
      <c r="Q56" s="49" t="s">
        <v>2339</v>
      </c>
      <c r="R56" s="48"/>
      <c r="S56" s="41"/>
      <c r="T56" s="41"/>
      <c r="U56" s="41"/>
      <c r="V56" s="41"/>
      <c r="W56" s="41"/>
      <c r="X56" s="41"/>
      <c r="Y56" s="41"/>
      <c r="Z56" s="41"/>
      <c r="AA56" s="41"/>
    </row>
    <row r="57" spans="1:27" ht="19.5" customHeight="1" x14ac:dyDescent="0.25">
      <c r="A57" s="43">
        <v>66</v>
      </c>
      <c r="B57" s="44" t="s">
        <v>676</v>
      </c>
      <c r="C57" s="44" t="s">
        <v>677</v>
      </c>
      <c r="D57" s="44" t="s">
        <v>480</v>
      </c>
      <c r="E57" s="44">
        <v>1</v>
      </c>
      <c r="F57" s="44" t="s">
        <v>678</v>
      </c>
      <c r="G57" s="44" t="s">
        <v>679</v>
      </c>
      <c r="H57" s="44" t="s">
        <v>675</v>
      </c>
      <c r="I57" s="45">
        <v>44410</v>
      </c>
      <c r="J57" s="45">
        <v>45366</v>
      </c>
      <c r="K57" s="46">
        <v>692.85</v>
      </c>
      <c r="L57" s="44" t="s">
        <v>433</v>
      </c>
      <c r="M57" s="47"/>
      <c r="N57" s="47"/>
      <c r="O57" s="47"/>
      <c r="P57" s="47"/>
      <c r="Q57" s="49" t="s">
        <v>2340</v>
      </c>
      <c r="R57" s="48"/>
      <c r="S57" s="41"/>
      <c r="T57" s="41"/>
      <c r="U57" s="41"/>
      <c r="V57" s="41"/>
      <c r="W57" s="41"/>
      <c r="X57" s="41"/>
      <c r="Y57" s="41"/>
      <c r="Z57" s="41"/>
      <c r="AA57" s="41"/>
    </row>
    <row r="58" spans="1:27" ht="19.5" customHeight="1" x14ac:dyDescent="0.25">
      <c r="A58" s="43">
        <v>3</v>
      </c>
      <c r="B58" s="44" t="s">
        <v>680</v>
      </c>
      <c r="C58" s="44" t="s">
        <v>681</v>
      </c>
      <c r="D58" s="44" t="s">
        <v>411</v>
      </c>
      <c r="E58" s="44">
        <v>1</v>
      </c>
      <c r="F58" s="44" t="s">
        <v>682</v>
      </c>
      <c r="G58" s="44" t="s">
        <v>683</v>
      </c>
      <c r="H58" s="44" t="s">
        <v>684</v>
      </c>
      <c r="I58" s="45">
        <v>44378</v>
      </c>
      <c r="J58" s="45">
        <v>45382</v>
      </c>
      <c r="K58" s="46">
        <v>1686.07</v>
      </c>
      <c r="L58" s="44" t="s">
        <v>433</v>
      </c>
      <c r="M58" s="47"/>
      <c r="N58" s="47"/>
      <c r="O58" s="47"/>
      <c r="P58" s="47"/>
      <c r="Q58" s="49" t="s">
        <v>2341</v>
      </c>
      <c r="R58" s="48"/>
      <c r="S58" s="41"/>
      <c r="T58" s="41"/>
      <c r="U58" s="41"/>
      <c r="V58" s="41"/>
      <c r="W58" s="41"/>
      <c r="X58" s="41"/>
      <c r="Y58" s="41"/>
      <c r="Z58" s="41"/>
      <c r="AA58" s="41"/>
    </row>
    <row r="59" spans="1:27" ht="19.5" customHeight="1" x14ac:dyDescent="0.25">
      <c r="A59" s="43">
        <v>21</v>
      </c>
      <c r="B59" s="44" t="s">
        <v>685</v>
      </c>
      <c r="C59" s="44" t="s">
        <v>686</v>
      </c>
      <c r="D59" s="44" t="s">
        <v>480</v>
      </c>
      <c r="E59" s="44">
        <v>2</v>
      </c>
      <c r="F59" s="44" t="s">
        <v>687</v>
      </c>
      <c r="G59" s="44" t="s">
        <v>688</v>
      </c>
      <c r="H59" s="44" t="s">
        <v>689</v>
      </c>
      <c r="I59" s="45">
        <v>44409</v>
      </c>
      <c r="J59" s="45">
        <v>45381</v>
      </c>
      <c r="K59" s="46">
        <v>5542.43</v>
      </c>
      <c r="L59" s="44" t="s">
        <v>433</v>
      </c>
      <c r="M59" s="47"/>
      <c r="N59" s="47"/>
      <c r="O59" s="47"/>
      <c r="P59" s="47"/>
      <c r="Q59" s="49" t="s">
        <v>2342</v>
      </c>
      <c r="R59" s="48"/>
      <c r="S59" s="41"/>
      <c r="T59" s="41"/>
      <c r="U59" s="41"/>
      <c r="V59" s="41"/>
      <c r="W59" s="41"/>
      <c r="X59" s="41"/>
      <c r="Y59" s="41"/>
      <c r="Z59" s="41"/>
      <c r="AA59" s="41"/>
    </row>
    <row r="60" spans="1:27" ht="19.5" customHeight="1" x14ac:dyDescent="0.25">
      <c r="A60" s="43">
        <v>22</v>
      </c>
      <c r="B60" s="44" t="s">
        <v>690</v>
      </c>
      <c r="C60" s="44" t="s">
        <v>691</v>
      </c>
      <c r="D60" s="44" t="s">
        <v>411</v>
      </c>
      <c r="E60" s="44">
        <v>1</v>
      </c>
      <c r="F60" s="44" t="s">
        <v>692</v>
      </c>
      <c r="G60" s="44" t="s">
        <v>693</v>
      </c>
      <c r="H60" s="44" t="s">
        <v>694</v>
      </c>
      <c r="I60" s="45">
        <v>44409</v>
      </c>
      <c r="J60" s="45">
        <v>45382</v>
      </c>
      <c r="K60" s="46">
        <v>5332.8470355199997</v>
      </c>
      <c r="L60" s="44" t="s">
        <v>433</v>
      </c>
      <c r="M60" s="47"/>
      <c r="N60" s="47"/>
      <c r="O60" s="47"/>
      <c r="P60" s="47"/>
      <c r="Q60" s="49" t="s">
        <v>2343</v>
      </c>
      <c r="R60" s="48"/>
      <c r="S60" s="41"/>
      <c r="T60" s="41"/>
      <c r="U60" s="41"/>
      <c r="V60" s="41"/>
      <c r="W60" s="41"/>
      <c r="X60" s="41"/>
      <c r="Y60" s="41"/>
      <c r="Z60" s="41"/>
      <c r="AA60" s="41"/>
    </row>
    <row r="61" spans="1:27" ht="19.5" customHeight="1" x14ac:dyDescent="0.25">
      <c r="A61" s="43">
        <v>26</v>
      </c>
      <c r="B61" s="44" t="s">
        <v>695</v>
      </c>
      <c r="C61" s="44" t="s">
        <v>696</v>
      </c>
      <c r="D61" s="44" t="s">
        <v>522</v>
      </c>
      <c r="E61" s="44">
        <v>1</v>
      </c>
      <c r="F61" s="44" t="s">
        <v>523</v>
      </c>
      <c r="G61" s="44" t="s">
        <v>524</v>
      </c>
      <c r="H61" s="44" t="s">
        <v>525</v>
      </c>
      <c r="I61" s="45">
        <v>44440</v>
      </c>
      <c r="J61" s="45">
        <v>45260</v>
      </c>
      <c r="K61" s="46">
        <v>1894.7</v>
      </c>
      <c r="L61" s="44" t="s">
        <v>433</v>
      </c>
      <c r="M61" s="47"/>
      <c r="N61" s="47"/>
      <c r="O61" s="47"/>
      <c r="P61" s="47"/>
      <c r="Q61" s="49" t="s">
        <v>2344</v>
      </c>
      <c r="R61" s="48"/>
      <c r="S61" s="41"/>
      <c r="T61" s="41"/>
      <c r="U61" s="41"/>
      <c r="V61" s="41"/>
      <c r="W61" s="41"/>
      <c r="X61" s="41"/>
      <c r="Y61" s="41"/>
      <c r="Z61" s="41"/>
      <c r="AA61" s="41"/>
    </row>
    <row r="62" spans="1:27" ht="19.5" customHeight="1" x14ac:dyDescent="0.25">
      <c r="A62" s="43">
        <v>33</v>
      </c>
      <c r="B62" s="44" t="s">
        <v>697</v>
      </c>
      <c r="C62" s="44" t="s">
        <v>698</v>
      </c>
      <c r="D62" s="44" t="s">
        <v>447</v>
      </c>
      <c r="E62" s="44">
        <v>1</v>
      </c>
      <c r="F62" s="44" t="s">
        <v>699</v>
      </c>
      <c r="G62" s="44" t="s">
        <v>700</v>
      </c>
      <c r="H62" s="44" t="s">
        <v>701</v>
      </c>
      <c r="I62" s="45">
        <v>44440</v>
      </c>
      <c r="J62" s="45">
        <v>45381</v>
      </c>
      <c r="K62" s="46">
        <v>376.03623053000001</v>
      </c>
      <c r="L62" s="44" t="s">
        <v>433</v>
      </c>
      <c r="M62" s="47"/>
      <c r="N62" s="47"/>
      <c r="O62" s="47"/>
      <c r="P62" s="47"/>
      <c r="Q62" s="49" t="s">
        <v>2345</v>
      </c>
      <c r="R62" s="48"/>
      <c r="S62" s="41"/>
      <c r="T62" s="41"/>
      <c r="U62" s="41"/>
      <c r="V62" s="41"/>
      <c r="W62" s="41"/>
      <c r="X62" s="41"/>
      <c r="Y62" s="41"/>
      <c r="Z62" s="41"/>
      <c r="AA62" s="41"/>
    </row>
    <row r="63" spans="1:27" ht="19.5" customHeight="1" x14ac:dyDescent="0.25">
      <c r="A63" s="43">
        <v>37</v>
      </c>
      <c r="B63" s="44" t="s">
        <v>702</v>
      </c>
      <c r="C63" s="44" t="s">
        <v>703</v>
      </c>
      <c r="D63" s="44" t="s">
        <v>548</v>
      </c>
      <c r="E63" s="44">
        <v>1</v>
      </c>
      <c r="F63" s="44" t="s">
        <v>704</v>
      </c>
      <c r="G63" s="44" t="s">
        <v>705</v>
      </c>
      <c r="H63" s="44" t="s">
        <v>706</v>
      </c>
      <c r="I63" s="45">
        <v>44440</v>
      </c>
      <c r="J63" s="45">
        <v>45382</v>
      </c>
      <c r="K63" s="46">
        <v>3484.09</v>
      </c>
      <c r="L63" s="44" t="s">
        <v>433</v>
      </c>
      <c r="M63" s="47"/>
      <c r="N63" s="47"/>
      <c r="O63" s="47"/>
      <c r="P63" s="47"/>
      <c r="Q63" s="49" t="s">
        <v>2346</v>
      </c>
      <c r="R63" s="48"/>
      <c r="S63" s="41"/>
      <c r="T63" s="41"/>
      <c r="U63" s="41"/>
      <c r="V63" s="41"/>
      <c r="W63" s="41"/>
      <c r="X63" s="41"/>
      <c r="Y63" s="41"/>
      <c r="Z63" s="41"/>
      <c r="AA63" s="41"/>
    </row>
    <row r="64" spans="1:27" ht="19.5" customHeight="1" x14ac:dyDescent="0.25">
      <c r="A64" s="43">
        <v>41</v>
      </c>
      <c r="B64" s="44" t="s">
        <v>707</v>
      </c>
      <c r="C64" s="44" t="s">
        <v>708</v>
      </c>
      <c r="D64" s="44" t="s">
        <v>548</v>
      </c>
      <c r="E64" s="44">
        <v>1</v>
      </c>
      <c r="F64" s="44" t="s">
        <v>709</v>
      </c>
      <c r="G64" s="44" t="s">
        <v>710</v>
      </c>
      <c r="H64" s="44" t="s">
        <v>711</v>
      </c>
      <c r="I64" s="45">
        <v>44423</v>
      </c>
      <c r="J64" s="45">
        <v>45366</v>
      </c>
      <c r="K64" s="46">
        <v>2781.16</v>
      </c>
      <c r="L64" s="44" t="s">
        <v>433</v>
      </c>
      <c r="M64" s="47"/>
      <c r="N64" s="47"/>
      <c r="O64" s="47"/>
      <c r="P64" s="47"/>
      <c r="Q64" s="49" t="s">
        <v>2347</v>
      </c>
      <c r="R64" s="48"/>
      <c r="S64" s="41"/>
      <c r="T64" s="41"/>
      <c r="U64" s="41"/>
      <c r="V64" s="41"/>
      <c r="W64" s="41"/>
      <c r="X64" s="41"/>
      <c r="Y64" s="41"/>
      <c r="Z64" s="41"/>
      <c r="AA64" s="41"/>
    </row>
    <row r="65" spans="1:27" ht="19.5" customHeight="1" x14ac:dyDescent="0.25">
      <c r="A65" s="43">
        <v>9</v>
      </c>
      <c r="B65" s="44" t="s">
        <v>712</v>
      </c>
      <c r="C65" s="44" t="s">
        <v>713</v>
      </c>
      <c r="D65" s="44" t="s">
        <v>480</v>
      </c>
      <c r="E65" s="44">
        <v>3</v>
      </c>
      <c r="F65" s="44" t="s">
        <v>714</v>
      </c>
      <c r="G65" s="44" t="s">
        <v>715</v>
      </c>
      <c r="H65" s="44" t="s">
        <v>716</v>
      </c>
      <c r="I65" s="45">
        <v>44440</v>
      </c>
      <c r="J65" s="45">
        <v>45381</v>
      </c>
      <c r="K65" s="46">
        <v>3903.65</v>
      </c>
      <c r="L65" s="44"/>
      <c r="M65" s="47"/>
      <c r="N65" s="47"/>
      <c r="O65" s="47"/>
      <c r="P65" s="47"/>
      <c r="Q65" s="49" t="s">
        <v>2348</v>
      </c>
      <c r="R65" s="48"/>
      <c r="S65" s="41"/>
      <c r="T65" s="41"/>
      <c r="U65" s="41"/>
      <c r="V65" s="41"/>
      <c r="W65" s="41"/>
      <c r="X65" s="41"/>
      <c r="Y65" s="41"/>
      <c r="Z65" s="41"/>
      <c r="AA65" s="41"/>
    </row>
    <row r="66" spans="1:27" ht="19.5" customHeight="1" x14ac:dyDescent="0.25">
      <c r="A66" s="43"/>
      <c r="B66" s="44"/>
      <c r="C66" s="44"/>
      <c r="D66" s="44"/>
      <c r="E66" s="44"/>
      <c r="F66" s="44"/>
      <c r="G66" s="44"/>
      <c r="H66" s="44"/>
      <c r="I66" s="50">
        <v>9</v>
      </c>
      <c r="J66" s="45"/>
      <c r="K66" s="46"/>
      <c r="L66" s="44"/>
      <c r="M66" s="47"/>
      <c r="N66" s="47"/>
      <c r="O66" s="47"/>
      <c r="P66" s="47"/>
      <c r="Q66" s="49"/>
      <c r="R66" s="48"/>
      <c r="S66" s="41"/>
      <c r="T66" s="41"/>
      <c r="U66" s="41"/>
      <c r="V66" s="41"/>
      <c r="W66" s="41"/>
      <c r="X66" s="41"/>
      <c r="Y66" s="41"/>
      <c r="Z66" s="41"/>
      <c r="AA66" s="41"/>
    </row>
    <row r="67" spans="1:27" ht="19.5" customHeight="1" x14ac:dyDescent="0.25">
      <c r="A67" s="43"/>
      <c r="B67" s="44"/>
      <c r="C67" s="44"/>
      <c r="D67" s="44"/>
      <c r="E67" s="44"/>
      <c r="F67" s="44"/>
      <c r="G67" s="44"/>
      <c r="H67" s="44"/>
      <c r="I67" s="45"/>
      <c r="J67" s="45"/>
      <c r="K67" s="46"/>
      <c r="L67" s="44"/>
      <c r="M67" s="47"/>
      <c r="N67" s="47"/>
      <c r="O67" s="47"/>
      <c r="P67" s="47"/>
      <c r="Q67" s="49"/>
      <c r="R67" s="48"/>
      <c r="S67" s="41"/>
      <c r="T67" s="41"/>
      <c r="U67" s="41"/>
      <c r="V67" s="41"/>
      <c r="W67" s="41"/>
      <c r="X67" s="41"/>
      <c r="Y67" s="41"/>
      <c r="Z67" s="41"/>
      <c r="AA67" s="41"/>
    </row>
    <row r="68" spans="1:27" ht="19.5" customHeight="1" x14ac:dyDescent="0.25">
      <c r="A68" s="43"/>
      <c r="B68" s="44"/>
      <c r="C68" s="44"/>
      <c r="D68" s="44"/>
      <c r="E68" s="44"/>
      <c r="F68" s="44"/>
      <c r="G68" s="44"/>
      <c r="H68" s="44"/>
      <c r="I68" s="45"/>
      <c r="J68" s="45"/>
      <c r="K68" s="46"/>
      <c r="L68" s="44"/>
      <c r="M68" s="47"/>
      <c r="N68" s="47"/>
      <c r="O68" s="47"/>
      <c r="P68" s="47"/>
      <c r="Q68" s="49"/>
      <c r="R68" s="48"/>
      <c r="S68" s="41"/>
      <c r="T68" s="41"/>
      <c r="U68" s="41"/>
      <c r="V68" s="41"/>
      <c r="W68" s="41"/>
      <c r="X68" s="41"/>
      <c r="Y68" s="41"/>
      <c r="Z68" s="41"/>
      <c r="AA68" s="41"/>
    </row>
    <row r="69" spans="1:27" ht="19.5" customHeight="1" x14ac:dyDescent="0.25">
      <c r="A69" s="43"/>
      <c r="B69" s="44"/>
      <c r="C69" s="44"/>
      <c r="D69" s="44"/>
      <c r="E69" s="44"/>
      <c r="F69" s="44"/>
      <c r="G69" s="44"/>
      <c r="H69" s="44"/>
      <c r="I69" s="45"/>
      <c r="J69" s="45"/>
      <c r="K69" s="46"/>
      <c r="L69" s="44"/>
      <c r="M69" s="47"/>
      <c r="N69" s="47"/>
      <c r="O69" s="47"/>
      <c r="P69" s="47"/>
      <c r="Q69" s="49"/>
      <c r="R69" s="48"/>
      <c r="S69" s="41"/>
      <c r="T69" s="41"/>
      <c r="U69" s="41"/>
      <c r="V69" s="41"/>
      <c r="W69" s="41"/>
      <c r="X69" s="41"/>
      <c r="Y69" s="41"/>
      <c r="Z69" s="41"/>
      <c r="AA69" s="41"/>
    </row>
    <row r="70" spans="1:27" ht="19.5" customHeight="1" x14ac:dyDescent="0.25">
      <c r="A70" s="43"/>
      <c r="B70" s="44"/>
      <c r="C70" s="44"/>
      <c r="D70" s="44"/>
      <c r="E70" s="44"/>
      <c r="F70" s="44"/>
      <c r="G70" s="44"/>
      <c r="H70" s="44"/>
      <c r="I70" s="45"/>
      <c r="J70" s="45"/>
      <c r="K70" s="46"/>
      <c r="L70" s="44"/>
      <c r="M70" s="47"/>
      <c r="N70" s="47"/>
      <c r="O70" s="47"/>
      <c r="P70" s="47"/>
      <c r="Q70" s="49"/>
      <c r="R70" s="48"/>
      <c r="S70" s="41"/>
      <c r="T70" s="41"/>
      <c r="U70" s="41"/>
      <c r="V70" s="41"/>
      <c r="W70" s="41"/>
      <c r="X70" s="41"/>
      <c r="Y70" s="41"/>
      <c r="Z70" s="41"/>
      <c r="AA70" s="41"/>
    </row>
    <row r="71" spans="1:27" ht="15.75" customHeight="1" x14ac:dyDescent="0.25">
      <c r="A71" s="51"/>
      <c r="B71" s="51"/>
      <c r="C71" s="51"/>
      <c r="D71" s="51"/>
      <c r="E71" s="51"/>
      <c r="F71" s="51"/>
      <c r="G71" s="51"/>
      <c r="H71" s="51"/>
      <c r="I71" s="51"/>
      <c r="J71" s="51"/>
      <c r="K71" s="51"/>
      <c r="L71" s="51"/>
      <c r="M71" s="51"/>
      <c r="N71" s="51"/>
      <c r="O71" s="51"/>
      <c r="P71" s="51"/>
      <c r="Q71" s="91">
        <v>17</v>
      </c>
      <c r="R71" s="41"/>
      <c r="S71" s="41"/>
      <c r="T71" s="41"/>
      <c r="U71" s="41"/>
      <c r="V71" s="41"/>
      <c r="W71" s="41"/>
      <c r="X71" s="41"/>
      <c r="Y71" s="41"/>
      <c r="Z71" s="41"/>
      <c r="AA71" s="41"/>
    </row>
    <row r="72" spans="1:27" ht="15.75" hidden="1" customHeight="1" x14ac:dyDescent="0.25">
      <c r="A72" s="51"/>
      <c r="B72" s="41"/>
      <c r="C72" s="41"/>
      <c r="D72" s="41"/>
      <c r="E72" s="41"/>
      <c r="F72" s="41"/>
      <c r="G72" s="41"/>
      <c r="H72" s="41"/>
      <c r="I72" s="41"/>
      <c r="J72" s="41"/>
      <c r="K72" s="41"/>
      <c r="L72" s="41"/>
      <c r="M72" s="41"/>
      <c r="N72" s="41"/>
      <c r="O72" s="41"/>
      <c r="P72" s="41"/>
      <c r="Q72" s="64"/>
      <c r="R72" s="41"/>
      <c r="S72" s="41"/>
      <c r="T72" s="41"/>
      <c r="U72" s="41"/>
      <c r="V72" s="41"/>
      <c r="W72" s="41"/>
      <c r="X72" s="41"/>
      <c r="Y72" s="41"/>
      <c r="Z72" s="41"/>
      <c r="AA72" s="41"/>
    </row>
    <row r="73" spans="1:27" ht="15.75" hidden="1" customHeight="1" x14ac:dyDescent="0.25">
      <c r="A73" s="51"/>
      <c r="B73" s="41"/>
      <c r="C73" s="41"/>
      <c r="D73" s="41"/>
      <c r="E73" s="41"/>
      <c r="F73" s="41"/>
      <c r="G73" s="41"/>
      <c r="H73" s="41"/>
      <c r="I73" s="41"/>
      <c r="J73" s="41"/>
      <c r="K73" s="41"/>
      <c r="L73" s="41"/>
      <c r="M73" s="41"/>
      <c r="N73" s="41"/>
      <c r="O73" s="41"/>
      <c r="P73" s="41"/>
      <c r="Q73" s="64"/>
      <c r="R73" s="41"/>
      <c r="S73" s="41"/>
      <c r="T73" s="41"/>
      <c r="U73" s="41"/>
      <c r="V73" s="41"/>
      <c r="W73" s="41"/>
      <c r="X73" s="41"/>
      <c r="Y73" s="41"/>
      <c r="Z73" s="41"/>
      <c r="AA73" s="41"/>
    </row>
    <row r="74" spans="1:27" ht="15.75" hidden="1" customHeight="1" x14ac:dyDescent="0.25">
      <c r="A74" s="51"/>
      <c r="B74" s="41"/>
      <c r="C74" s="41"/>
      <c r="D74" s="41"/>
      <c r="E74" s="41"/>
      <c r="F74" s="41"/>
      <c r="G74" s="41"/>
      <c r="H74" s="41"/>
      <c r="I74" s="41"/>
      <c r="J74" s="41"/>
      <c r="K74" s="41"/>
      <c r="L74" s="41"/>
      <c r="M74" s="41"/>
      <c r="N74" s="41"/>
      <c r="O74" s="41"/>
      <c r="P74" s="41"/>
      <c r="Q74" s="64"/>
      <c r="R74" s="41"/>
      <c r="S74" s="41"/>
      <c r="T74" s="41"/>
      <c r="U74" s="41"/>
      <c r="V74" s="41"/>
      <c r="W74" s="41"/>
      <c r="X74" s="41"/>
      <c r="Y74" s="41"/>
      <c r="Z74" s="41"/>
      <c r="AA74" s="41"/>
    </row>
    <row r="75" spans="1:27" ht="15.75" hidden="1" customHeight="1" x14ac:dyDescent="0.25">
      <c r="A75" s="51"/>
      <c r="B75" s="41"/>
      <c r="C75" s="41"/>
      <c r="D75" s="41"/>
      <c r="E75" s="41"/>
      <c r="F75" s="41"/>
      <c r="G75" s="41"/>
      <c r="H75" s="41"/>
      <c r="I75" s="41"/>
      <c r="J75" s="41"/>
      <c r="K75" s="41"/>
      <c r="L75" s="41"/>
      <c r="M75" s="41"/>
      <c r="N75" s="41"/>
      <c r="O75" s="41"/>
      <c r="P75" s="41"/>
      <c r="Q75" s="64"/>
      <c r="R75" s="41"/>
      <c r="S75" s="41"/>
      <c r="T75" s="41"/>
      <c r="U75" s="41"/>
      <c r="V75" s="41"/>
      <c r="W75" s="41"/>
      <c r="X75" s="41"/>
      <c r="Y75" s="41"/>
      <c r="Z75" s="41"/>
      <c r="AA75" s="41"/>
    </row>
    <row r="76" spans="1:27" ht="15.75" hidden="1" customHeight="1" x14ac:dyDescent="0.25">
      <c r="A76" s="51"/>
      <c r="B76" s="41"/>
      <c r="C76" s="41"/>
      <c r="D76" s="41"/>
      <c r="E76" s="41"/>
      <c r="F76" s="41"/>
      <c r="G76" s="41"/>
      <c r="H76" s="41"/>
      <c r="I76" s="41"/>
      <c r="J76" s="41"/>
      <c r="K76" s="41"/>
      <c r="L76" s="41"/>
      <c r="M76" s="41"/>
      <c r="N76" s="41"/>
      <c r="O76" s="41"/>
      <c r="P76" s="41"/>
      <c r="Q76" s="64"/>
      <c r="R76" s="41"/>
      <c r="S76" s="41"/>
      <c r="T76" s="41"/>
      <c r="U76" s="41"/>
      <c r="V76" s="41"/>
      <c r="W76" s="41"/>
      <c r="X76" s="41"/>
      <c r="Y76" s="41"/>
      <c r="Z76" s="41"/>
      <c r="AA76" s="41"/>
    </row>
    <row r="77" spans="1:27" ht="15.75" hidden="1" customHeight="1" x14ac:dyDescent="0.25">
      <c r="A77" s="51"/>
      <c r="B77" s="41"/>
      <c r="C77" s="41"/>
      <c r="D77" s="41"/>
      <c r="E77" s="41"/>
      <c r="F77" s="41"/>
      <c r="G77" s="41"/>
      <c r="H77" s="41"/>
      <c r="I77" s="41"/>
      <c r="J77" s="41"/>
      <c r="K77" s="41"/>
      <c r="L77" s="41"/>
      <c r="M77" s="41"/>
      <c r="N77" s="41"/>
      <c r="O77" s="41"/>
      <c r="P77" s="41"/>
      <c r="Q77" s="64"/>
      <c r="R77" s="41"/>
      <c r="S77" s="41"/>
      <c r="T77" s="41"/>
      <c r="U77" s="41"/>
      <c r="V77" s="41"/>
      <c r="W77" s="41"/>
      <c r="X77" s="41"/>
      <c r="Y77" s="41"/>
      <c r="Z77" s="41"/>
      <c r="AA77" s="41"/>
    </row>
    <row r="78" spans="1:27" ht="15.75" hidden="1" customHeight="1" x14ac:dyDescent="0.25">
      <c r="A78" s="51"/>
      <c r="B78" s="41"/>
      <c r="C78" s="41"/>
      <c r="D78" s="41"/>
      <c r="E78" s="41"/>
      <c r="F78" s="41"/>
      <c r="G78" s="41"/>
      <c r="H78" s="41"/>
      <c r="I78" s="41"/>
      <c r="J78" s="41"/>
      <c r="K78" s="41"/>
      <c r="L78" s="41"/>
      <c r="M78" s="41"/>
      <c r="N78" s="41"/>
      <c r="O78" s="41"/>
      <c r="P78" s="41"/>
      <c r="Q78" s="64"/>
      <c r="R78" s="41"/>
      <c r="S78" s="41"/>
      <c r="T78" s="41"/>
      <c r="U78" s="41"/>
      <c r="V78" s="41"/>
      <c r="W78" s="41"/>
      <c r="X78" s="41"/>
      <c r="Y78" s="41"/>
      <c r="Z78" s="41"/>
      <c r="AA78" s="41"/>
    </row>
    <row r="79" spans="1:27" ht="15.75" hidden="1" customHeight="1" x14ac:dyDescent="0.25">
      <c r="A79" s="51"/>
      <c r="B79" s="41"/>
      <c r="C79" s="41"/>
      <c r="D79" s="41"/>
      <c r="E79" s="41"/>
      <c r="F79" s="41"/>
      <c r="G79" s="41"/>
      <c r="H79" s="41"/>
      <c r="I79" s="41"/>
      <c r="J79" s="41"/>
      <c r="K79" s="41"/>
      <c r="L79" s="41"/>
      <c r="M79" s="41"/>
      <c r="N79" s="41"/>
      <c r="O79" s="41"/>
      <c r="P79" s="41"/>
      <c r="Q79" s="64"/>
      <c r="R79" s="41"/>
      <c r="S79" s="41"/>
      <c r="T79" s="41"/>
      <c r="U79" s="41"/>
      <c r="V79" s="41"/>
      <c r="W79" s="41"/>
      <c r="X79" s="41"/>
      <c r="Y79" s="41"/>
      <c r="Z79" s="41"/>
      <c r="AA79" s="41"/>
    </row>
    <row r="80" spans="1:27" ht="15.75" hidden="1" customHeight="1" x14ac:dyDescent="0.25">
      <c r="A80" s="51"/>
      <c r="B80" s="41"/>
      <c r="C80" s="41"/>
      <c r="D80" s="41"/>
      <c r="E80" s="41"/>
      <c r="F80" s="41"/>
      <c r="G80" s="41"/>
      <c r="H80" s="41"/>
      <c r="I80" s="41"/>
      <c r="J80" s="41"/>
      <c r="K80" s="41"/>
      <c r="L80" s="41"/>
      <c r="M80" s="41"/>
      <c r="N80" s="41"/>
      <c r="O80" s="41"/>
      <c r="P80" s="41"/>
      <c r="Q80" s="64"/>
      <c r="R80" s="41"/>
      <c r="S80" s="41"/>
      <c r="T80" s="41"/>
      <c r="U80" s="41"/>
      <c r="V80" s="41"/>
      <c r="W80" s="41"/>
      <c r="X80" s="41"/>
      <c r="Y80" s="41"/>
      <c r="Z80" s="41"/>
      <c r="AA80" s="41"/>
    </row>
    <row r="81" spans="1:27" ht="15.75" hidden="1" customHeight="1" x14ac:dyDescent="0.25">
      <c r="A81" s="51"/>
      <c r="B81" s="41"/>
      <c r="C81" s="41"/>
      <c r="D81" s="41"/>
      <c r="E81" s="41"/>
      <c r="F81" s="41"/>
      <c r="G81" s="41"/>
      <c r="H81" s="41"/>
      <c r="I81" s="41"/>
      <c r="J81" s="41"/>
      <c r="K81" s="41"/>
      <c r="L81" s="41"/>
      <c r="M81" s="41"/>
      <c r="N81" s="41"/>
      <c r="O81" s="41"/>
      <c r="P81" s="41"/>
      <c r="Q81" s="64"/>
      <c r="R81" s="41"/>
      <c r="S81" s="41"/>
      <c r="T81" s="41"/>
      <c r="U81" s="41"/>
      <c r="V81" s="41"/>
      <c r="W81" s="41"/>
      <c r="X81" s="41"/>
      <c r="Y81" s="41"/>
      <c r="Z81" s="41"/>
      <c r="AA81" s="41"/>
    </row>
    <row r="82" spans="1:27" ht="15.75" hidden="1" customHeight="1" x14ac:dyDescent="0.25">
      <c r="A82" s="51"/>
      <c r="B82" s="41"/>
      <c r="C82" s="41"/>
      <c r="D82" s="41"/>
      <c r="E82" s="41"/>
      <c r="F82" s="41"/>
      <c r="G82" s="41"/>
      <c r="H82" s="41"/>
      <c r="I82" s="41"/>
      <c r="J82" s="41"/>
      <c r="K82" s="41"/>
      <c r="L82" s="41"/>
      <c r="M82" s="41"/>
      <c r="N82" s="41"/>
      <c r="O82" s="41"/>
      <c r="P82" s="41"/>
      <c r="Q82" s="64"/>
      <c r="R82" s="41"/>
      <c r="S82" s="41"/>
      <c r="T82" s="41"/>
      <c r="U82" s="41"/>
      <c r="V82" s="41"/>
      <c r="W82" s="41"/>
      <c r="X82" s="41"/>
      <c r="Y82" s="41"/>
      <c r="Z82" s="41"/>
      <c r="AA82" s="41"/>
    </row>
    <row r="83" spans="1:27" ht="15.75" hidden="1" customHeight="1" x14ac:dyDescent="0.25">
      <c r="A83" s="51"/>
      <c r="B83" s="41"/>
      <c r="C83" s="41"/>
      <c r="D83" s="41"/>
      <c r="E83" s="41"/>
      <c r="F83" s="41"/>
      <c r="G83" s="41"/>
      <c r="H83" s="41"/>
      <c r="I83" s="41"/>
      <c r="J83" s="41"/>
      <c r="K83" s="41"/>
      <c r="L83" s="41"/>
      <c r="M83" s="41"/>
      <c r="N83" s="41"/>
      <c r="O83" s="41"/>
      <c r="P83" s="41"/>
      <c r="Q83" s="64"/>
      <c r="R83" s="41"/>
      <c r="S83" s="41"/>
      <c r="T83" s="41"/>
      <c r="U83" s="41"/>
      <c r="V83" s="41"/>
      <c r="W83" s="41"/>
      <c r="X83" s="41"/>
      <c r="Y83" s="41"/>
      <c r="Z83" s="41"/>
      <c r="AA83" s="41"/>
    </row>
    <row r="84" spans="1:27" ht="15.75" hidden="1" customHeight="1" x14ac:dyDescent="0.25">
      <c r="A84" s="51"/>
      <c r="B84" s="41"/>
      <c r="C84" s="41"/>
      <c r="D84" s="41"/>
      <c r="E84" s="41"/>
      <c r="F84" s="41"/>
      <c r="G84" s="41"/>
      <c r="H84" s="41"/>
      <c r="I84" s="41"/>
      <c r="J84" s="41"/>
      <c r="K84" s="41"/>
      <c r="L84" s="41"/>
      <c r="M84" s="41"/>
      <c r="N84" s="41"/>
      <c r="O84" s="41"/>
      <c r="P84" s="41"/>
      <c r="Q84" s="64"/>
      <c r="R84" s="41"/>
      <c r="S84" s="41"/>
      <c r="T84" s="41"/>
      <c r="U84" s="41"/>
      <c r="V84" s="41"/>
      <c r="W84" s="41"/>
      <c r="X84" s="41"/>
      <c r="Y84" s="41"/>
      <c r="Z84" s="41"/>
      <c r="AA84" s="41"/>
    </row>
    <row r="85" spans="1:27" ht="15.75" hidden="1" customHeight="1" x14ac:dyDescent="0.25">
      <c r="A85" s="51"/>
      <c r="B85" s="41"/>
      <c r="C85" s="41"/>
      <c r="D85" s="41"/>
      <c r="E85" s="41"/>
      <c r="F85" s="41"/>
      <c r="G85" s="41"/>
      <c r="H85" s="41"/>
      <c r="I85" s="41"/>
      <c r="J85" s="41"/>
      <c r="K85" s="41"/>
      <c r="L85" s="41"/>
      <c r="M85" s="41"/>
      <c r="N85" s="41"/>
      <c r="O85" s="41"/>
      <c r="P85" s="41"/>
      <c r="Q85" s="64"/>
      <c r="R85" s="41"/>
      <c r="S85" s="41"/>
      <c r="T85" s="41"/>
      <c r="U85" s="41"/>
      <c r="V85" s="41"/>
      <c r="W85" s="41"/>
      <c r="X85" s="41"/>
      <c r="Y85" s="41"/>
      <c r="Z85" s="41"/>
      <c r="AA85" s="41"/>
    </row>
    <row r="86" spans="1:27" ht="15.75" hidden="1" customHeight="1" x14ac:dyDescent="0.25">
      <c r="A86" s="51"/>
      <c r="B86" s="41"/>
      <c r="C86" s="41"/>
      <c r="D86" s="41"/>
      <c r="E86" s="41"/>
      <c r="F86" s="41"/>
      <c r="G86" s="41"/>
      <c r="H86" s="41"/>
      <c r="I86" s="41"/>
      <c r="J86" s="41"/>
      <c r="K86" s="41"/>
      <c r="L86" s="41"/>
      <c r="M86" s="41"/>
      <c r="N86" s="41"/>
      <c r="O86" s="41"/>
      <c r="P86" s="41"/>
      <c r="Q86" s="64"/>
      <c r="R86" s="41"/>
      <c r="S86" s="41"/>
      <c r="T86" s="41"/>
      <c r="U86" s="41"/>
      <c r="V86" s="41"/>
      <c r="W86" s="41"/>
      <c r="X86" s="41"/>
      <c r="Y86" s="41"/>
      <c r="Z86" s="41"/>
      <c r="AA86" s="41"/>
    </row>
    <row r="87" spans="1:27" ht="15.75" hidden="1" customHeight="1" x14ac:dyDescent="0.25">
      <c r="A87" s="51"/>
      <c r="B87" s="41"/>
      <c r="C87" s="41"/>
      <c r="D87" s="41"/>
      <c r="E87" s="41"/>
      <c r="F87" s="41"/>
      <c r="G87" s="41"/>
      <c r="H87" s="41"/>
      <c r="I87" s="41"/>
      <c r="J87" s="41"/>
      <c r="K87" s="41"/>
      <c r="L87" s="41"/>
      <c r="M87" s="41"/>
      <c r="N87" s="41"/>
      <c r="O87" s="41"/>
      <c r="P87" s="41"/>
      <c r="Q87" s="64"/>
      <c r="R87" s="41"/>
      <c r="S87" s="41"/>
      <c r="T87" s="41"/>
      <c r="U87" s="41"/>
      <c r="V87" s="41"/>
      <c r="W87" s="41"/>
      <c r="X87" s="41"/>
      <c r="Y87" s="41"/>
      <c r="Z87" s="41"/>
      <c r="AA87" s="41"/>
    </row>
    <row r="88" spans="1:27" ht="15.75" hidden="1" customHeight="1" x14ac:dyDescent="0.25">
      <c r="A88" s="51"/>
      <c r="B88" s="41"/>
      <c r="C88" s="41"/>
      <c r="D88" s="41"/>
      <c r="E88" s="41"/>
      <c r="F88" s="41"/>
      <c r="G88" s="41"/>
      <c r="H88" s="41"/>
      <c r="I88" s="41"/>
      <c r="J88" s="41"/>
      <c r="K88" s="41"/>
      <c r="L88" s="41"/>
      <c r="M88" s="41"/>
      <c r="N88" s="41"/>
      <c r="O88" s="41"/>
      <c r="P88" s="41"/>
      <c r="Q88" s="64"/>
      <c r="R88" s="41"/>
      <c r="S88" s="41"/>
      <c r="T88" s="41"/>
      <c r="U88" s="41"/>
      <c r="V88" s="41"/>
      <c r="W88" s="41"/>
      <c r="X88" s="41"/>
      <c r="Y88" s="41"/>
      <c r="Z88" s="41"/>
      <c r="AA88" s="41"/>
    </row>
    <row r="89" spans="1:27" ht="15.75" hidden="1" customHeight="1" x14ac:dyDescent="0.25">
      <c r="A89" s="51"/>
      <c r="B89" s="41"/>
      <c r="C89" s="41"/>
      <c r="D89" s="41"/>
      <c r="E89" s="41"/>
      <c r="F89" s="41"/>
      <c r="G89" s="41"/>
      <c r="H89" s="41"/>
      <c r="I89" s="41"/>
      <c r="J89" s="41"/>
      <c r="K89" s="41"/>
      <c r="L89" s="41"/>
      <c r="M89" s="41"/>
      <c r="N89" s="41"/>
      <c r="O89" s="41"/>
      <c r="P89" s="41"/>
      <c r="Q89" s="64"/>
      <c r="R89" s="41"/>
      <c r="S89" s="41"/>
      <c r="T89" s="41"/>
      <c r="U89" s="41"/>
      <c r="V89" s="41"/>
      <c r="W89" s="41"/>
      <c r="X89" s="41"/>
      <c r="Y89" s="41"/>
      <c r="Z89" s="41"/>
      <c r="AA89" s="41"/>
    </row>
    <row r="90" spans="1:27" ht="15.75" hidden="1" customHeight="1" x14ac:dyDescent="0.25">
      <c r="A90" s="51"/>
      <c r="B90" s="41"/>
      <c r="C90" s="41"/>
      <c r="D90" s="41"/>
      <c r="E90" s="41"/>
      <c r="F90" s="41"/>
      <c r="G90" s="41"/>
      <c r="H90" s="41"/>
      <c r="I90" s="41"/>
      <c r="J90" s="41"/>
      <c r="K90" s="41"/>
      <c r="L90" s="41"/>
      <c r="M90" s="41"/>
      <c r="N90" s="41"/>
      <c r="O90" s="41"/>
      <c r="P90" s="41"/>
      <c r="Q90" s="64"/>
      <c r="R90" s="41"/>
      <c r="S90" s="41"/>
      <c r="T90" s="41"/>
      <c r="U90" s="41"/>
      <c r="V90" s="41"/>
      <c r="W90" s="41"/>
      <c r="X90" s="41"/>
      <c r="Y90" s="41"/>
      <c r="Z90" s="41"/>
      <c r="AA90" s="41"/>
    </row>
    <row r="91" spans="1:27" ht="15.75" hidden="1" customHeight="1" x14ac:dyDescent="0.25">
      <c r="A91" s="51"/>
      <c r="B91" s="41"/>
      <c r="C91" s="41"/>
      <c r="D91" s="41"/>
      <c r="E91" s="41"/>
      <c r="F91" s="41"/>
      <c r="G91" s="41"/>
      <c r="H91" s="41"/>
      <c r="I91" s="41"/>
      <c r="J91" s="41"/>
      <c r="K91" s="41"/>
      <c r="L91" s="41"/>
      <c r="M91" s="41"/>
      <c r="N91" s="41"/>
      <c r="O91" s="41"/>
      <c r="P91" s="41"/>
      <c r="Q91" s="64"/>
      <c r="R91" s="41"/>
      <c r="S91" s="41"/>
      <c r="T91" s="41"/>
      <c r="U91" s="41"/>
      <c r="V91" s="41"/>
      <c r="W91" s="41"/>
      <c r="X91" s="41"/>
      <c r="Y91" s="41"/>
      <c r="Z91" s="41"/>
      <c r="AA91" s="41"/>
    </row>
    <row r="92" spans="1:27" ht="15.75" hidden="1" customHeight="1" x14ac:dyDescent="0.25">
      <c r="A92" s="51"/>
      <c r="B92" s="41"/>
      <c r="C92" s="41"/>
      <c r="D92" s="41"/>
      <c r="E92" s="41"/>
      <c r="F92" s="41"/>
      <c r="G92" s="41"/>
      <c r="H92" s="41"/>
      <c r="I92" s="41"/>
      <c r="J92" s="41"/>
      <c r="K92" s="41"/>
      <c r="L92" s="41"/>
      <c r="M92" s="41"/>
      <c r="N92" s="41"/>
      <c r="O92" s="41"/>
      <c r="P92" s="41"/>
      <c r="Q92" s="64"/>
      <c r="R92" s="41"/>
      <c r="S92" s="41"/>
      <c r="T92" s="41"/>
      <c r="U92" s="41"/>
      <c r="V92" s="41"/>
      <c r="W92" s="41"/>
      <c r="X92" s="41"/>
      <c r="Y92" s="41"/>
      <c r="Z92" s="41"/>
      <c r="AA92" s="41"/>
    </row>
    <row r="93" spans="1:27" ht="15.75" hidden="1" customHeight="1" x14ac:dyDescent="0.25">
      <c r="A93" s="51"/>
      <c r="B93" s="41"/>
      <c r="C93" s="41"/>
      <c r="D93" s="41"/>
      <c r="E93" s="41"/>
      <c r="F93" s="41"/>
      <c r="G93" s="41"/>
      <c r="H93" s="41"/>
      <c r="I93" s="41"/>
      <c r="J93" s="41"/>
      <c r="K93" s="41"/>
      <c r="L93" s="41"/>
      <c r="M93" s="41"/>
      <c r="N93" s="41"/>
      <c r="O93" s="41"/>
      <c r="P93" s="41"/>
      <c r="Q93" s="64"/>
      <c r="R93" s="41"/>
      <c r="S93" s="41"/>
      <c r="T93" s="41"/>
      <c r="U93" s="41"/>
      <c r="V93" s="41"/>
      <c r="W93" s="41"/>
      <c r="X93" s="41"/>
      <c r="Y93" s="41"/>
      <c r="Z93" s="41"/>
      <c r="AA93" s="41"/>
    </row>
    <row r="94" spans="1:27" ht="15.75" hidden="1" customHeight="1" x14ac:dyDescent="0.25">
      <c r="A94" s="51"/>
      <c r="B94" s="41"/>
      <c r="C94" s="41"/>
      <c r="D94" s="41"/>
      <c r="E94" s="41"/>
      <c r="F94" s="41"/>
      <c r="G94" s="41"/>
      <c r="H94" s="41"/>
      <c r="I94" s="41"/>
      <c r="J94" s="41"/>
      <c r="K94" s="41"/>
      <c r="L94" s="41"/>
      <c r="M94" s="41"/>
      <c r="N94" s="41"/>
      <c r="O94" s="41"/>
      <c r="P94" s="41"/>
      <c r="Q94" s="64"/>
      <c r="R94" s="41"/>
      <c r="S94" s="41"/>
      <c r="T94" s="41"/>
      <c r="U94" s="41"/>
      <c r="V94" s="41"/>
      <c r="W94" s="41"/>
      <c r="X94" s="41"/>
      <c r="Y94" s="41"/>
      <c r="Z94" s="41"/>
      <c r="AA94" s="41"/>
    </row>
    <row r="95" spans="1:27" ht="15.75" hidden="1" customHeight="1" x14ac:dyDescent="0.25">
      <c r="A95" s="51"/>
      <c r="B95" s="41"/>
      <c r="C95" s="41"/>
      <c r="D95" s="41"/>
      <c r="E95" s="41"/>
      <c r="F95" s="41"/>
      <c r="G95" s="41"/>
      <c r="H95" s="41"/>
      <c r="I95" s="41"/>
      <c r="J95" s="41"/>
      <c r="K95" s="41"/>
      <c r="L95" s="41"/>
      <c r="M95" s="41"/>
      <c r="N95" s="41"/>
      <c r="O95" s="41"/>
      <c r="P95" s="41"/>
      <c r="Q95" s="64"/>
      <c r="R95" s="41"/>
      <c r="S95" s="41"/>
      <c r="T95" s="41"/>
      <c r="U95" s="41"/>
      <c r="V95" s="41"/>
      <c r="W95" s="41"/>
      <c r="X95" s="41"/>
      <c r="Y95" s="41"/>
      <c r="Z95" s="41"/>
      <c r="AA95" s="41"/>
    </row>
    <row r="96" spans="1:27" ht="15.75" hidden="1" customHeight="1" x14ac:dyDescent="0.25">
      <c r="A96" s="51"/>
      <c r="B96" s="41"/>
      <c r="C96" s="41"/>
      <c r="D96" s="41"/>
      <c r="E96" s="41"/>
      <c r="F96" s="41"/>
      <c r="G96" s="41"/>
      <c r="H96" s="41"/>
      <c r="I96" s="41"/>
      <c r="J96" s="41"/>
      <c r="K96" s="41"/>
      <c r="L96" s="41"/>
      <c r="M96" s="41"/>
      <c r="N96" s="41"/>
      <c r="O96" s="41"/>
      <c r="P96" s="41"/>
      <c r="Q96" s="64"/>
      <c r="R96" s="41"/>
      <c r="S96" s="41"/>
      <c r="T96" s="41"/>
      <c r="U96" s="41"/>
      <c r="V96" s="41"/>
      <c r="W96" s="41"/>
      <c r="X96" s="41"/>
      <c r="Y96" s="41"/>
      <c r="Z96" s="41"/>
      <c r="AA96" s="41"/>
    </row>
    <row r="97" spans="1:27" ht="15.75" hidden="1" customHeight="1" x14ac:dyDescent="0.25">
      <c r="A97" s="51"/>
      <c r="B97" s="41"/>
      <c r="C97" s="41"/>
      <c r="D97" s="41"/>
      <c r="E97" s="41"/>
      <c r="F97" s="41"/>
      <c r="G97" s="41"/>
      <c r="H97" s="41"/>
      <c r="I97" s="41"/>
      <c r="J97" s="41"/>
      <c r="K97" s="41"/>
      <c r="L97" s="41"/>
      <c r="M97" s="41"/>
      <c r="N97" s="41"/>
      <c r="O97" s="41"/>
      <c r="P97" s="41"/>
      <c r="Q97" s="64"/>
      <c r="R97" s="41"/>
      <c r="S97" s="41"/>
      <c r="T97" s="41"/>
      <c r="U97" s="41"/>
      <c r="V97" s="41"/>
      <c r="W97" s="41"/>
      <c r="X97" s="41"/>
      <c r="Y97" s="41"/>
      <c r="Z97" s="41"/>
      <c r="AA97" s="41"/>
    </row>
    <row r="98" spans="1:27" ht="15.75" hidden="1" customHeight="1" x14ac:dyDescent="0.25">
      <c r="A98" s="51"/>
      <c r="B98" s="41"/>
      <c r="C98" s="41"/>
      <c r="D98" s="41"/>
      <c r="E98" s="41"/>
      <c r="F98" s="41"/>
      <c r="G98" s="41"/>
      <c r="H98" s="41"/>
      <c r="I98" s="41"/>
      <c r="J98" s="41"/>
      <c r="K98" s="41"/>
      <c r="L98" s="41"/>
      <c r="M98" s="41"/>
      <c r="N98" s="41"/>
      <c r="O98" s="41"/>
      <c r="P98" s="41"/>
      <c r="Q98" s="64"/>
      <c r="R98" s="41"/>
      <c r="S98" s="41"/>
      <c r="T98" s="41"/>
      <c r="U98" s="41"/>
      <c r="V98" s="41"/>
      <c r="W98" s="41"/>
      <c r="X98" s="41"/>
      <c r="Y98" s="41"/>
      <c r="Z98" s="41"/>
      <c r="AA98" s="41"/>
    </row>
    <row r="99" spans="1:27" ht="15.75" hidden="1" customHeight="1" x14ac:dyDescent="0.25">
      <c r="A99" s="51"/>
      <c r="B99" s="41"/>
      <c r="C99" s="41"/>
      <c r="D99" s="41"/>
      <c r="E99" s="41"/>
      <c r="F99" s="41"/>
      <c r="G99" s="41"/>
      <c r="H99" s="41"/>
      <c r="I99" s="41"/>
      <c r="J99" s="41"/>
      <c r="K99" s="41"/>
      <c r="L99" s="41"/>
      <c r="M99" s="41"/>
      <c r="N99" s="41"/>
      <c r="O99" s="41"/>
      <c r="P99" s="41"/>
      <c r="Q99" s="64"/>
      <c r="R99" s="41"/>
      <c r="S99" s="41"/>
      <c r="T99" s="41"/>
      <c r="U99" s="41"/>
      <c r="V99" s="41"/>
      <c r="W99" s="41"/>
      <c r="X99" s="41"/>
      <c r="Y99" s="41"/>
      <c r="Z99" s="41"/>
      <c r="AA99" s="41"/>
    </row>
    <row r="100" spans="1:27" ht="15.75" hidden="1" customHeight="1" x14ac:dyDescent="0.25">
      <c r="A100" s="51"/>
      <c r="B100" s="41"/>
      <c r="C100" s="41"/>
      <c r="D100" s="41"/>
      <c r="E100" s="41"/>
      <c r="F100" s="41"/>
      <c r="G100" s="41"/>
      <c r="H100" s="41"/>
      <c r="I100" s="41"/>
      <c r="J100" s="41"/>
      <c r="K100" s="41"/>
      <c r="L100" s="41"/>
      <c r="M100" s="41"/>
      <c r="N100" s="41"/>
      <c r="O100" s="41"/>
      <c r="P100" s="41"/>
      <c r="Q100" s="64"/>
      <c r="R100" s="41"/>
      <c r="S100" s="41"/>
      <c r="T100" s="41"/>
      <c r="U100" s="41"/>
      <c r="V100" s="41"/>
      <c r="W100" s="41"/>
      <c r="X100" s="41"/>
      <c r="Y100" s="41"/>
      <c r="Z100" s="41"/>
      <c r="AA100" s="41"/>
    </row>
    <row r="101" spans="1:27" ht="15.75" hidden="1" customHeight="1" x14ac:dyDescent="0.25">
      <c r="A101" s="51"/>
      <c r="B101" s="41"/>
      <c r="C101" s="41"/>
      <c r="D101" s="41"/>
      <c r="E101" s="41"/>
      <c r="F101" s="41"/>
      <c r="G101" s="41"/>
      <c r="H101" s="41"/>
      <c r="I101" s="41"/>
      <c r="J101" s="41"/>
      <c r="K101" s="41"/>
      <c r="L101" s="41"/>
      <c r="M101" s="41"/>
      <c r="N101" s="41"/>
      <c r="O101" s="41"/>
      <c r="P101" s="41"/>
      <c r="Q101" s="64"/>
      <c r="R101" s="41"/>
      <c r="S101" s="41"/>
      <c r="T101" s="41"/>
      <c r="U101" s="41"/>
      <c r="V101" s="41"/>
      <c r="W101" s="41"/>
      <c r="X101" s="41"/>
      <c r="Y101" s="41"/>
      <c r="Z101" s="41"/>
      <c r="AA101" s="41"/>
    </row>
    <row r="102" spans="1:27" ht="15.75" hidden="1" customHeight="1" x14ac:dyDescent="0.25">
      <c r="A102" s="51"/>
      <c r="B102" s="41"/>
      <c r="C102" s="41"/>
      <c r="D102" s="41"/>
      <c r="E102" s="41"/>
      <c r="F102" s="41"/>
      <c r="G102" s="41"/>
      <c r="H102" s="41"/>
      <c r="I102" s="41"/>
      <c r="J102" s="41"/>
      <c r="K102" s="41"/>
      <c r="L102" s="41"/>
      <c r="M102" s="41"/>
      <c r="N102" s="41"/>
      <c r="O102" s="41"/>
      <c r="P102" s="41"/>
      <c r="Q102" s="64"/>
      <c r="R102" s="41"/>
      <c r="S102" s="41"/>
      <c r="T102" s="41"/>
      <c r="U102" s="41"/>
      <c r="V102" s="41"/>
      <c r="W102" s="41"/>
      <c r="X102" s="41"/>
      <c r="Y102" s="41"/>
      <c r="Z102" s="41"/>
      <c r="AA102" s="41"/>
    </row>
    <row r="103" spans="1:27" ht="15.75" hidden="1" customHeight="1" x14ac:dyDescent="0.25">
      <c r="A103" s="51"/>
      <c r="B103" s="41"/>
      <c r="C103" s="41"/>
      <c r="D103" s="41"/>
      <c r="E103" s="41"/>
      <c r="F103" s="41"/>
      <c r="G103" s="41"/>
      <c r="H103" s="41"/>
      <c r="I103" s="41"/>
      <c r="J103" s="41"/>
      <c r="K103" s="41"/>
      <c r="L103" s="41"/>
      <c r="M103" s="41"/>
      <c r="N103" s="41"/>
      <c r="O103" s="41"/>
      <c r="P103" s="41"/>
      <c r="Q103" s="64"/>
      <c r="R103" s="41"/>
      <c r="S103" s="41"/>
      <c r="T103" s="41"/>
      <c r="U103" s="41"/>
      <c r="V103" s="41"/>
      <c r="W103" s="41"/>
      <c r="X103" s="41"/>
      <c r="Y103" s="41"/>
      <c r="Z103" s="41"/>
      <c r="AA103" s="41"/>
    </row>
    <row r="104" spans="1:27" ht="15.75" hidden="1" customHeight="1" x14ac:dyDescent="0.25">
      <c r="A104" s="51"/>
      <c r="B104" s="41"/>
      <c r="C104" s="41"/>
      <c r="D104" s="41"/>
      <c r="E104" s="41"/>
      <c r="F104" s="41"/>
      <c r="G104" s="41"/>
      <c r="H104" s="41"/>
      <c r="I104" s="41"/>
      <c r="J104" s="41"/>
      <c r="K104" s="41"/>
      <c r="L104" s="41"/>
      <c r="M104" s="41"/>
      <c r="N104" s="41"/>
      <c r="O104" s="41"/>
      <c r="P104" s="41"/>
      <c r="Q104" s="64"/>
      <c r="R104" s="41"/>
      <c r="S104" s="41"/>
      <c r="T104" s="41"/>
      <c r="U104" s="41"/>
      <c r="V104" s="41"/>
      <c r="W104" s="41"/>
      <c r="X104" s="41"/>
      <c r="Y104" s="41"/>
      <c r="Z104" s="41"/>
      <c r="AA104" s="41"/>
    </row>
    <row r="105" spans="1:27" ht="15.75" hidden="1" customHeight="1" x14ac:dyDescent="0.25">
      <c r="A105" s="51"/>
      <c r="B105" s="41"/>
      <c r="C105" s="41"/>
      <c r="D105" s="41"/>
      <c r="E105" s="41"/>
      <c r="F105" s="41"/>
      <c r="G105" s="41"/>
      <c r="H105" s="41"/>
      <c r="I105" s="41"/>
      <c r="J105" s="41"/>
      <c r="K105" s="41"/>
      <c r="L105" s="41"/>
      <c r="M105" s="41"/>
      <c r="N105" s="41"/>
      <c r="O105" s="41"/>
      <c r="P105" s="41"/>
      <c r="Q105" s="64"/>
      <c r="R105" s="41"/>
      <c r="S105" s="41"/>
      <c r="T105" s="41"/>
      <c r="U105" s="41"/>
      <c r="V105" s="41"/>
      <c r="W105" s="41"/>
      <c r="X105" s="41"/>
      <c r="Y105" s="41"/>
      <c r="Z105" s="41"/>
      <c r="AA105" s="41"/>
    </row>
    <row r="106" spans="1:27" ht="15.75" hidden="1" customHeight="1" x14ac:dyDescent="0.25">
      <c r="A106" s="51"/>
      <c r="B106" s="41"/>
      <c r="C106" s="41"/>
      <c r="D106" s="41"/>
      <c r="E106" s="41"/>
      <c r="F106" s="41"/>
      <c r="G106" s="41"/>
      <c r="H106" s="41"/>
      <c r="I106" s="41"/>
      <c r="J106" s="41"/>
      <c r="K106" s="41"/>
      <c r="L106" s="41"/>
      <c r="M106" s="41"/>
      <c r="N106" s="41"/>
      <c r="O106" s="41"/>
      <c r="P106" s="41"/>
      <c r="Q106" s="64"/>
      <c r="R106" s="41"/>
      <c r="S106" s="41"/>
      <c r="T106" s="41"/>
      <c r="U106" s="41"/>
      <c r="V106" s="41"/>
      <c r="W106" s="41"/>
      <c r="X106" s="41"/>
      <c r="Y106" s="41"/>
      <c r="Z106" s="41"/>
      <c r="AA106" s="41"/>
    </row>
    <row r="107" spans="1:27" ht="15.75" hidden="1" customHeight="1" x14ac:dyDescent="0.25">
      <c r="A107" s="51"/>
      <c r="B107" s="41"/>
      <c r="C107" s="41"/>
      <c r="D107" s="41"/>
      <c r="E107" s="41"/>
      <c r="F107" s="41"/>
      <c r="G107" s="41"/>
      <c r="H107" s="41"/>
      <c r="I107" s="41"/>
      <c r="J107" s="41"/>
      <c r="K107" s="41"/>
      <c r="L107" s="41"/>
      <c r="M107" s="41"/>
      <c r="N107" s="41"/>
      <c r="O107" s="41"/>
      <c r="P107" s="41"/>
      <c r="Q107" s="64"/>
      <c r="R107" s="41"/>
      <c r="S107" s="41"/>
      <c r="T107" s="41"/>
      <c r="U107" s="41"/>
      <c r="V107" s="41"/>
      <c r="W107" s="41"/>
      <c r="X107" s="41"/>
      <c r="Y107" s="41"/>
      <c r="Z107" s="41"/>
      <c r="AA107" s="41"/>
    </row>
    <row r="108" spans="1:27" ht="15.75" hidden="1" customHeight="1" x14ac:dyDescent="0.25">
      <c r="A108" s="51"/>
      <c r="B108" s="41"/>
      <c r="C108" s="41"/>
      <c r="D108" s="41"/>
      <c r="E108" s="41"/>
      <c r="F108" s="41"/>
      <c r="G108" s="41"/>
      <c r="H108" s="41"/>
      <c r="I108" s="41"/>
      <c r="J108" s="41"/>
      <c r="K108" s="41"/>
      <c r="L108" s="41"/>
      <c r="M108" s="41"/>
      <c r="N108" s="41"/>
      <c r="O108" s="41"/>
      <c r="P108" s="41"/>
      <c r="Q108" s="64"/>
      <c r="R108" s="41"/>
      <c r="S108" s="41"/>
      <c r="T108" s="41"/>
      <c r="U108" s="41"/>
      <c r="V108" s="41"/>
      <c r="W108" s="41"/>
      <c r="X108" s="41"/>
      <c r="Y108" s="41"/>
      <c r="Z108" s="41"/>
      <c r="AA108" s="41"/>
    </row>
    <row r="109" spans="1:27" ht="15.75" hidden="1" customHeight="1" x14ac:dyDescent="0.25">
      <c r="A109" s="51"/>
      <c r="B109" s="41"/>
      <c r="C109" s="41"/>
      <c r="D109" s="41"/>
      <c r="E109" s="41"/>
      <c r="F109" s="41"/>
      <c r="G109" s="41"/>
      <c r="H109" s="41"/>
      <c r="I109" s="41"/>
      <c r="J109" s="41"/>
      <c r="K109" s="41"/>
      <c r="L109" s="41"/>
      <c r="M109" s="41"/>
      <c r="N109" s="41"/>
      <c r="O109" s="41"/>
      <c r="P109" s="41"/>
      <c r="Q109" s="64"/>
      <c r="R109" s="41"/>
      <c r="S109" s="41"/>
      <c r="T109" s="41"/>
      <c r="U109" s="41"/>
      <c r="V109" s="41"/>
      <c r="W109" s="41"/>
      <c r="X109" s="41"/>
      <c r="Y109" s="41"/>
      <c r="Z109" s="41"/>
      <c r="AA109" s="41"/>
    </row>
    <row r="110" spans="1:27" ht="15.75" hidden="1" customHeight="1" x14ac:dyDescent="0.25">
      <c r="A110" s="51"/>
      <c r="B110" s="41"/>
      <c r="C110" s="41"/>
      <c r="D110" s="41"/>
      <c r="E110" s="41"/>
      <c r="F110" s="41"/>
      <c r="G110" s="41"/>
      <c r="H110" s="41"/>
      <c r="I110" s="41"/>
      <c r="J110" s="41"/>
      <c r="K110" s="41"/>
      <c r="L110" s="41"/>
      <c r="M110" s="41"/>
      <c r="N110" s="41"/>
      <c r="O110" s="41"/>
      <c r="P110" s="41"/>
      <c r="Q110" s="64"/>
      <c r="R110" s="41"/>
      <c r="S110" s="41"/>
      <c r="T110" s="41"/>
      <c r="U110" s="41"/>
      <c r="V110" s="41"/>
      <c r="W110" s="41"/>
      <c r="X110" s="41"/>
      <c r="Y110" s="41"/>
      <c r="Z110" s="41"/>
      <c r="AA110" s="41"/>
    </row>
    <row r="111" spans="1:27" ht="15.75" hidden="1" customHeight="1" x14ac:dyDescent="0.25">
      <c r="A111" s="51"/>
      <c r="B111" s="41"/>
      <c r="C111" s="41"/>
      <c r="D111" s="41"/>
      <c r="E111" s="41"/>
      <c r="F111" s="41"/>
      <c r="G111" s="41"/>
      <c r="H111" s="41"/>
      <c r="I111" s="41"/>
      <c r="J111" s="41"/>
      <c r="K111" s="41"/>
      <c r="L111" s="41"/>
      <c r="M111" s="41"/>
      <c r="N111" s="41"/>
      <c r="O111" s="41"/>
      <c r="P111" s="41"/>
      <c r="Q111" s="64"/>
      <c r="R111" s="41"/>
      <c r="S111" s="41"/>
      <c r="T111" s="41"/>
      <c r="U111" s="41"/>
      <c r="V111" s="41"/>
      <c r="W111" s="41"/>
      <c r="X111" s="41"/>
      <c r="Y111" s="41"/>
      <c r="Z111" s="41"/>
      <c r="AA111" s="41"/>
    </row>
    <row r="112" spans="1:27" ht="15.75" hidden="1" customHeight="1" x14ac:dyDescent="0.25">
      <c r="A112" s="51"/>
      <c r="B112" s="41"/>
      <c r="C112" s="41"/>
      <c r="D112" s="41"/>
      <c r="E112" s="41"/>
      <c r="F112" s="41"/>
      <c r="G112" s="41"/>
      <c r="H112" s="41"/>
      <c r="I112" s="41"/>
      <c r="J112" s="41"/>
      <c r="K112" s="41"/>
      <c r="L112" s="41"/>
      <c r="M112" s="41"/>
      <c r="N112" s="41"/>
      <c r="O112" s="41"/>
      <c r="P112" s="41"/>
      <c r="Q112" s="64"/>
      <c r="R112" s="41"/>
      <c r="S112" s="41"/>
      <c r="T112" s="41"/>
      <c r="U112" s="41"/>
      <c r="V112" s="41"/>
      <c r="W112" s="41"/>
      <c r="X112" s="41"/>
      <c r="Y112" s="41"/>
      <c r="Z112" s="41"/>
      <c r="AA112" s="41"/>
    </row>
    <row r="113" spans="1:27" ht="15.75" hidden="1" customHeight="1" x14ac:dyDescent="0.25">
      <c r="A113" s="51"/>
      <c r="B113" s="41"/>
      <c r="C113" s="41"/>
      <c r="D113" s="41"/>
      <c r="E113" s="41"/>
      <c r="F113" s="41"/>
      <c r="G113" s="41"/>
      <c r="H113" s="41"/>
      <c r="I113" s="41"/>
      <c r="J113" s="41"/>
      <c r="K113" s="41"/>
      <c r="L113" s="41"/>
      <c r="M113" s="41"/>
      <c r="N113" s="41"/>
      <c r="O113" s="41"/>
      <c r="P113" s="41"/>
      <c r="Q113" s="64"/>
      <c r="R113" s="41"/>
      <c r="S113" s="41"/>
      <c r="T113" s="41"/>
      <c r="U113" s="41"/>
      <c r="V113" s="41"/>
      <c r="W113" s="41"/>
      <c r="X113" s="41"/>
      <c r="Y113" s="41"/>
      <c r="Z113" s="41"/>
      <c r="AA113" s="41"/>
    </row>
    <row r="114" spans="1:27" ht="15.75" hidden="1" customHeight="1" x14ac:dyDescent="0.25">
      <c r="A114" s="51"/>
      <c r="B114" s="41"/>
      <c r="C114" s="41"/>
      <c r="D114" s="41"/>
      <c r="E114" s="41"/>
      <c r="F114" s="41"/>
      <c r="G114" s="41"/>
      <c r="H114" s="41"/>
      <c r="I114" s="41"/>
      <c r="J114" s="41"/>
      <c r="K114" s="41"/>
      <c r="L114" s="41"/>
      <c r="M114" s="41"/>
      <c r="N114" s="41"/>
      <c r="O114" s="41"/>
      <c r="P114" s="41"/>
      <c r="Q114" s="64"/>
      <c r="R114" s="41"/>
      <c r="S114" s="41"/>
      <c r="T114" s="41"/>
      <c r="U114" s="41"/>
      <c r="V114" s="41"/>
      <c r="W114" s="41"/>
      <c r="X114" s="41"/>
      <c r="Y114" s="41"/>
      <c r="Z114" s="41"/>
      <c r="AA114" s="41"/>
    </row>
    <row r="115" spans="1:27" ht="15.75" hidden="1" customHeight="1" x14ac:dyDescent="0.25">
      <c r="A115" s="51"/>
      <c r="B115" s="41"/>
      <c r="C115" s="41"/>
      <c r="D115" s="41"/>
      <c r="E115" s="41"/>
      <c r="F115" s="41"/>
      <c r="G115" s="41"/>
      <c r="H115" s="41"/>
      <c r="I115" s="41"/>
      <c r="J115" s="41"/>
      <c r="K115" s="41"/>
      <c r="L115" s="41"/>
      <c r="M115" s="41"/>
      <c r="N115" s="41"/>
      <c r="O115" s="41"/>
      <c r="P115" s="41"/>
      <c r="Q115" s="64"/>
      <c r="R115" s="41"/>
      <c r="S115" s="41"/>
      <c r="T115" s="41"/>
      <c r="U115" s="41"/>
      <c r="V115" s="41"/>
      <c r="W115" s="41"/>
      <c r="X115" s="41"/>
      <c r="Y115" s="41"/>
      <c r="Z115" s="41"/>
      <c r="AA115" s="41"/>
    </row>
    <row r="116" spans="1:27" ht="15.75" hidden="1" customHeight="1" x14ac:dyDescent="0.25">
      <c r="A116" s="51"/>
      <c r="B116" s="41"/>
      <c r="C116" s="41"/>
      <c r="D116" s="41"/>
      <c r="E116" s="41"/>
      <c r="F116" s="41"/>
      <c r="G116" s="41"/>
      <c r="H116" s="41"/>
      <c r="I116" s="41"/>
      <c r="J116" s="41"/>
      <c r="K116" s="41"/>
      <c r="L116" s="41"/>
      <c r="M116" s="41"/>
      <c r="N116" s="41"/>
      <c r="O116" s="41"/>
      <c r="P116" s="41"/>
      <c r="Q116" s="64"/>
      <c r="R116" s="41"/>
      <c r="S116" s="41"/>
      <c r="T116" s="41"/>
      <c r="U116" s="41"/>
      <c r="V116" s="41"/>
      <c r="W116" s="41"/>
      <c r="X116" s="41"/>
      <c r="Y116" s="41"/>
      <c r="Z116" s="41"/>
      <c r="AA116" s="41"/>
    </row>
    <row r="117" spans="1:27" ht="15.75" hidden="1" customHeight="1" x14ac:dyDescent="0.25">
      <c r="A117" s="51"/>
      <c r="B117" s="41"/>
      <c r="C117" s="41"/>
      <c r="D117" s="41"/>
      <c r="E117" s="41"/>
      <c r="F117" s="41"/>
      <c r="G117" s="41"/>
      <c r="H117" s="41"/>
      <c r="I117" s="41"/>
      <c r="J117" s="41"/>
      <c r="K117" s="41"/>
      <c r="L117" s="41"/>
      <c r="M117" s="41"/>
      <c r="N117" s="41"/>
      <c r="O117" s="41"/>
      <c r="P117" s="41"/>
      <c r="Q117" s="64"/>
      <c r="R117" s="41"/>
      <c r="S117" s="41"/>
      <c r="T117" s="41"/>
      <c r="U117" s="41"/>
      <c r="V117" s="41"/>
      <c r="W117" s="41"/>
      <c r="X117" s="41"/>
      <c r="Y117" s="41"/>
      <c r="Z117" s="41"/>
      <c r="AA117" s="41"/>
    </row>
    <row r="118" spans="1:27" ht="15.75" hidden="1" customHeight="1" x14ac:dyDescent="0.25">
      <c r="A118" s="51"/>
      <c r="B118" s="41"/>
      <c r="C118" s="41"/>
      <c r="D118" s="41"/>
      <c r="E118" s="41"/>
      <c r="F118" s="41"/>
      <c r="G118" s="41"/>
      <c r="H118" s="41"/>
      <c r="I118" s="41"/>
      <c r="J118" s="41"/>
      <c r="K118" s="41"/>
      <c r="L118" s="41"/>
      <c r="M118" s="41"/>
      <c r="N118" s="41"/>
      <c r="O118" s="41"/>
      <c r="P118" s="41"/>
      <c r="Q118" s="64"/>
      <c r="R118" s="41"/>
      <c r="S118" s="41"/>
      <c r="T118" s="41"/>
      <c r="U118" s="41"/>
      <c r="V118" s="41"/>
      <c r="W118" s="41"/>
      <c r="X118" s="41"/>
      <c r="Y118" s="41"/>
      <c r="Z118" s="41"/>
      <c r="AA118" s="41"/>
    </row>
    <row r="119" spans="1:27" ht="15.75" hidden="1" customHeight="1" x14ac:dyDescent="0.25">
      <c r="A119" s="51"/>
      <c r="B119" s="41"/>
      <c r="C119" s="41"/>
      <c r="D119" s="41"/>
      <c r="E119" s="41"/>
      <c r="F119" s="41"/>
      <c r="G119" s="41"/>
      <c r="H119" s="41"/>
      <c r="I119" s="41"/>
      <c r="J119" s="41"/>
      <c r="K119" s="41"/>
      <c r="L119" s="41"/>
      <c r="M119" s="41"/>
      <c r="N119" s="41"/>
      <c r="O119" s="41"/>
      <c r="P119" s="41"/>
      <c r="Q119" s="64"/>
      <c r="R119" s="41"/>
      <c r="S119" s="41"/>
      <c r="T119" s="41"/>
      <c r="U119" s="41"/>
      <c r="V119" s="41"/>
      <c r="W119" s="41"/>
      <c r="X119" s="41"/>
      <c r="Y119" s="41"/>
      <c r="Z119" s="41"/>
      <c r="AA119" s="41"/>
    </row>
    <row r="120" spans="1:27" ht="15.75" hidden="1" customHeight="1" x14ac:dyDescent="0.25">
      <c r="A120" s="51"/>
      <c r="B120" s="41"/>
      <c r="C120" s="41"/>
      <c r="D120" s="41"/>
      <c r="E120" s="41"/>
      <c r="F120" s="41"/>
      <c r="G120" s="41"/>
      <c r="H120" s="41"/>
      <c r="I120" s="41"/>
      <c r="J120" s="41"/>
      <c r="K120" s="41"/>
      <c r="L120" s="41"/>
      <c r="M120" s="41"/>
      <c r="N120" s="41"/>
      <c r="O120" s="41"/>
      <c r="P120" s="41"/>
      <c r="Q120" s="64"/>
      <c r="R120" s="41"/>
      <c r="S120" s="41"/>
      <c r="T120" s="41"/>
      <c r="U120" s="41"/>
      <c r="V120" s="41"/>
      <c r="W120" s="41"/>
      <c r="X120" s="41"/>
      <c r="Y120" s="41"/>
      <c r="Z120" s="41"/>
      <c r="AA120" s="41"/>
    </row>
    <row r="121" spans="1:27" ht="15.75" hidden="1" customHeight="1" x14ac:dyDescent="0.25">
      <c r="A121" s="51"/>
      <c r="B121" s="41"/>
      <c r="C121" s="41"/>
      <c r="D121" s="41"/>
      <c r="E121" s="41"/>
      <c r="F121" s="41"/>
      <c r="G121" s="41"/>
      <c r="H121" s="41"/>
      <c r="I121" s="41"/>
      <c r="J121" s="41"/>
      <c r="K121" s="41"/>
      <c r="L121" s="41"/>
      <c r="M121" s="41"/>
      <c r="N121" s="41"/>
      <c r="O121" s="41"/>
      <c r="P121" s="41"/>
      <c r="Q121" s="64"/>
      <c r="R121" s="41"/>
      <c r="S121" s="41"/>
      <c r="T121" s="41"/>
      <c r="U121" s="41"/>
      <c r="V121" s="41"/>
      <c r="W121" s="41"/>
      <c r="X121" s="41"/>
      <c r="Y121" s="41"/>
      <c r="Z121" s="41"/>
      <c r="AA121" s="41"/>
    </row>
    <row r="122" spans="1:27" ht="15.75" hidden="1" customHeight="1" x14ac:dyDescent="0.25">
      <c r="A122" s="51"/>
      <c r="B122" s="41"/>
      <c r="C122" s="41"/>
      <c r="D122" s="41"/>
      <c r="E122" s="41"/>
      <c r="F122" s="41"/>
      <c r="G122" s="41"/>
      <c r="H122" s="41"/>
      <c r="I122" s="41"/>
      <c r="J122" s="41"/>
      <c r="K122" s="41"/>
      <c r="L122" s="41"/>
      <c r="M122" s="41"/>
      <c r="N122" s="41"/>
      <c r="O122" s="41"/>
      <c r="P122" s="41"/>
      <c r="Q122" s="64"/>
      <c r="R122" s="41"/>
      <c r="S122" s="41"/>
      <c r="T122" s="41"/>
      <c r="U122" s="41"/>
      <c r="V122" s="41"/>
      <c r="W122" s="41"/>
      <c r="X122" s="41"/>
      <c r="Y122" s="41"/>
      <c r="Z122" s="41"/>
      <c r="AA122" s="41"/>
    </row>
    <row r="123" spans="1:27" ht="15.75" hidden="1" customHeight="1" x14ac:dyDescent="0.25">
      <c r="A123" s="51"/>
      <c r="B123" s="41"/>
      <c r="C123" s="41"/>
      <c r="D123" s="41"/>
      <c r="E123" s="41"/>
      <c r="F123" s="41"/>
      <c r="G123" s="41"/>
      <c r="H123" s="41"/>
      <c r="I123" s="41"/>
      <c r="J123" s="41"/>
      <c r="K123" s="41"/>
      <c r="L123" s="41"/>
      <c r="M123" s="41"/>
      <c r="N123" s="41"/>
      <c r="O123" s="41"/>
      <c r="P123" s="41"/>
      <c r="Q123" s="64"/>
      <c r="R123" s="41"/>
      <c r="S123" s="41"/>
      <c r="T123" s="41"/>
      <c r="U123" s="41"/>
      <c r="V123" s="41"/>
      <c r="W123" s="41"/>
      <c r="X123" s="41"/>
      <c r="Y123" s="41"/>
      <c r="Z123" s="41"/>
      <c r="AA123" s="41"/>
    </row>
    <row r="124" spans="1:27" ht="15.75" hidden="1" customHeight="1" x14ac:dyDescent="0.25">
      <c r="A124" s="51"/>
      <c r="B124" s="41"/>
      <c r="C124" s="41"/>
      <c r="D124" s="41"/>
      <c r="E124" s="41"/>
      <c r="F124" s="41"/>
      <c r="G124" s="41"/>
      <c r="H124" s="41"/>
      <c r="I124" s="41"/>
      <c r="J124" s="41"/>
      <c r="K124" s="41"/>
      <c r="L124" s="41"/>
      <c r="M124" s="41"/>
      <c r="N124" s="41"/>
      <c r="O124" s="41"/>
      <c r="P124" s="41"/>
      <c r="Q124" s="64"/>
      <c r="R124" s="41"/>
      <c r="S124" s="41"/>
      <c r="T124" s="41"/>
      <c r="U124" s="41"/>
      <c r="V124" s="41"/>
      <c r="W124" s="41"/>
      <c r="X124" s="41"/>
      <c r="Y124" s="41"/>
      <c r="Z124" s="41"/>
      <c r="AA124" s="41"/>
    </row>
    <row r="125" spans="1:27" ht="15.75" hidden="1" customHeight="1" x14ac:dyDescent="0.25">
      <c r="A125" s="51"/>
      <c r="B125" s="41"/>
      <c r="C125" s="41"/>
      <c r="D125" s="41"/>
      <c r="E125" s="41"/>
      <c r="F125" s="41"/>
      <c r="G125" s="41"/>
      <c r="H125" s="41"/>
      <c r="I125" s="41"/>
      <c r="J125" s="41"/>
      <c r="K125" s="41"/>
      <c r="L125" s="41"/>
      <c r="M125" s="41"/>
      <c r="N125" s="41"/>
      <c r="O125" s="41"/>
      <c r="P125" s="41"/>
      <c r="Q125" s="64"/>
      <c r="R125" s="41"/>
      <c r="S125" s="41"/>
      <c r="T125" s="41"/>
      <c r="U125" s="41"/>
      <c r="V125" s="41"/>
      <c r="W125" s="41"/>
      <c r="X125" s="41"/>
      <c r="Y125" s="41"/>
      <c r="Z125" s="41"/>
      <c r="AA125" s="41"/>
    </row>
    <row r="126" spans="1:27" ht="15.75" hidden="1" customHeight="1" x14ac:dyDescent="0.25">
      <c r="A126" s="51"/>
      <c r="B126" s="41"/>
      <c r="C126" s="41"/>
      <c r="D126" s="41"/>
      <c r="E126" s="41"/>
      <c r="F126" s="41"/>
      <c r="G126" s="41"/>
      <c r="H126" s="41"/>
      <c r="I126" s="41"/>
      <c r="J126" s="41"/>
      <c r="K126" s="41"/>
      <c r="L126" s="41"/>
      <c r="M126" s="41"/>
      <c r="N126" s="41"/>
      <c r="O126" s="41"/>
      <c r="P126" s="41"/>
      <c r="Q126" s="64"/>
      <c r="R126" s="41"/>
      <c r="S126" s="41"/>
      <c r="T126" s="41"/>
      <c r="U126" s="41"/>
      <c r="V126" s="41"/>
      <c r="W126" s="41"/>
      <c r="X126" s="41"/>
      <c r="Y126" s="41"/>
      <c r="Z126" s="41"/>
      <c r="AA126" s="41"/>
    </row>
    <row r="127" spans="1:27" ht="15.75" hidden="1" customHeight="1" x14ac:dyDescent="0.25">
      <c r="A127" s="51"/>
      <c r="B127" s="41"/>
      <c r="C127" s="41"/>
      <c r="D127" s="41"/>
      <c r="E127" s="41"/>
      <c r="F127" s="41"/>
      <c r="G127" s="41"/>
      <c r="H127" s="41"/>
      <c r="I127" s="41"/>
      <c r="J127" s="41"/>
      <c r="K127" s="41"/>
      <c r="L127" s="41"/>
      <c r="M127" s="41"/>
      <c r="N127" s="41"/>
      <c r="O127" s="41"/>
      <c r="P127" s="41"/>
      <c r="Q127" s="64"/>
      <c r="R127" s="41"/>
      <c r="S127" s="41"/>
      <c r="T127" s="41"/>
      <c r="U127" s="41"/>
      <c r="V127" s="41"/>
      <c r="W127" s="41"/>
      <c r="X127" s="41"/>
      <c r="Y127" s="41"/>
      <c r="Z127" s="41"/>
      <c r="AA127" s="41"/>
    </row>
    <row r="128" spans="1:27" ht="15.75" hidden="1" customHeight="1" x14ac:dyDescent="0.25">
      <c r="A128" s="51"/>
      <c r="B128" s="41"/>
      <c r="C128" s="41"/>
      <c r="D128" s="41"/>
      <c r="E128" s="41"/>
      <c r="F128" s="41"/>
      <c r="G128" s="41"/>
      <c r="H128" s="41"/>
      <c r="I128" s="41"/>
      <c r="J128" s="41"/>
      <c r="K128" s="41"/>
      <c r="L128" s="41"/>
      <c r="M128" s="41"/>
      <c r="N128" s="41"/>
      <c r="O128" s="41"/>
      <c r="P128" s="41"/>
      <c r="Q128" s="64"/>
      <c r="R128" s="41"/>
      <c r="S128" s="41"/>
      <c r="T128" s="41"/>
      <c r="U128" s="41"/>
      <c r="V128" s="41"/>
      <c r="W128" s="41"/>
      <c r="X128" s="41"/>
      <c r="Y128" s="41"/>
      <c r="Z128" s="41"/>
      <c r="AA128" s="41"/>
    </row>
    <row r="129" spans="1:27" ht="15.75" hidden="1" customHeight="1" x14ac:dyDescent="0.25">
      <c r="A129" s="51"/>
      <c r="B129" s="41"/>
      <c r="C129" s="41"/>
      <c r="D129" s="41"/>
      <c r="E129" s="41"/>
      <c r="F129" s="41"/>
      <c r="G129" s="41"/>
      <c r="H129" s="41"/>
      <c r="I129" s="41"/>
      <c r="J129" s="41"/>
      <c r="K129" s="41"/>
      <c r="L129" s="41"/>
      <c r="M129" s="41"/>
      <c r="N129" s="41"/>
      <c r="O129" s="41"/>
      <c r="P129" s="41"/>
      <c r="Q129" s="64"/>
      <c r="R129" s="41"/>
      <c r="S129" s="41"/>
      <c r="T129" s="41"/>
      <c r="U129" s="41"/>
      <c r="V129" s="41"/>
      <c r="W129" s="41"/>
      <c r="X129" s="41"/>
      <c r="Y129" s="41"/>
      <c r="Z129" s="41"/>
      <c r="AA129" s="41"/>
    </row>
    <row r="130" spans="1:27" ht="15.75" hidden="1" customHeight="1" x14ac:dyDescent="0.25">
      <c r="A130" s="51"/>
      <c r="B130" s="41"/>
      <c r="C130" s="41"/>
      <c r="D130" s="41"/>
      <c r="E130" s="41"/>
      <c r="F130" s="41"/>
      <c r="G130" s="41"/>
      <c r="H130" s="41"/>
      <c r="I130" s="41"/>
      <c r="J130" s="41"/>
      <c r="K130" s="41"/>
      <c r="L130" s="41"/>
      <c r="M130" s="41"/>
      <c r="N130" s="41"/>
      <c r="O130" s="41"/>
      <c r="P130" s="41"/>
      <c r="Q130" s="64"/>
      <c r="R130" s="41"/>
      <c r="S130" s="41"/>
      <c r="T130" s="41"/>
      <c r="U130" s="41"/>
      <c r="V130" s="41"/>
      <c r="W130" s="41"/>
      <c r="X130" s="41"/>
      <c r="Y130" s="41"/>
      <c r="Z130" s="41"/>
      <c r="AA130" s="41"/>
    </row>
    <row r="131" spans="1:27" ht="15.75" hidden="1" customHeight="1" x14ac:dyDescent="0.25">
      <c r="A131" s="51"/>
      <c r="B131" s="41"/>
      <c r="C131" s="41"/>
      <c r="D131" s="41"/>
      <c r="E131" s="41"/>
      <c r="F131" s="41"/>
      <c r="G131" s="41"/>
      <c r="H131" s="41"/>
      <c r="I131" s="41"/>
      <c r="J131" s="41"/>
      <c r="K131" s="41"/>
      <c r="L131" s="41"/>
      <c r="M131" s="41"/>
      <c r="N131" s="41"/>
      <c r="O131" s="41"/>
      <c r="P131" s="41"/>
      <c r="Q131" s="64"/>
      <c r="R131" s="41"/>
      <c r="S131" s="41"/>
      <c r="T131" s="41"/>
      <c r="U131" s="41"/>
      <c r="V131" s="41"/>
      <c r="W131" s="41"/>
      <c r="X131" s="41"/>
      <c r="Y131" s="41"/>
      <c r="Z131" s="41"/>
      <c r="AA131" s="41"/>
    </row>
    <row r="132" spans="1:27" ht="15.75" hidden="1" customHeight="1" x14ac:dyDescent="0.25">
      <c r="A132" s="51"/>
      <c r="B132" s="41"/>
      <c r="C132" s="41"/>
      <c r="D132" s="41"/>
      <c r="E132" s="41"/>
      <c r="F132" s="41"/>
      <c r="G132" s="41"/>
      <c r="H132" s="41"/>
      <c r="I132" s="41"/>
      <c r="J132" s="41"/>
      <c r="K132" s="41"/>
      <c r="L132" s="41"/>
      <c r="M132" s="41"/>
      <c r="N132" s="41"/>
      <c r="O132" s="41"/>
      <c r="P132" s="41"/>
      <c r="Q132" s="64"/>
      <c r="R132" s="41"/>
      <c r="S132" s="41"/>
      <c r="T132" s="41"/>
      <c r="U132" s="41"/>
      <c r="V132" s="41"/>
      <c r="W132" s="41"/>
      <c r="X132" s="41"/>
      <c r="Y132" s="41"/>
      <c r="Z132" s="41"/>
      <c r="AA132" s="41"/>
    </row>
    <row r="133" spans="1:27" ht="15.75" hidden="1" customHeight="1" x14ac:dyDescent="0.25">
      <c r="A133" s="51"/>
      <c r="B133" s="41"/>
      <c r="C133" s="41"/>
      <c r="D133" s="41"/>
      <c r="E133" s="41"/>
      <c r="F133" s="41"/>
      <c r="G133" s="41"/>
      <c r="H133" s="41"/>
      <c r="I133" s="41"/>
      <c r="J133" s="41"/>
      <c r="K133" s="41"/>
      <c r="L133" s="41"/>
      <c r="M133" s="41"/>
      <c r="N133" s="41"/>
      <c r="O133" s="41"/>
      <c r="P133" s="41"/>
      <c r="Q133" s="64"/>
      <c r="R133" s="41"/>
      <c r="S133" s="41"/>
      <c r="T133" s="41"/>
      <c r="U133" s="41"/>
      <c r="V133" s="41"/>
      <c r="W133" s="41"/>
      <c r="X133" s="41"/>
      <c r="Y133" s="41"/>
      <c r="Z133" s="41"/>
      <c r="AA133" s="41"/>
    </row>
    <row r="134" spans="1:27" ht="15.75" hidden="1" customHeight="1" x14ac:dyDescent="0.25">
      <c r="A134" s="51"/>
      <c r="B134" s="41"/>
      <c r="C134" s="41"/>
      <c r="D134" s="41"/>
      <c r="E134" s="41"/>
      <c r="F134" s="41"/>
      <c r="G134" s="41"/>
      <c r="H134" s="41"/>
      <c r="I134" s="41"/>
      <c r="J134" s="41"/>
      <c r="K134" s="41"/>
      <c r="L134" s="41"/>
      <c r="M134" s="41"/>
      <c r="N134" s="41"/>
      <c r="O134" s="41"/>
      <c r="P134" s="41"/>
      <c r="Q134" s="64"/>
      <c r="R134" s="41"/>
      <c r="S134" s="41"/>
      <c r="T134" s="41"/>
      <c r="U134" s="41"/>
      <c r="V134" s="41"/>
      <c r="W134" s="41"/>
      <c r="X134" s="41"/>
      <c r="Y134" s="41"/>
      <c r="Z134" s="41"/>
      <c r="AA134" s="41"/>
    </row>
    <row r="135" spans="1:27" ht="15.75" hidden="1" customHeight="1" x14ac:dyDescent="0.25">
      <c r="A135" s="51"/>
      <c r="B135" s="41"/>
      <c r="C135" s="41"/>
      <c r="D135" s="41"/>
      <c r="E135" s="41"/>
      <c r="F135" s="41"/>
      <c r="G135" s="41"/>
      <c r="H135" s="41"/>
      <c r="I135" s="41"/>
      <c r="J135" s="41"/>
      <c r="K135" s="41"/>
      <c r="L135" s="41"/>
      <c r="M135" s="41"/>
      <c r="N135" s="41"/>
      <c r="O135" s="41"/>
      <c r="P135" s="41"/>
      <c r="Q135" s="64"/>
      <c r="R135" s="41"/>
      <c r="S135" s="41"/>
      <c r="T135" s="41"/>
      <c r="U135" s="41"/>
      <c r="V135" s="41"/>
      <c r="W135" s="41"/>
      <c r="X135" s="41"/>
      <c r="Y135" s="41"/>
      <c r="Z135" s="41"/>
      <c r="AA135" s="41"/>
    </row>
    <row r="136" spans="1:27" ht="15.75" hidden="1" customHeight="1" x14ac:dyDescent="0.25">
      <c r="A136" s="51"/>
      <c r="B136" s="41"/>
      <c r="C136" s="41"/>
      <c r="D136" s="41"/>
      <c r="E136" s="41"/>
      <c r="F136" s="41"/>
      <c r="G136" s="41"/>
      <c r="H136" s="41"/>
      <c r="I136" s="41"/>
      <c r="J136" s="41"/>
      <c r="K136" s="41"/>
      <c r="L136" s="41"/>
      <c r="M136" s="41"/>
      <c r="N136" s="41"/>
      <c r="O136" s="41"/>
      <c r="P136" s="41"/>
      <c r="Q136" s="64"/>
      <c r="R136" s="41"/>
      <c r="S136" s="41"/>
      <c r="T136" s="41"/>
      <c r="U136" s="41"/>
      <c r="V136" s="41"/>
      <c r="W136" s="41"/>
      <c r="X136" s="41"/>
      <c r="Y136" s="41"/>
      <c r="Z136" s="41"/>
      <c r="AA136" s="41"/>
    </row>
    <row r="137" spans="1:27" ht="15.75" hidden="1" customHeight="1" x14ac:dyDescent="0.25">
      <c r="A137" s="51"/>
      <c r="B137" s="41"/>
      <c r="C137" s="41"/>
      <c r="D137" s="41"/>
      <c r="E137" s="41"/>
      <c r="F137" s="41"/>
      <c r="G137" s="41"/>
      <c r="H137" s="41"/>
      <c r="I137" s="41"/>
      <c r="J137" s="41"/>
      <c r="K137" s="41"/>
      <c r="L137" s="41"/>
      <c r="M137" s="41"/>
      <c r="N137" s="41"/>
      <c r="O137" s="41"/>
      <c r="P137" s="41"/>
      <c r="Q137" s="64"/>
      <c r="R137" s="41"/>
      <c r="S137" s="41"/>
      <c r="T137" s="41"/>
      <c r="U137" s="41"/>
      <c r="V137" s="41"/>
      <c r="W137" s="41"/>
      <c r="X137" s="41"/>
      <c r="Y137" s="41"/>
      <c r="Z137" s="41"/>
      <c r="AA137" s="41"/>
    </row>
    <row r="138" spans="1:27" ht="15.75" hidden="1" customHeight="1" x14ac:dyDescent="0.25">
      <c r="A138" s="51"/>
      <c r="B138" s="41"/>
      <c r="C138" s="41"/>
      <c r="D138" s="41"/>
      <c r="E138" s="41"/>
      <c r="F138" s="41"/>
      <c r="G138" s="41"/>
      <c r="H138" s="41"/>
      <c r="I138" s="41"/>
      <c r="J138" s="41"/>
      <c r="K138" s="41"/>
      <c r="L138" s="41"/>
      <c r="M138" s="41"/>
      <c r="N138" s="41"/>
      <c r="O138" s="41"/>
      <c r="P138" s="41"/>
      <c r="Q138" s="64"/>
      <c r="R138" s="41"/>
      <c r="S138" s="41"/>
      <c r="T138" s="41"/>
      <c r="U138" s="41"/>
      <c r="V138" s="41"/>
      <c r="W138" s="41"/>
      <c r="X138" s="41"/>
      <c r="Y138" s="41"/>
      <c r="Z138" s="41"/>
      <c r="AA138" s="41"/>
    </row>
    <row r="139" spans="1:27" ht="15.75" hidden="1" customHeight="1" x14ac:dyDescent="0.25">
      <c r="A139" s="51"/>
      <c r="B139" s="41"/>
      <c r="C139" s="41"/>
      <c r="D139" s="41"/>
      <c r="E139" s="41"/>
      <c r="F139" s="41"/>
      <c r="G139" s="41"/>
      <c r="H139" s="41"/>
      <c r="I139" s="41"/>
      <c r="J139" s="41"/>
      <c r="K139" s="41"/>
      <c r="L139" s="41"/>
      <c r="M139" s="41"/>
      <c r="N139" s="41"/>
      <c r="O139" s="41"/>
      <c r="P139" s="41"/>
      <c r="Q139" s="64"/>
      <c r="R139" s="41"/>
      <c r="S139" s="41"/>
      <c r="T139" s="41"/>
      <c r="U139" s="41"/>
      <c r="V139" s="41"/>
      <c r="W139" s="41"/>
      <c r="X139" s="41"/>
      <c r="Y139" s="41"/>
      <c r="Z139" s="41"/>
      <c r="AA139" s="41"/>
    </row>
    <row r="140" spans="1:27" ht="15.75" hidden="1" customHeight="1" x14ac:dyDescent="0.25">
      <c r="A140" s="51"/>
      <c r="B140" s="41"/>
      <c r="C140" s="41"/>
      <c r="D140" s="41"/>
      <c r="E140" s="41"/>
      <c r="F140" s="41"/>
      <c r="G140" s="41"/>
      <c r="H140" s="41"/>
      <c r="I140" s="41"/>
      <c r="J140" s="41"/>
      <c r="K140" s="41"/>
      <c r="L140" s="41"/>
      <c r="M140" s="41"/>
      <c r="N140" s="41"/>
      <c r="O140" s="41"/>
      <c r="P140" s="41"/>
      <c r="Q140" s="64"/>
      <c r="R140" s="41"/>
      <c r="S140" s="41"/>
      <c r="T140" s="41"/>
      <c r="U140" s="41"/>
      <c r="V140" s="41"/>
      <c r="W140" s="41"/>
      <c r="X140" s="41"/>
      <c r="Y140" s="41"/>
      <c r="Z140" s="41"/>
      <c r="AA140" s="41"/>
    </row>
    <row r="141" spans="1:27" ht="15.75" hidden="1" customHeight="1" x14ac:dyDescent="0.25">
      <c r="A141" s="51"/>
      <c r="B141" s="41"/>
      <c r="C141" s="41"/>
      <c r="D141" s="41"/>
      <c r="E141" s="41"/>
      <c r="F141" s="41"/>
      <c r="G141" s="41"/>
      <c r="H141" s="41"/>
      <c r="I141" s="41"/>
      <c r="J141" s="41"/>
      <c r="K141" s="41"/>
      <c r="L141" s="41"/>
      <c r="M141" s="41"/>
      <c r="N141" s="41"/>
      <c r="O141" s="41"/>
      <c r="P141" s="41"/>
      <c r="Q141" s="64"/>
      <c r="R141" s="41"/>
      <c r="S141" s="41"/>
      <c r="T141" s="41"/>
      <c r="U141" s="41"/>
      <c r="V141" s="41"/>
      <c r="W141" s="41"/>
      <c r="X141" s="41"/>
      <c r="Y141" s="41"/>
      <c r="Z141" s="41"/>
      <c r="AA141" s="41"/>
    </row>
    <row r="142" spans="1:27" ht="15.75" hidden="1" customHeight="1" x14ac:dyDescent="0.25">
      <c r="A142" s="51"/>
      <c r="B142" s="41"/>
      <c r="C142" s="41"/>
      <c r="D142" s="41"/>
      <c r="E142" s="41"/>
      <c r="F142" s="41"/>
      <c r="G142" s="41"/>
      <c r="H142" s="41"/>
      <c r="I142" s="41"/>
      <c r="J142" s="41"/>
      <c r="K142" s="41"/>
      <c r="L142" s="41"/>
      <c r="M142" s="41"/>
      <c r="N142" s="41"/>
      <c r="O142" s="41"/>
      <c r="P142" s="41"/>
      <c r="Q142" s="64"/>
      <c r="R142" s="41"/>
      <c r="S142" s="41"/>
      <c r="T142" s="41"/>
      <c r="U142" s="41"/>
      <c r="V142" s="41"/>
      <c r="W142" s="41"/>
      <c r="X142" s="41"/>
      <c r="Y142" s="41"/>
      <c r="Z142" s="41"/>
      <c r="AA142" s="41"/>
    </row>
    <row r="143" spans="1:27" ht="15.75" hidden="1" customHeight="1" x14ac:dyDescent="0.25">
      <c r="A143" s="51"/>
      <c r="B143" s="41"/>
      <c r="C143" s="41"/>
      <c r="D143" s="41"/>
      <c r="E143" s="41"/>
      <c r="F143" s="41"/>
      <c r="G143" s="41"/>
      <c r="H143" s="41"/>
      <c r="I143" s="41"/>
      <c r="J143" s="41"/>
      <c r="K143" s="41"/>
      <c r="L143" s="41"/>
      <c r="M143" s="41"/>
      <c r="N143" s="41"/>
      <c r="O143" s="41"/>
      <c r="P143" s="41"/>
      <c r="Q143" s="64"/>
      <c r="R143" s="41"/>
      <c r="S143" s="41"/>
      <c r="T143" s="41"/>
      <c r="U143" s="41"/>
      <c r="V143" s="41"/>
      <c r="W143" s="41"/>
      <c r="X143" s="41"/>
      <c r="Y143" s="41"/>
      <c r="Z143" s="41"/>
      <c r="AA143" s="41"/>
    </row>
    <row r="144" spans="1:27" ht="15.75" hidden="1" customHeight="1" x14ac:dyDescent="0.25">
      <c r="A144" s="51"/>
      <c r="B144" s="41"/>
      <c r="C144" s="41"/>
      <c r="D144" s="41"/>
      <c r="E144" s="41"/>
      <c r="F144" s="41"/>
      <c r="G144" s="41"/>
      <c r="H144" s="41"/>
      <c r="I144" s="41"/>
      <c r="J144" s="41"/>
      <c r="K144" s="41"/>
      <c r="L144" s="41"/>
      <c r="M144" s="41"/>
      <c r="N144" s="41"/>
      <c r="O144" s="41"/>
      <c r="P144" s="41"/>
      <c r="Q144" s="64"/>
      <c r="R144" s="41"/>
      <c r="S144" s="41"/>
      <c r="T144" s="41"/>
      <c r="U144" s="41"/>
      <c r="V144" s="41"/>
      <c r="W144" s="41"/>
      <c r="X144" s="41"/>
      <c r="Y144" s="41"/>
      <c r="Z144" s="41"/>
      <c r="AA144" s="41"/>
    </row>
    <row r="145" spans="1:27" ht="15.75" hidden="1" customHeight="1" x14ac:dyDescent="0.25">
      <c r="A145" s="51"/>
      <c r="B145" s="41"/>
      <c r="C145" s="41"/>
      <c r="D145" s="41"/>
      <c r="E145" s="41"/>
      <c r="F145" s="41"/>
      <c r="G145" s="41"/>
      <c r="H145" s="41"/>
      <c r="I145" s="41"/>
      <c r="J145" s="41"/>
      <c r="K145" s="41"/>
      <c r="L145" s="41"/>
      <c r="M145" s="41"/>
      <c r="N145" s="41"/>
      <c r="O145" s="41"/>
      <c r="P145" s="41"/>
      <c r="Q145" s="64"/>
      <c r="R145" s="41"/>
      <c r="S145" s="41"/>
      <c r="T145" s="41"/>
      <c r="U145" s="41"/>
      <c r="V145" s="41"/>
      <c r="W145" s="41"/>
      <c r="X145" s="41"/>
      <c r="Y145" s="41"/>
      <c r="Z145" s="41"/>
      <c r="AA145" s="41"/>
    </row>
    <row r="146" spans="1:27" ht="15.75" hidden="1" customHeight="1" x14ac:dyDescent="0.25">
      <c r="A146" s="51"/>
      <c r="B146" s="41"/>
      <c r="C146" s="41"/>
      <c r="D146" s="41"/>
      <c r="E146" s="41"/>
      <c r="F146" s="41"/>
      <c r="G146" s="41"/>
      <c r="H146" s="41"/>
      <c r="I146" s="41"/>
      <c r="J146" s="41"/>
      <c r="K146" s="41"/>
      <c r="L146" s="41"/>
      <c r="M146" s="41"/>
      <c r="N146" s="41"/>
      <c r="O146" s="41"/>
      <c r="P146" s="41"/>
      <c r="Q146" s="64"/>
      <c r="R146" s="41"/>
      <c r="S146" s="41"/>
      <c r="T146" s="41"/>
      <c r="U146" s="41"/>
      <c r="V146" s="41"/>
      <c r="W146" s="41"/>
      <c r="X146" s="41"/>
      <c r="Y146" s="41"/>
      <c r="Z146" s="41"/>
      <c r="AA146" s="41"/>
    </row>
    <row r="147" spans="1:27" ht="15.75" hidden="1" customHeight="1" x14ac:dyDescent="0.25">
      <c r="A147" s="51"/>
      <c r="B147" s="41"/>
      <c r="C147" s="41"/>
      <c r="D147" s="41"/>
      <c r="E147" s="41"/>
      <c r="F147" s="41"/>
      <c r="G147" s="41"/>
      <c r="H147" s="41"/>
      <c r="I147" s="41"/>
      <c r="J147" s="41"/>
      <c r="K147" s="41"/>
      <c r="L147" s="41"/>
      <c r="M147" s="41"/>
      <c r="N147" s="41"/>
      <c r="O147" s="41"/>
      <c r="P147" s="41"/>
      <c r="Q147" s="64"/>
      <c r="R147" s="41"/>
      <c r="S147" s="41"/>
      <c r="T147" s="41"/>
      <c r="U147" s="41"/>
      <c r="V147" s="41"/>
      <c r="W147" s="41"/>
      <c r="X147" s="41"/>
      <c r="Y147" s="41"/>
      <c r="Z147" s="41"/>
      <c r="AA147" s="41"/>
    </row>
    <row r="148" spans="1:27" ht="15.75" hidden="1" customHeight="1" x14ac:dyDescent="0.25">
      <c r="A148" s="51"/>
      <c r="B148" s="41"/>
      <c r="C148" s="41"/>
      <c r="D148" s="41"/>
      <c r="E148" s="41"/>
      <c r="F148" s="41"/>
      <c r="G148" s="41"/>
      <c r="H148" s="41"/>
      <c r="I148" s="41"/>
      <c r="J148" s="41"/>
      <c r="K148" s="41"/>
      <c r="L148" s="41"/>
      <c r="M148" s="41"/>
      <c r="N148" s="41"/>
      <c r="O148" s="41"/>
      <c r="P148" s="41"/>
      <c r="Q148" s="64"/>
      <c r="R148" s="41"/>
      <c r="S148" s="41"/>
      <c r="T148" s="41"/>
      <c r="U148" s="41"/>
      <c r="V148" s="41"/>
      <c r="W148" s="41"/>
      <c r="X148" s="41"/>
      <c r="Y148" s="41"/>
      <c r="Z148" s="41"/>
      <c r="AA148" s="41"/>
    </row>
    <row r="149" spans="1:27" ht="15.75" hidden="1" customHeight="1" x14ac:dyDescent="0.25">
      <c r="A149" s="51"/>
      <c r="B149" s="41"/>
      <c r="C149" s="41"/>
      <c r="D149" s="41"/>
      <c r="E149" s="41"/>
      <c r="F149" s="41"/>
      <c r="G149" s="41"/>
      <c r="H149" s="41"/>
      <c r="I149" s="41"/>
      <c r="J149" s="41"/>
      <c r="K149" s="41"/>
      <c r="L149" s="41"/>
      <c r="M149" s="41"/>
      <c r="N149" s="41"/>
      <c r="O149" s="41"/>
      <c r="P149" s="41"/>
      <c r="Q149" s="64"/>
      <c r="R149" s="41"/>
      <c r="S149" s="41"/>
      <c r="T149" s="41"/>
      <c r="U149" s="41"/>
      <c r="V149" s="41"/>
      <c r="W149" s="41"/>
      <c r="X149" s="41"/>
      <c r="Y149" s="41"/>
      <c r="Z149" s="41"/>
      <c r="AA149" s="41"/>
    </row>
    <row r="150" spans="1:27" ht="15.75" hidden="1" customHeight="1" x14ac:dyDescent="0.25">
      <c r="A150" s="51"/>
      <c r="B150" s="41"/>
      <c r="C150" s="41"/>
      <c r="D150" s="41"/>
      <c r="E150" s="41"/>
      <c r="F150" s="41"/>
      <c r="G150" s="41"/>
      <c r="H150" s="41"/>
      <c r="I150" s="41"/>
      <c r="J150" s="41"/>
      <c r="K150" s="41"/>
      <c r="L150" s="41"/>
      <c r="M150" s="41"/>
      <c r="N150" s="41"/>
      <c r="O150" s="41"/>
      <c r="P150" s="41"/>
      <c r="Q150" s="64"/>
      <c r="R150" s="41"/>
      <c r="S150" s="41"/>
      <c r="T150" s="41"/>
      <c r="U150" s="41"/>
      <c r="V150" s="41"/>
      <c r="W150" s="41"/>
      <c r="X150" s="41"/>
      <c r="Y150" s="41"/>
      <c r="Z150" s="41"/>
      <c r="AA150" s="41"/>
    </row>
    <row r="151" spans="1:27" ht="15.75" hidden="1" customHeight="1" x14ac:dyDescent="0.25">
      <c r="A151" s="51"/>
      <c r="B151" s="41"/>
      <c r="C151" s="41"/>
      <c r="D151" s="41"/>
      <c r="E151" s="41"/>
      <c r="F151" s="41"/>
      <c r="G151" s="41"/>
      <c r="H151" s="41"/>
      <c r="I151" s="41"/>
      <c r="J151" s="41"/>
      <c r="K151" s="41"/>
      <c r="L151" s="41"/>
      <c r="M151" s="41"/>
      <c r="N151" s="41"/>
      <c r="O151" s="41"/>
      <c r="P151" s="41"/>
      <c r="Q151" s="64"/>
      <c r="R151" s="41"/>
      <c r="S151" s="41"/>
      <c r="T151" s="41"/>
      <c r="U151" s="41"/>
      <c r="V151" s="41"/>
      <c r="W151" s="41"/>
      <c r="X151" s="41"/>
      <c r="Y151" s="41"/>
      <c r="Z151" s="41"/>
      <c r="AA151" s="41"/>
    </row>
    <row r="152" spans="1:27" ht="15.75" hidden="1" customHeight="1" x14ac:dyDescent="0.25">
      <c r="A152" s="51"/>
      <c r="B152" s="41"/>
      <c r="C152" s="41"/>
      <c r="D152" s="41"/>
      <c r="E152" s="41"/>
      <c r="F152" s="41"/>
      <c r="G152" s="41"/>
      <c r="H152" s="41"/>
      <c r="I152" s="41"/>
      <c r="J152" s="41"/>
      <c r="K152" s="41"/>
      <c r="L152" s="41"/>
      <c r="M152" s="41"/>
      <c r="N152" s="41"/>
      <c r="O152" s="41"/>
      <c r="P152" s="41"/>
      <c r="Q152" s="64"/>
      <c r="R152" s="41"/>
      <c r="S152" s="41"/>
      <c r="T152" s="41"/>
      <c r="U152" s="41"/>
      <c r="V152" s="41"/>
      <c r="W152" s="41"/>
      <c r="X152" s="41"/>
      <c r="Y152" s="41"/>
      <c r="Z152" s="41"/>
      <c r="AA152" s="41"/>
    </row>
    <row r="153" spans="1:27" ht="15.75" hidden="1" customHeight="1" x14ac:dyDescent="0.25">
      <c r="A153" s="51"/>
      <c r="B153" s="41"/>
      <c r="C153" s="41"/>
      <c r="D153" s="41"/>
      <c r="E153" s="41"/>
      <c r="F153" s="41"/>
      <c r="G153" s="41"/>
      <c r="H153" s="41"/>
      <c r="I153" s="41"/>
      <c r="J153" s="41"/>
      <c r="K153" s="41"/>
      <c r="L153" s="41"/>
      <c r="M153" s="41"/>
      <c r="N153" s="41"/>
      <c r="O153" s="41"/>
      <c r="P153" s="41"/>
      <c r="Q153" s="64"/>
      <c r="R153" s="41"/>
      <c r="S153" s="41"/>
      <c r="T153" s="41"/>
      <c r="U153" s="41"/>
      <c r="V153" s="41"/>
      <c r="W153" s="41"/>
      <c r="X153" s="41"/>
      <c r="Y153" s="41"/>
      <c r="Z153" s="41"/>
      <c r="AA153" s="41"/>
    </row>
    <row r="154" spans="1:27" ht="15.75" hidden="1" customHeight="1" x14ac:dyDescent="0.25">
      <c r="A154" s="51"/>
      <c r="B154" s="41"/>
      <c r="C154" s="41"/>
      <c r="D154" s="41"/>
      <c r="E154" s="41"/>
      <c r="F154" s="41"/>
      <c r="G154" s="41"/>
      <c r="H154" s="41"/>
      <c r="I154" s="41"/>
      <c r="J154" s="41"/>
      <c r="K154" s="41"/>
      <c r="L154" s="41"/>
      <c r="M154" s="41"/>
      <c r="N154" s="41"/>
      <c r="O154" s="41"/>
      <c r="P154" s="41"/>
      <c r="Q154" s="64"/>
      <c r="R154" s="41"/>
      <c r="S154" s="41"/>
      <c r="T154" s="41"/>
      <c r="U154" s="41"/>
      <c r="V154" s="41"/>
      <c r="W154" s="41"/>
      <c r="X154" s="41"/>
      <c r="Y154" s="41"/>
      <c r="Z154" s="41"/>
      <c r="AA154" s="41"/>
    </row>
    <row r="155" spans="1:27" ht="15.75" hidden="1" customHeight="1" x14ac:dyDescent="0.25">
      <c r="A155" s="51"/>
      <c r="B155" s="41"/>
      <c r="C155" s="41"/>
      <c r="D155" s="41"/>
      <c r="E155" s="41"/>
      <c r="F155" s="41"/>
      <c r="G155" s="41"/>
      <c r="H155" s="41"/>
      <c r="I155" s="41"/>
      <c r="J155" s="41"/>
      <c r="K155" s="41"/>
      <c r="L155" s="41"/>
      <c r="M155" s="41"/>
      <c r="N155" s="41"/>
      <c r="O155" s="41"/>
      <c r="P155" s="41"/>
      <c r="Q155" s="64"/>
      <c r="R155" s="41"/>
      <c r="S155" s="41"/>
      <c r="T155" s="41"/>
      <c r="U155" s="41"/>
      <c r="V155" s="41"/>
      <c r="W155" s="41"/>
      <c r="X155" s="41"/>
      <c r="Y155" s="41"/>
      <c r="Z155" s="41"/>
      <c r="AA155" s="41"/>
    </row>
    <row r="156" spans="1:27" ht="15.75" hidden="1" customHeight="1" x14ac:dyDescent="0.25">
      <c r="A156" s="51"/>
      <c r="B156" s="41"/>
      <c r="C156" s="41"/>
      <c r="D156" s="41"/>
      <c r="E156" s="41"/>
      <c r="F156" s="41"/>
      <c r="G156" s="41"/>
      <c r="H156" s="41"/>
      <c r="I156" s="41"/>
      <c r="J156" s="41"/>
      <c r="K156" s="41"/>
      <c r="L156" s="41"/>
      <c r="M156" s="41"/>
      <c r="N156" s="41"/>
      <c r="O156" s="41"/>
      <c r="P156" s="41"/>
      <c r="Q156" s="64"/>
      <c r="R156" s="41"/>
      <c r="S156" s="41"/>
      <c r="T156" s="41"/>
      <c r="U156" s="41"/>
      <c r="V156" s="41"/>
      <c r="W156" s="41"/>
      <c r="X156" s="41"/>
      <c r="Y156" s="41"/>
      <c r="Z156" s="41"/>
      <c r="AA156" s="41"/>
    </row>
    <row r="157" spans="1:27" ht="15.75" hidden="1" customHeight="1" x14ac:dyDescent="0.25">
      <c r="A157" s="51"/>
      <c r="B157" s="41"/>
      <c r="C157" s="41"/>
      <c r="D157" s="41"/>
      <c r="E157" s="41"/>
      <c r="F157" s="41"/>
      <c r="G157" s="41"/>
      <c r="H157" s="41"/>
      <c r="I157" s="41"/>
      <c r="J157" s="41"/>
      <c r="K157" s="41"/>
      <c r="L157" s="41"/>
      <c r="M157" s="41"/>
      <c r="N157" s="41"/>
      <c r="O157" s="41"/>
      <c r="P157" s="41"/>
      <c r="Q157" s="64"/>
      <c r="R157" s="41"/>
      <c r="S157" s="41"/>
      <c r="T157" s="41"/>
      <c r="U157" s="41"/>
      <c r="V157" s="41"/>
      <c r="W157" s="41"/>
      <c r="X157" s="41"/>
      <c r="Y157" s="41"/>
      <c r="Z157" s="41"/>
      <c r="AA157" s="41"/>
    </row>
    <row r="158" spans="1:27" ht="15.75" hidden="1" customHeight="1" x14ac:dyDescent="0.25">
      <c r="A158" s="51"/>
      <c r="B158" s="41"/>
      <c r="C158" s="41"/>
      <c r="D158" s="41"/>
      <c r="E158" s="41"/>
      <c r="F158" s="41"/>
      <c r="G158" s="41"/>
      <c r="H158" s="41"/>
      <c r="I158" s="41"/>
      <c r="J158" s="41"/>
      <c r="K158" s="41"/>
      <c r="L158" s="41"/>
      <c r="M158" s="41"/>
      <c r="N158" s="41"/>
      <c r="O158" s="41"/>
      <c r="P158" s="41"/>
      <c r="Q158" s="64"/>
      <c r="R158" s="41"/>
      <c r="S158" s="41"/>
      <c r="T158" s="41"/>
      <c r="U158" s="41"/>
      <c r="V158" s="41"/>
      <c r="W158" s="41"/>
      <c r="X158" s="41"/>
      <c r="Y158" s="41"/>
      <c r="Z158" s="41"/>
      <c r="AA158" s="41"/>
    </row>
    <row r="159" spans="1:27" ht="15.75" hidden="1" customHeight="1" x14ac:dyDescent="0.25">
      <c r="A159" s="51"/>
      <c r="B159" s="41"/>
      <c r="C159" s="41"/>
      <c r="D159" s="41"/>
      <c r="E159" s="41"/>
      <c r="F159" s="41"/>
      <c r="G159" s="41"/>
      <c r="H159" s="41"/>
      <c r="I159" s="41"/>
      <c r="J159" s="41"/>
      <c r="K159" s="41"/>
      <c r="L159" s="41"/>
      <c r="M159" s="41"/>
      <c r="N159" s="41"/>
      <c r="O159" s="41"/>
      <c r="P159" s="41"/>
      <c r="Q159" s="64"/>
      <c r="R159" s="41"/>
      <c r="S159" s="41"/>
      <c r="T159" s="41"/>
      <c r="U159" s="41"/>
      <c r="V159" s="41"/>
      <c r="W159" s="41"/>
      <c r="X159" s="41"/>
      <c r="Y159" s="41"/>
      <c r="Z159" s="41"/>
      <c r="AA159" s="41"/>
    </row>
    <row r="160" spans="1:27" ht="15.75" hidden="1" customHeight="1" x14ac:dyDescent="0.25">
      <c r="A160" s="51"/>
      <c r="B160" s="41"/>
      <c r="C160" s="41"/>
      <c r="D160" s="41"/>
      <c r="E160" s="41"/>
      <c r="F160" s="41"/>
      <c r="G160" s="41"/>
      <c r="H160" s="41"/>
      <c r="I160" s="41"/>
      <c r="J160" s="41"/>
      <c r="K160" s="41"/>
      <c r="L160" s="41"/>
      <c r="M160" s="41"/>
      <c r="N160" s="41"/>
      <c r="O160" s="41"/>
      <c r="P160" s="41"/>
      <c r="Q160" s="64"/>
      <c r="R160" s="41"/>
      <c r="S160" s="41"/>
      <c r="T160" s="41"/>
      <c r="U160" s="41"/>
      <c r="V160" s="41"/>
      <c r="W160" s="41"/>
      <c r="X160" s="41"/>
      <c r="Y160" s="41"/>
      <c r="Z160" s="41"/>
      <c r="AA160" s="41"/>
    </row>
    <row r="161" spans="1:27" ht="15.75" hidden="1" customHeight="1" x14ac:dyDescent="0.25">
      <c r="A161" s="51"/>
      <c r="B161" s="41"/>
      <c r="C161" s="41"/>
      <c r="D161" s="41"/>
      <c r="E161" s="41"/>
      <c r="F161" s="41"/>
      <c r="G161" s="41"/>
      <c r="H161" s="41"/>
      <c r="I161" s="41"/>
      <c r="J161" s="41"/>
      <c r="K161" s="41"/>
      <c r="L161" s="41"/>
      <c r="M161" s="41"/>
      <c r="N161" s="41"/>
      <c r="O161" s="41"/>
      <c r="P161" s="41"/>
      <c r="Q161" s="64"/>
      <c r="R161" s="41"/>
      <c r="S161" s="41"/>
      <c r="T161" s="41"/>
      <c r="U161" s="41"/>
      <c r="V161" s="41"/>
      <c r="W161" s="41"/>
      <c r="X161" s="41"/>
      <c r="Y161" s="41"/>
      <c r="Z161" s="41"/>
      <c r="AA161" s="41"/>
    </row>
    <row r="162" spans="1:27" ht="15.75" hidden="1" customHeight="1" x14ac:dyDescent="0.25">
      <c r="A162" s="51"/>
      <c r="B162" s="41"/>
      <c r="C162" s="41"/>
      <c r="D162" s="41"/>
      <c r="E162" s="41"/>
      <c r="F162" s="41"/>
      <c r="G162" s="41"/>
      <c r="H162" s="41"/>
      <c r="I162" s="41"/>
      <c r="J162" s="41"/>
      <c r="K162" s="41"/>
      <c r="L162" s="41"/>
      <c r="M162" s="41"/>
      <c r="N162" s="41"/>
      <c r="O162" s="41"/>
      <c r="P162" s="41"/>
      <c r="Q162" s="64"/>
      <c r="R162" s="41"/>
      <c r="S162" s="41"/>
      <c r="T162" s="41"/>
      <c r="U162" s="41"/>
      <c r="V162" s="41"/>
      <c r="W162" s="41"/>
      <c r="X162" s="41"/>
      <c r="Y162" s="41"/>
      <c r="Z162" s="41"/>
      <c r="AA162" s="41"/>
    </row>
    <row r="163" spans="1:27" ht="15.75" hidden="1" customHeight="1" x14ac:dyDescent="0.25">
      <c r="A163" s="51"/>
      <c r="B163" s="41"/>
      <c r="C163" s="41"/>
      <c r="D163" s="41"/>
      <c r="E163" s="41"/>
      <c r="F163" s="41"/>
      <c r="G163" s="41"/>
      <c r="H163" s="41"/>
      <c r="I163" s="41"/>
      <c r="J163" s="41"/>
      <c r="K163" s="41"/>
      <c r="L163" s="41"/>
      <c r="M163" s="41"/>
      <c r="N163" s="41"/>
      <c r="O163" s="41"/>
      <c r="P163" s="41"/>
      <c r="Q163" s="64"/>
      <c r="R163" s="41"/>
      <c r="S163" s="41"/>
      <c r="T163" s="41"/>
      <c r="U163" s="41"/>
      <c r="V163" s="41"/>
      <c r="W163" s="41"/>
      <c r="X163" s="41"/>
      <c r="Y163" s="41"/>
      <c r="Z163" s="41"/>
      <c r="AA163" s="41"/>
    </row>
    <row r="164" spans="1:27" ht="15.75" hidden="1" customHeight="1" x14ac:dyDescent="0.25">
      <c r="A164" s="51"/>
      <c r="B164" s="41"/>
      <c r="C164" s="41"/>
      <c r="D164" s="41"/>
      <c r="E164" s="41"/>
      <c r="F164" s="41"/>
      <c r="G164" s="41"/>
      <c r="H164" s="41"/>
      <c r="I164" s="41"/>
      <c r="J164" s="41"/>
      <c r="K164" s="41"/>
      <c r="L164" s="41"/>
      <c r="M164" s="41"/>
      <c r="N164" s="41"/>
      <c r="O164" s="41"/>
      <c r="P164" s="41"/>
      <c r="Q164" s="64"/>
      <c r="R164" s="41"/>
      <c r="S164" s="41"/>
      <c r="T164" s="41"/>
      <c r="U164" s="41"/>
      <c r="V164" s="41"/>
      <c r="W164" s="41"/>
      <c r="X164" s="41"/>
      <c r="Y164" s="41"/>
      <c r="Z164" s="41"/>
      <c r="AA164" s="41"/>
    </row>
    <row r="165" spans="1:27" ht="15.75" hidden="1" customHeight="1" x14ac:dyDescent="0.25">
      <c r="A165" s="51"/>
      <c r="B165" s="41"/>
      <c r="C165" s="41"/>
      <c r="D165" s="41"/>
      <c r="E165" s="41"/>
      <c r="F165" s="41"/>
      <c r="G165" s="41"/>
      <c r="H165" s="41"/>
      <c r="I165" s="41"/>
      <c r="J165" s="41"/>
      <c r="K165" s="41"/>
      <c r="L165" s="41"/>
      <c r="M165" s="41"/>
      <c r="N165" s="41"/>
      <c r="O165" s="41"/>
      <c r="P165" s="41"/>
      <c r="Q165" s="64"/>
      <c r="R165" s="41"/>
      <c r="S165" s="41"/>
      <c r="T165" s="41"/>
      <c r="U165" s="41"/>
      <c r="V165" s="41"/>
      <c r="W165" s="41"/>
      <c r="X165" s="41"/>
      <c r="Y165" s="41"/>
      <c r="Z165" s="41"/>
      <c r="AA165" s="41"/>
    </row>
    <row r="166" spans="1:27" ht="15.75" hidden="1" customHeight="1" x14ac:dyDescent="0.25">
      <c r="A166" s="51"/>
      <c r="B166" s="41"/>
      <c r="C166" s="41"/>
      <c r="D166" s="41"/>
      <c r="E166" s="41"/>
      <c r="F166" s="41"/>
      <c r="G166" s="41"/>
      <c r="H166" s="41"/>
      <c r="I166" s="41"/>
      <c r="J166" s="41"/>
      <c r="K166" s="41"/>
      <c r="L166" s="41"/>
      <c r="M166" s="41"/>
      <c r="N166" s="41"/>
      <c r="O166" s="41"/>
      <c r="P166" s="41"/>
      <c r="Q166" s="64"/>
      <c r="R166" s="41"/>
      <c r="S166" s="41"/>
      <c r="T166" s="41"/>
      <c r="U166" s="41"/>
      <c r="V166" s="41"/>
      <c r="W166" s="41"/>
      <c r="X166" s="41"/>
      <c r="Y166" s="41"/>
      <c r="Z166" s="41"/>
      <c r="AA166" s="41"/>
    </row>
    <row r="167" spans="1:27" ht="15.75" hidden="1" customHeight="1" x14ac:dyDescent="0.25">
      <c r="A167" s="51"/>
      <c r="B167" s="41"/>
      <c r="C167" s="41"/>
      <c r="D167" s="41"/>
      <c r="E167" s="41"/>
      <c r="F167" s="41"/>
      <c r="G167" s="41"/>
      <c r="H167" s="41"/>
      <c r="I167" s="41"/>
      <c r="J167" s="41"/>
      <c r="K167" s="41"/>
      <c r="L167" s="41"/>
      <c r="M167" s="41"/>
      <c r="N167" s="41"/>
      <c r="O167" s="41"/>
      <c r="P167" s="41"/>
      <c r="Q167" s="64"/>
      <c r="R167" s="41"/>
      <c r="S167" s="41"/>
      <c r="T167" s="41"/>
      <c r="U167" s="41"/>
      <c r="V167" s="41"/>
      <c r="W167" s="41"/>
      <c r="X167" s="41"/>
      <c r="Y167" s="41"/>
      <c r="Z167" s="41"/>
      <c r="AA167" s="41"/>
    </row>
    <row r="168" spans="1:27" ht="15.75" hidden="1" customHeight="1" x14ac:dyDescent="0.25">
      <c r="A168" s="51"/>
      <c r="B168" s="41"/>
      <c r="C168" s="41"/>
      <c r="D168" s="41"/>
      <c r="E168" s="41"/>
      <c r="F168" s="41"/>
      <c r="G168" s="41"/>
      <c r="H168" s="41"/>
      <c r="I168" s="41"/>
      <c r="J168" s="41"/>
      <c r="K168" s="41"/>
      <c r="L168" s="41"/>
      <c r="M168" s="41"/>
      <c r="N168" s="41"/>
      <c r="O168" s="41"/>
      <c r="P168" s="41"/>
      <c r="Q168" s="64"/>
      <c r="R168" s="41"/>
      <c r="S168" s="41"/>
      <c r="T168" s="41"/>
      <c r="U168" s="41"/>
      <c r="V168" s="41"/>
      <c r="W168" s="41"/>
      <c r="X168" s="41"/>
      <c r="Y168" s="41"/>
      <c r="Z168" s="41"/>
      <c r="AA168" s="41"/>
    </row>
    <row r="169" spans="1:27" ht="15.75" hidden="1" customHeight="1" x14ac:dyDescent="0.25">
      <c r="A169" s="51"/>
      <c r="B169" s="41"/>
      <c r="C169" s="41"/>
      <c r="D169" s="41"/>
      <c r="E169" s="41"/>
      <c r="F169" s="41"/>
      <c r="G169" s="41"/>
      <c r="H169" s="41"/>
      <c r="I169" s="41"/>
      <c r="J169" s="41"/>
      <c r="K169" s="41"/>
      <c r="L169" s="41"/>
      <c r="M169" s="41"/>
      <c r="N169" s="41"/>
      <c r="O169" s="41"/>
      <c r="P169" s="41"/>
      <c r="Q169" s="64"/>
      <c r="R169" s="41"/>
      <c r="S169" s="41"/>
      <c r="T169" s="41"/>
      <c r="U169" s="41"/>
      <c r="V169" s="41"/>
      <c r="W169" s="41"/>
      <c r="X169" s="41"/>
      <c r="Y169" s="41"/>
      <c r="Z169" s="41"/>
      <c r="AA169" s="41"/>
    </row>
    <row r="170" spans="1:27" ht="15.75" hidden="1" customHeight="1" x14ac:dyDescent="0.25">
      <c r="A170" s="51"/>
      <c r="B170" s="41"/>
      <c r="C170" s="41"/>
      <c r="D170" s="41"/>
      <c r="E170" s="41"/>
      <c r="F170" s="41"/>
      <c r="G170" s="41"/>
      <c r="H170" s="41"/>
      <c r="I170" s="41"/>
      <c r="J170" s="41"/>
      <c r="K170" s="41"/>
      <c r="L170" s="41"/>
      <c r="M170" s="41"/>
      <c r="N170" s="41"/>
      <c r="O170" s="41"/>
      <c r="P170" s="41"/>
      <c r="Q170" s="64"/>
      <c r="R170" s="41"/>
      <c r="S170" s="41"/>
      <c r="T170" s="41"/>
      <c r="U170" s="41"/>
      <c r="V170" s="41"/>
      <c r="W170" s="41"/>
      <c r="X170" s="41"/>
      <c r="Y170" s="41"/>
      <c r="Z170" s="41"/>
      <c r="AA170" s="41"/>
    </row>
    <row r="171" spans="1:27" ht="15.75" hidden="1" customHeight="1" x14ac:dyDescent="0.25">
      <c r="A171" s="51"/>
      <c r="B171" s="41"/>
      <c r="C171" s="41"/>
      <c r="D171" s="41"/>
      <c r="E171" s="41"/>
      <c r="F171" s="41"/>
      <c r="G171" s="41"/>
      <c r="H171" s="41"/>
      <c r="I171" s="41"/>
      <c r="J171" s="41"/>
      <c r="K171" s="41"/>
      <c r="L171" s="41"/>
      <c r="M171" s="41"/>
      <c r="N171" s="41"/>
      <c r="O171" s="41"/>
      <c r="P171" s="41"/>
      <c r="Q171" s="64"/>
      <c r="R171" s="41"/>
      <c r="S171" s="41"/>
      <c r="T171" s="41"/>
      <c r="U171" s="41"/>
      <c r="V171" s="41"/>
      <c r="W171" s="41"/>
      <c r="X171" s="41"/>
      <c r="Y171" s="41"/>
      <c r="Z171" s="41"/>
      <c r="AA171" s="41"/>
    </row>
    <row r="172" spans="1:27" ht="15.75" hidden="1" customHeight="1" x14ac:dyDescent="0.25">
      <c r="A172" s="51"/>
      <c r="B172" s="41"/>
      <c r="C172" s="41"/>
      <c r="D172" s="41"/>
      <c r="E172" s="41"/>
      <c r="F172" s="41"/>
      <c r="G172" s="41"/>
      <c r="H172" s="41"/>
      <c r="I172" s="41"/>
      <c r="J172" s="41"/>
      <c r="K172" s="41"/>
      <c r="L172" s="41"/>
      <c r="M172" s="41"/>
      <c r="N172" s="41"/>
      <c r="O172" s="41"/>
      <c r="P172" s="41"/>
      <c r="Q172" s="64"/>
      <c r="R172" s="41"/>
      <c r="S172" s="41"/>
      <c r="T172" s="41"/>
      <c r="U172" s="41"/>
      <c r="V172" s="41"/>
      <c r="W172" s="41"/>
      <c r="X172" s="41"/>
      <c r="Y172" s="41"/>
      <c r="Z172" s="41"/>
      <c r="AA172" s="41"/>
    </row>
    <row r="173" spans="1:27" ht="15.75" hidden="1" customHeight="1" x14ac:dyDescent="0.25">
      <c r="A173" s="51"/>
      <c r="B173" s="41"/>
      <c r="C173" s="41"/>
      <c r="D173" s="41"/>
      <c r="E173" s="41"/>
      <c r="F173" s="41"/>
      <c r="G173" s="41"/>
      <c r="H173" s="41"/>
      <c r="I173" s="41"/>
      <c r="J173" s="41"/>
      <c r="K173" s="41"/>
      <c r="L173" s="41"/>
      <c r="M173" s="41"/>
      <c r="N173" s="41"/>
      <c r="O173" s="41"/>
      <c r="P173" s="41"/>
      <c r="Q173" s="64"/>
      <c r="R173" s="41"/>
      <c r="S173" s="41"/>
      <c r="T173" s="41"/>
      <c r="U173" s="41"/>
      <c r="V173" s="41"/>
      <c r="W173" s="41"/>
      <c r="X173" s="41"/>
      <c r="Y173" s="41"/>
      <c r="Z173" s="41"/>
      <c r="AA173" s="41"/>
    </row>
    <row r="174" spans="1:27" ht="15.75" hidden="1" customHeight="1" x14ac:dyDescent="0.25">
      <c r="A174" s="51"/>
      <c r="B174" s="41"/>
      <c r="C174" s="41"/>
      <c r="D174" s="41"/>
      <c r="E174" s="41"/>
      <c r="F174" s="41"/>
      <c r="G174" s="41"/>
      <c r="H174" s="41"/>
      <c r="I174" s="41"/>
      <c r="J174" s="41"/>
      <c r="K174" s="41"/>
      <c r="L174" s="41"/>
      <c r="M174" s="41"/>
      <c r="N174" s="41"/>
      <c r="O174" s="41"/>
      <c r="P174" s="41"/>
      <c r="Q174" s="64"/>
      <c r="R174" s="41"/>
      <c r="S174" s="41"/>
      <c r="T174" s="41"/>
      <c r="U174" s="41"/>
      <c r="V174" s="41"/>
      <c r="W174" s="41"/>
      <c r="X174" s="41"/>
      <c r="Y174" s="41"/>
      <c r="Z174" s="41"/>
      <c r="AA174" s="41"/>
    </row>
    <row r="175" spans="1:27" ht="15.75" hidden="1" customHeight="1" x14ac:dyDescent="0.25">
      <c r="A175" s="51"/>
      <c r="B175" s="41"/>
      <c r="C175" s="41"/>
      <c r="D175" s="41"/>
      <c r="E175" s="41"/>
      <c r="F175" s="41"/>
      <c r="G175" s="41"/>
      <c r="H175" s="41"/>
      <c r="I175" s="41"/>
      <c r="J175" s="41"/>
      <c r="K175" s="41"/>
      <c r="L175" s="41"/>
      <c r="M175" s="41"/>
      <c r="N175" s="41"/>
      <c r="O175" s="41"/>
      <c r="P175" s="41"/>
      <c r="Q175" s="64"/>
      <c r="R175" s="41"/>
      <c r="S175" s="41"/>
      <c r="T175" s="41"/>
      <c r="U175" s="41"/>
      <c r="V175" s="41"/>
      <c r="W175" s="41"/>
      <c r="X175" s="41"/>
      <c r="Y175" s="41"/>
      <c r="Z175" s="41"/>
      <c r="AA175" s="41"/>
    </row>
    <row r="176" spans="1:27" ht="15.75" hidden="1" customHeight="1" x14ac:dyDescent="0.25">
      <c r="A176" s="51"/>
      <c r="B176" s="41"/>
      <c r="C176" s="41"/>
      <c r="D176" s="41"/>
      <c r="E176" s="41"/>
      <c r="F176" s="41"/>
      <c r="G176" s="41"/>
      <c r="H176" s="41"/>
      <c r="I176" s="41"/>
      <c r="J176" s="41"/>
      <c r="K176" s="41"/>
      <c r="L176" s="41"/>
      <c r="M176" s="41"/>
      <c r="N176" s="41"/>
      <c r="O176" s="41"/>
      <c r="P176" s="41"/>
      <c r="Q176" s="64"/>
      <c r="R176" s="41"/>
      <c r="S176" s="41"/>
      <c r="T176" s="41"/>
      <c r="U176" s="41"/>
      <c r="V176" s="41"/>
      <c r="W176" s="41"/>
      <c r="X176" s="41"/>
      <c r="Y176" s="41"/>
      <c r="Z176" s="41"/>
      <c r="AA176" s="41"/>
    </row>
    <row r="177" spans="1:27" ht="15.75" hidden="1" customHeight="1" x14ac:dyDescent="0.25">
      <c r="A177" s="51"/>
      <c r="B177" s="41"/>
      <c r="C177" s="41"/>
      <c r="D177" s="41"/>
      <c r="E177" s="41"/>
      <c r="F177" s="41"/>
      <c r="G177" s="41"/>
      <c r="H177" s="41"/>
      <c r="I177" s="41"/>
      <c r="J177" s="41"/>
      <c r="K177" s="41"/>
      <c r="L177" s="41"/>
      <c r="M177" s="41"/>
      <c r="N177" s="41"/>
      <c r="O177" s="41"/>
      <c r="P177" s="41"/>
      <c r="Q177" s="64"/>
      <c r="R177" s="41"/>
      <c r="S177" s="41"/>
      <c r="T177" s="41"/>
      <c r="U177" s="41"/>
      <c r="V177" s="41"/>
      <c r="W177" s="41"/>
      <c r="X177" s="41"/>
      <c r="Y177" s="41"/>
      <c r="Z177" s="41"/>
      <c r="AA177" s="41"/>
    </row>
    <row r="178" spans="1:27" ht="15.75" hidden="1" customHeight="1" x14ac:dyDescent="0.25">
      <c r="A178" s="51"/>
      <c r="B178" s="41"/>
      <c r="C178" s="41"/>
      <c r="D178" s="41"/>
      <c r="E178" s="41"/>
      <c r="F178" s="41"/>
      <c r="G178" s="41"/>
      <c r="H178" s="41"/>
      <c r="I178" s="41"/>
      <c r="J178" s="41"/>
      <c r="K178" s="41"/>
      <c r="L178" s="41"/>
      <c r="M178" s="41"/>
      <c r="N178" s="41"/>
      <c r="O178" s="41"/>
      <c r="P178" s="41"/>
      <c r="Q178" s="64"/>
      <c r="R178" s="41"/>
      <c r="S178" s="41"/>
      <c r="T178" s="41"/>
      <c r="U178" s="41"/>
      <c r="V178" s="41"/>
      <c r="W178" s="41"/>
      <c r="X178" s="41"/>
      <c r="Y178" s="41"/>
      <c r="Z178" s="41"/>
      <c r="AA178" s="41"/>
    </row>
    <row r="179" spans="1:27" ht="15.75" hidden="1" customHeight="1" x14ac:dyDescent="0.25">
      <c r="A179" s="51"/>
      <c r="B179" s="41"/>
      <c r="C179" s="41"/>
      <c r="D179" s="41"/>
      <c r="E179" s="41"/>
      <c r="F179" s="41"/>
      <c r="G179" s="41"/>
      <c r="H179" s="41"/>
      <c r="I179" s="41"/>
      <c r="J179" s="41"/>
      <c r="K179" s="41"/>
      <c r="L179" s="41"/>
      <c r="M179" s="41"/>
      <c r="N179" s="41"/>
      <c r="O179" s="41"/>
      <c r="P179" s="41"/>
      <c r="Q179" s="64"/>
      <c r="R179" s="41"/>
      <c r="S179" s="41"/>
      <c r="T179" s="41"/>
      <c r="U179" s="41"/>
      <c r="V179" s="41"/>
      <c r="W179" s="41"/>
      <c r="X179" s="41"/>
      <c r="Y179" s="41"/>
      <c r="Z179" s="41"/>
      <c r="AA179" s="41"/>
    </row>
    <row r="180" spans="1:27" ht="15.75" hidden="1" customHeight="1" x14ac:dyDescent="0.25">
      <c r="A180" s="51"/>
      <c r="B180" s="41"/>
      <c r="C180" s="41"/>
      <c r="D180" s="41"/>
      <c r="E180" s="41"/>
      <c r="F180" s="41"/>
      <c r="G180" s="41"/>
      <c r="H180" s="41"/>
      <c r="I180" s="41"/>
      <c r="J180" s="41"/>
      <c r="K180" s="41"/>
      <c r="L180" s="41"/>
      <c r="M180" s="41"/>
      <c r="N180" s="41"/>
      <c r="O180" s="41"/>
      <c r="P180" s="41"/>
      <c r="Q180" s="64"/>
      <c r="R180" s="41"/>
      <c r="S180" s="41"/>
      <c r="T180" s="41"/>
      <c r="U180" s="41"/>
      <c r="V180" s="41"/>
      <c r="W180" s="41"/>
      <c r="X180" s="41"/>
      <c r="Y180" s="41"/>
      <c r="Z180" s="41"/>
      <c r="AA180" s="41"/>
    </row>
    <row r="181" spans="1:27" ht="15.75" hidden="1" customHeight="1" x14ac:dyDescent="0.25">
      <c r="A181" s="51"/>
      <c r="B181" s="41"/>
      <c r="C181" s="41"/>
      <c r="D181" s="41"/>
      <c r="E181" s="41"/>
      <c r="F181" s="41"/>
      <c r="G181" s="41"/>
      <c r="H181" s="41"/>
      <c r="I181" s="41"/>
      <c r="J181" s="41"/>
      <c r="K181" s="41"/>
      <c r="L181" s="41"/>
      <c r="M181" s="41"/>
      <c r="N181" s="41"/>
      <c r="O181" s="41"/>
      <c r="P181" s="41"/>
      <c r="Q181" s="64"/>
      <c r="R181" s="41"/>
      <c r="S181" s="41"/>
      <c r="T181" s="41"/>
      <c r="U181" s="41"/>
      <c r="V181" s="41"/>
      <c r="W181" s="41"/>
      <c r="X181" s="41"/>
      <c r="Y181" s="41"/>
      <c r="Z181" s="41"/>
      <c r="AA181" s="41"/>
    </row>
    <row r="182" spans="1:27" ht="15.75" hidden="1" customHeight="1" x14ac:dyDescent="0.25">
      <c r="A182" s="51"/>
      <c r="B182" s="41"/>
      <c r="C182" s="41"/>
      <c r="D182" s="41"/>
      <c r="E182" s="41"/>
      <c r="F182" s="41"/>
      <c r="G182" s="41"/>
      <c r="H182" s="41"/>
      <c r="I182" s="41"/>
      <c r="J182" s="41"/>
      <c r="K182" s="41"/>
      <c r="L182" s="41"/>
      <c r="M182" s="41"/>
      <c r="N182" s="41"/>
      <c r="O182" s="41"/>
      <c r="P182" s="41"/>
      <c r="Q182" s="64"/>
      <c r="R182" s="41"/>
      <c r="S182" s="41"/>
      <c r="T182" s="41"/>
      <c r="U182" s="41"/>
      <c r="V182" s="41"/>
      <c r="W182" s="41"/>
      <c r="X182" s="41"/>
      <c r="Y182" s="41"/>
      <c r="Z182" s="41"/>
      <c r="AA182" s="41"/>
    </row>
    <row r="183" spans="1:27" ht="15.75" hidden="1" customHeight="1" x14ac:dyDescent="0.25">
      <c r="A183" s="51"/>
      <c r="B183" s="41"/>
      <c r="C183" s="41"/>
      <c r="D183" s="41"/>
      <c r="E183" s="41"/>
      <c r="F183" s="41"/>
      <c r="G183" s="41"/>
      <c r="H183" s="41"/>
      <c r="I183" s="41"/>
      <c r="J183" s="41"/>
      <c r="K183" s="41"/>
      <c r="L183" s="41"/>
      <c r="M183" s="41"/>
      <c r="N183" s="41"/>
      <c r="O183" s="41"/>
      <c r="P183" s="41"/>
      <c r="Q183" s="64"/>
      <c r="R183" s="41"/>
      <c r="S183" s="41"/>
      <c r="T183" s="41"/>
      <c r="U183" s="41"/>
      <c r="V183" s="41"/>
      <c r="W183" s="41"/>
      <c r="X183" s="41"/>
      <c r="Y183" s="41"/>
      <c r="Z183" s="41"/>
      <c r="AA183" s="41"/>
    </row>
    <row r="184" spans="1:27" ht="15.75" hidden="1" customHeight="1" x14ac:dyDescent="0.25">
      <c r="A184" s="51"/>
      <c r="B184" s="41"/>
      <c r="C184" s="41"/>
      <c r="D184" s="41"/>
      <c r="E184" s="41"/>
      <c r="F184" s="41"/>
      <c r="G184" s="41"/>
      <c r="H184" s="41"/>
      <c r="I184" s="41"/>
      <c r="J184" s="41"/>
      <c r="K184" s="41"/>
      <c r="L184" s="41"/>
      <c r="M184" s="41"/>
      <c r="N184" s="41"/>
      <c r="O184" s="41"/>
      <c r="P184" s="41"/>
      <c r="Q184" s="64"/>
      <c r="R184" s="41"/>
      <c r="S184" s="41"/>
      <c r="T184" s="41"/>
      <c r="U184" s="41"/>
      <c r="V184" s="41"/>
      <c r="W184" s="41"/>
      <c r="X184" s="41"/>
      <c r="Y184" s="41"/>
      <c r="Z184" s="41"/>
      <c r="AA184" s="41"/>
    </row>
    <row r="185" spans="1:27" ht="15.75" hidden="1" customHeight="1" x14ac:dyDescent="0.25">
      <c r="A185" s="51"/>
      <c r="B185" s="41"/>
      <c r="C185" s="41"/>
      <c r="D185" s="41"/>
      <c r="E185" s="41"/>
      <c r="F185" s="41"/>
      <c r="G185" s="41"/>
      <c r="H185" s="41"/>
      <c r="I185" s="41"/>
      <c r="J185" s="41"/>
      <c r="K185" s="41"/>
      <c r="L185" s="41"/>
      <c r="M185" s="41"/>
      <c r="N185" s="41"/>
      <c r="O185" s="41"/>
      <c r="P185" s="41"/>
      <c r="Q185" s="64"/>
      <c r="R185" s="41"/>
      <c r="S185" s="41"/>
      <c r="T185" s="41"/>
      <c r="U185" s="41"/>
      <c r="V185" s="41"/>
      <c r="W185" s="41"/>
      <c r="X185" s="41"/>
      <c r="Y185" s="41"/>
      <c r="Z185" s="41"/>
      <c r="AA185" s="41"/>
    </row>
    <row r="186" spans="1:27" ht="15.75" hidden="1" customHeight="1" x14ac:dyDescent="0.25">
      <c r="A186" s="51"/>
      <c r="B186" s="41"/>
      <c r="C186" s="41"/>
      <c r="D186" s="41"/>
      <c r="E186" s="41"/>
      <c r="F186" s="41"/>
      <c r="G186" s="41"/>
      <c r="H186" s="41"/>
      <c r="I186" s="41"/>
      <c r="J186" s="41"/>
      <c r="K186" s="41"/>
      <c r="L186" s="41"/>
      <c r="M186" s="41"/>
      <c r="N186" s="41"/>
      <c r="O186" s="41"/>
      <c r="P186" s="41"/>
      <c r="Q186" s="64"/>
      <c r="R186" s="41"/>
      <c r="S186" s="41"/>
      <c r="T186" s="41"/>
      <c r="U186" s="41"/>
      <c r="V186" s="41"/>
      <c r="W186" s="41"/>
      <c r="X186" s="41"/>
      <c r="Y186" s="41"/>
      <c r="Z186" s="41"/>
      <c r="AA186" s="41"/>
    </row>
    <row r="187" spans="1:27" ht="15.75" hidden="1" customHeight="1" x14ac:dyDescent="0.25">
      <c r="A187" s="51"/>
      <c r="B187" s="41"/>
      <c r="C187" s="41"/>
      <c r="D187" s="41"/>
      <c r="E187" s="41"/>
      <c r="F187" s="41"/>
      <c r="G187" s="41"/>
      <c r="H187" s="41"/>
      <c r="I187" s="41"/>
      <c r="J187" s="41"/>
      <c r="K187" s="41"/>
      <c r="L187" s="41"/>
      <c r="M187" s="41"/>
      <c r="N187" s="41"/>
      <c r="O187" s="41"/>
      <c r="P187" s="41"/>
      <c r="Q187" s="64"/>
      <c r="R187" s="41"/>
      <c r="S187" s="41"/>
      <c r="T187" s="41"/>
      <c r="U187" s="41"/>
      <c r="V187" s="41"/>
      <c r="W187" s="41"/>
      <c r="X187" s="41"/>
      <c r="Y187" s="41"/>
      <c r="Z187" s="41"/>
      <c r="AA187" s="41"/>
    </row>
    <row r="188" spans="1:27" ht="15.75" hidden="1" customHeight="1" x14ac:dyDescent="0.25">
      <c r="A188" s="51"/>
      <c r="B188" s="41"/>
      <c r="C188" s="41"/>
      <c r="D188" s="41"/>
      <c r="E188" s="41"/>
      <c r="F188" s="41"/>
      <c r="G188" s="41"/>
      <c r="H188" s="41"/>
      <c r="I188" s="41"/>
      <c r="J188" s="41"/>
      <c r="K188" s="41"/>
      <c r="L188" s="41"/>
      <c r="M188" s="41"/>
      <c r="N188" s="41"/>
      <c r="O188" s="41"/>
      <c r="P188" s="41"/>
      <c r="Q188" s="64"/>
      <c r="R188" s="41"/>
      <c r="S188" s="41"/>
      <c r="T188" s="41"/>
      <c r="U188" s="41"/>
      <c r="V188" s="41"/>
      <c r="W188" s="41"/>
      <c r="X188" s="41"/>
      <c r="Y188" s="41"/>
      <c r="Z188" s="41"/>
      <c r="AA188" s="41"/>
    </row>
    <row r="189" spans="1:27" ht="15.75" hidden="1" customHeight="1" x14ac:dyDescent="0.25">
      <c r="A189" s="51"/>
      <c r="B189" s="41"/>
      <c r="C189" s="41"/>
      <c r="D189" s="41"/>
      <c r="E189" s="41"/>
      <c r="F189" s="41"/>
      <c r="G189" s="41"/>
      <c r="H189" s="41"/>
      <c r="I189" s="41"/>
      <c r="J189" s="41"/>
      <c r="K189" s="41"/>
      <c r="L189" s="41"/>
      <c r="M189" s="41"/>
      <c r="N189" s="41"/>
      <c r="O189" s="41"/>
      <c r="P189" s="41"/>
      <c r="Q189" s="64"/>
      <c r="R189" s="41"/>
      <c r="S189" s="41"/>
      <c r="T189" s="41"/>
      <c r="U189" s="41"/>
      <c r="V189" s="41"/>
      <c r="W189" s="41"/>
      <c r="X189" s="41"/>
      <c r="Y189" s="41"/>
      <c r="Z189" s="41"/>
      <c r="AA189" s="41"/>
    </row>
    <row r="190" spans="1:27" ht="15.75" hidden="1" customHeight="1" x14ac:dyDescent="0.25">
      <c r="A190" s="51"/>
      <c r="B190" s="41"/>
      <c r="C190" s="41"/>
      <c r="D190" s="41"/>
      <c r="E190" s="41"/>
      <c r="F190" s="41"/>
      <c r="G190" s="41"/>
      <c r="H190" s="41"/>
      <c r="I190" s="41"/>
      <c r="J190" s="41"/>
      <c r="K190" s="41"/>
      <c r="L190" s="41"/>
      <c r="M190" s="41"/>
      <c r="N190" s="41"/>
      <c r="O190" s="41"/>
      <c r="P190" s="41"/>
      <c r="Q190" s="64"/>
      <c r="R190" s="41"/>
      <c r="S190" s="41"/>
      <c r="T190" s="41"/>
      <c r="U190" s="41"/>
      <c r="V190" s="41"/>
      <c r="W190" s="41"/>
      <c r="X190" s="41"/>
      <c r="Y190" s="41"/>
      <c r="Z190" s="41"/>
      <c r="AA190" s="41"/>
    </row>
    <row r="191" spans="1:27" ht="15.75" hidden="1" customHeight="1" x14ac:dyDescent="0.25">
      <c r="A191" s="51"/>
      <c r="B191" s="41"/>
      <c r="C191" s="41"/>
      <c r="D191" s="41"/>
      <c r="E191" s="41"/>
      <c r="F191" s="41"/>
      <c r="G191" s="41"/>
      <c r="H191" s="41"/>
      <c r="I191" s="41"/>
      <c r="J191" s="41"/>
      <c r="K191" s="41"/>
      <c r="L191" s="41"/>
      <c r="M191" s="41"/>
      <c r="N191" s="41"/>
      <c r="O191" s="41"/>
      <c r="P191" s="41"/>
      <c r="Q191" s="64"/>
      <c r="R191" s="41"/>
      <c r="S191" s="41"/>
      <c r="T191" s="41"/>
      <c r="U191" s="41"/>
      <c r="V191" s="41"/>
      <c r="W191" s="41"/>
      <c r="X191" s="41"/>
      <c r="Y191" s="41"/>
      <c r="Z191" s="41"/>
      <c r="AA191" s="41"/>
    </row>
    <row r="192" spans="1:27" ht="15.75" hidden="1" customHeight="1" x14ac:dyDescent="0.25">
      <c r="A192" s="51"/>
      <c r="B192" s="41"/>
      <c r="C192" s="41"/>
      <c r="D192" s="41"/>
      <c r="E192" s="41"/>
      <c r="F192" s="41"/>
      <c r="G192" s="41"/>
      <c r="H192" s="41"/>
      <c r="I192" s="41"/>
      <c r="J192" s="41"/>
      <c r="K192" s="41"/>
      <c r="L192" s="41"/>
      <c r="M192" s="41"/>
      <c r="N192" s="41"/>
      <c r="O192" s="41"/>
      <c r="P192" s="41"/>
      <c r="Q192" s="64"/>
      <c r="R192" s="41"/>
      <c r="S192" s="41"/>
      <c r="T192" s="41"/>
      <c r="U192" s="41"/>
      <c r="V192" s="41"/>
      <c r="W192" s="41"/>
      <c r="X192" s="41"/>
      <c r="Y192" s="41"/>
      <c r="Z192" s="41"/>
      <c r="AA192" s="41"/>
    </row>
    <row r="193" spans="1:27" ht="15.75" hidden="1" customHeight="1" x14ac:dyDescent="0.25">
      <c r="A193" s="51"/>
      <c r="B193" s="41"/>
      <c r="C193" s="41"/>
      <c r="D193" s="41"/>
      <c r="E193" s="41"/>
      <c r="F193" s="41"/>
      <c r="G193" s="41"/>
      <c r="H193" s="41"/>
      <c r="I193" s="41"/>
      <c r="J193" s="41"/>
      <c r="K193" s="41"/>
      <c r="L193" s="41"/>
      <c r="M193" s="41"/>
      <c r="N193" s="41"/>
      <c r="O193" s="41"/>
      <c r="P193" s="41"/>
      <c r="Q193" s="64"/>
      <c r="R193" s="41"/>
      <c r="S193" s="41"/>
      <c r="T193" s="41"/>
      <c r="U193" s="41"/>
      <c r="V193" s="41"/>
      <c r="W193" s="41"/>
      <c r="X193" s="41"/>
      <c r="Y193" s="41"/>
      <c r="Z193" s="41"/>
      <c r="AA193" s="41"/>
    </row>
    <row r="194" spans="1:27" ht="15.75" hidden="1" customHeight="1" x14ac:dyDescent="0.25">
      <c r="A194" s="51"/>
      <c r="B194" s="41"/>
      <c r="C194" s="41"/>
      <c r="D194" s="41"/>
      <c r="E194" s="41"/>
      <c r="F194" s="41"/>
      <c r="G194" s="41"/>
      <c r="H194" s="41"/>
      <c r="I194" s="41"/>
      <c r="J194" s="41"/>
      <c r="K194" s="41"/>
      <c r="L194" s="41"/>
      <c r="M194" s="41"/>
      <c r="N194" s="41"/>
      <c r="O194" s="41"/>
      <c r="P194" s="41"/>
      <c r="Q194" s="64"/>
      <c r="R194" s="41"/>
      <c r="S194" s="41"/>
      <c r="T194" s="41"/>
      <c r="U194" s="41"/>
      <c r="V194" s="41"/>
      <c r="W194" s="41"/>
      <c r="X194" s="41"/>
      <c r="Y194" s="41"/>
      <c r="Z194" s="41"/>
      <c r="AA194" s="41"/>
    </row>
    <row r="195" spans="1:27" ht="15.75" hidden="1" customHeight="1" x14ac:dyDescent="0.25">
      <c r="A195" s="51"/>
      <c r="B195" s="41"/>
      <c r="C195" s="41"/>
      <c r="D195" s="41"/>
      <c r="E195" s="41"/>
      <c r="F195" s="41"/>
      <c r="G195" s="41"/>
      <c r="H195" s="41"/>
      <c r="I195" s="41"/>
      <c r="J195" s="41"/>
      <c r="K195" s="41"/>
      <c r="L195" s="41"/>
      <c r="M195" s="41"/>
      <c r="N195" s="41"/>
      <c r="O195" s="41"/>
      <c r="P195" s="41"/>
      <c r="Q195" s="64"/>
      <c r="R195" s="41"/>
      <c r="S195" s="41"/>
      <c r="T195" s="41"/>
      <c r="U195" s="41"/>
      <c r="V195" s="41"/>
      <c r="W195" s="41"/>
      <c r="X195" s="41"/>
      <c r="Y195" s="41"/>
      <c r="Z195" s="41"/>
      <c r="AA195" s="41"/>
    </row>
    <row r="196" spans="1:27" ht="15.75" hidden="1" customHeight="1" x14ac:dyDescent="0.25">
      <c r="A196" s="51"/>
      <c r="B196" s="41"/>
      <c r="C196" s="41"/>
      <c r="D196" s="41"/>
      <c r="E196" s="41"/>
      <c r="F196" s="41"/>
      <c r="G196" s="41"/>
      <c r="H196" s="41"/>
      <c r="I196" s="41"/>
      <c r="J196" s="41"/>
      <c r="K196" s="41"/>
      <c r="L196" s="41"/>
      <c r="M196" s="41"/>
      <c r="N196" s="41"/>
      <c r="O196" s="41"/>
      <c r="P196" s="41"/>
      <c r="Q196" s="64"/>
      <c r="R196" s="41"/>
      <c r="S196" s="41"/>
      <c r="T196" s="41"/>
      <c r="U196" s="41"/>
      <c r="V196" s="41"/>
      <c r="W196" s="41"/>
      <c r="X196" s="41"/>
      <c r="Y196" s="41"/>
      <c r="Z196" s="41"/>
      <c r="AA196" s="41"/>
    </row>
    <row r="197" spans="1:27" ht="15.75" hidden="1" customHeight="1" x14ac:dyDescent="0.25">
      <c r="A197" s="51"/>
      <c r="B197" s="41"/>
      <c r="C197" s="41"/>
      <c r="D197" s="41"/>
      <c r="E197" s="41"/>
      <c r="F197" s="41"/>
      <c r="G197" s="41"/>
      <c r="H197" s="41"/>
      <c r="I197" s="41"/>
      <c r="J197" s="41"/>
      <c r="K197" s="41"/>
      <c r="L197" s="41"/>
      <c r="M197" s="41"/>
      <c r="N197" s="41"/>
      <c r="O197" s="41"/>
      <c r="P197" s="41"/>
      <c r="Q197" s="64"/>
      <c r="R197" s="41"/>
      <c r="S197" s="41"/>
      <c r="T197" s="41"/>
      <c r="U197" s="41"/>
      <c r="V197" s="41"/>
      <c r="W197" s="41"/>
      <c r="X197" s="41"/>
      <c r="Y197" s="41"/>
      <c r="Z197" s="41"/>
      <c r="AA197" s="41"/>
    </row>
    <row r="198" spans="1:27" ht="15.75" hidden="1" customHeight="1" x14ac:dyDescent="0.25">
      <c r="A198" s="51"/>
      <c r="B198" s="41"/>
      <c r="C198" s="41"/>
      <c r="D198" s="41"/>
      <c r="E198" s="41"/>
      <c r="F198" s="41"/>
      <c r="G198" s="41"/>
      <c r="H198" s="41"/>
      <c r="I198" s="41"/>
      <c r="J198" s="41"/>
      <c r="K198" s="41"/>
      <c r="L198" s="41"/>
      <c r="M198" s="41"/>
      <c r="N198" s="41"/>
      <c r="O198" s="41"/>
      <c r="P198" s="41"/>
      <c r="Q198" s="64"/>
      <c r="R198" s="41"/>
      <c r="S198" s="41"/>
      <c r="T198" s="41"/>
      <c r="U198" s="41"/>
      <c r="V198" s="41"/>
      <c r="W198" s="41"/>
      <c r="X198" s="41"/>
      <c r="Y198" s="41"/>
      <c r="Z198" s="41"/>
      <c r="AA198" s="41"/>
    </row>
    <row r="199" spans="1:27" ht="15.75" hidden="1" customHeight="1" x14ac:dyDescent="0.25">
      <c r="A199" s="51"/>
      <c r="B199" s="41"/>
      <c r="C199" s="41"/>
      <c r="D199" s="41"/>
      <c r="E199" s="41"/>
      <c r="F199" s="41"/>
      <c r="G199" s="41"/>
      <c r="H199" s="41"/>
      <c r="I199" s="41"/>
      <c r="J199" s="41"/>
      <c r="K199" s="41"/>
      <c r="L199" s="41"/>
      <c r="M199" s="41"/>
      <c r="N199" s="41"/>
      <c r="O199" s="41"/>
      <c r="P199" s="41"/>
      <c r="Q199" s="64"/>
      <c r="R199" s="41"/>
      <c r="S199" s="41"/>
      <c r="T199" s="41"/>
      <c r="U199" s="41"/>
      <c r="V199" s="41"/>
      <c r="W199" s="41"/>
      <c r="X199" s="41"/>
      <c r="Y199" s="41"/>
      <c r="Z199" s="41"/>
      <c r="AA199" s="41"/>
    </row>
    <row r="200" spans="1:27" ht="15.75" hidden="1" customHeight="1" x14ac:dyDescent="0.25">
      <c r="A200" s="51"/>
      <c r="B200" s="41"/>
      <c r="C200" s="41"/>
      <c r="D200" s="41"/>
      <c r="E200" s="41"/>
      <c r="F200" s="41"/>
      <c r="G200" s="41"/>
      <c r="H200" s="41"/>
      <c r="I200" s="41"/>
      <c r="J200" s="41"/>
      <c r="K200" s="41"/>
      <c r="L200" s="41"/>
      <c r="M200" s="41"/>
      <c r="N200" s="41"/>
      <c r="O200" s="41"/>
      <c r="P200" s="41"/>
      <c r="Q200" s="64"/>
      <c r="R200" s="41"/>
      <c r="S200" s="41"/>
      <c r="T200" s="41"/>
      <c r="U200" s="41"/>
      <c r="V200" s="41"/>
      <c r="W200" s="41"/>
      <c r="X200" s="41"/>
      <c r="Y200" s="41"/>
      <c r="Z200" s="41"/>
      <c r="AA200" s="41"/>
    </row>
    <row r="201" spans="1:27" ht="15.75" hidden="1" customHeight="1" x14ac:dyDescent="0.25">
      <c r="A201" s="51"/>
      <c r="B201" s="41"/>
      <c r="C201" s="41"/>
      <c r="D201" s="41"/>
      <c r="E201" s="41"/>
      <c r="F201" s="41"/>
      <c r="G201" s="41"/>
      <c r="H201" s="41"/>
      <c r="I201" s="41"/>
      <c r="J201" s="41"/>
      <c r="K201" s="41"/>
      <c r="L201" s="41"/>
      <c r="M201" s="41"/>
      <c r="N201" s="41"/>
      <c r="O201" s="41"/>
      <c r="P201" s="41"/>
      <c r="Q201" s="64"/>
      <c r="R201" s="41"/>
      <c r="S201" s="41"/>
      <c r="T201" s="41"/>
      <c r="U201" s="41"/>
      <c r="V201" s="41"/>
      <c r="W201" s="41"/>
      <c r="X201" s="41"/>
      <c r="Y201" s="41"/>
      <c r="Z201" s="41"/>
      <c r="AA201" s="41"/>
    </row>
    <row r="202" spans="1:27" ht="15.75" hidden="1" customHeight="1" x14ac:dyDescent="0.25">
      <c r="A202" s="51"/>
      <c r="B202" s="41"/>
      <c r="C202" s="41"/>
      <c r="D202" s="41"/>
      <c r="E202" s="41"/>
      <c r="F202" s="41"/>
      <c r="G202" s="41"/>
      <c r="H202" s="41"/>
      <c r="I202" s="41"/>
      <c r="J202" s="41"/>
      <c r="K202" s="41"/>
      <c r="L202" s="41"/>
      <c r="M202" s="41"/>
      <c r="N202" s="41"/>
      <c r="O202" s="41"/>
      <c r="P202" s="41"/>
      <c r="Q202" s="64"/>
      <c r="R202" s="41"/>
      <c r="S202" s="41"/>
      <c r="T202" s="41"/>
      <c r="U202" s="41"/>
      <c r="V202" s="41"/>
      <c r="W202" s="41"/>
      <c r="X202" s="41"/>
      <c r="Y202" s="41"/>
      <c r="Z202" s="41"/>
      <c r="AA202" s="41"/>
    </row>
    <row r="203" spans="1:27" ht="15.75" hidden="1" customHeight="1" x14ac:dyDescent="0.25">
      <c r="A203" s="51"/>
      <c r="B203" s="41"/>
      <c r="C203" s="41"/>
      <c r="D203" s="41"/>
      <c r="E203" s="41"/>
      <c r="F203" s="41"/>
      <c r="G203" s="41"/>
      <c r="H203" s="41"/>
      <c r="I203" s="41"/>
      <c r="J203" s="41"/>
      <c r="K203" s="41"/>
      <c r="L203" s="41"/>
      <c r="M203" s="41"/>
      <c r="N203" s="41"/>
      <c r="O203" s="41"/>
      <c r="P203" s="41"/>
      <c r="Q203" s="64"/>
      <c r="R203" s="41"/>
      <c r="S203" s="41"/>
      <c r="T203" s="41"/>
      <c r="U203" s="41"/>
      <c r="V203" s="41"/>
      <c r="W203" s="41"/>
      <c r="X203" s="41"/>
      <c r="Y203" s="41"/>
      <c r="Z203" s="41"/>
      <c r="AA203" s="41"/>
    </row>
    <row r="204" spans="1:27" ht="15.75" hidden="1" customHeight="1" x14ac:dyDescent="0.25">
      <c r="A204" s="51"/>
      <c r="B204" s="41"/>
      <c r="C204" s="41"/>
      <c r="D204" s="41"/>
      <c r="E204" s="41"/>
      <c r="F204" s="41"/>
      <c r="G204" s="41"/>
      <c r="H204" s="41"/>
      <c r="I204" s="41"/>
      <c r="J204" s="41"/>
      <c r="K204" s="41"/>
      <c r="L204" s="41"/>
      <c r="M204" s="41"/>
      <c r="N204" s="41"/>
      <c r="O204" s="41"/>
      <c r="P204" s="41"/>
      <c r="Q204" s="64"/>
      <c r="R204" s="41"/>
      <c r="S204" s="41"/>
      <c r="T204" s="41"/>
      <c r="U204" s="41"/>
      <c r="V204" s="41"/>
      <c r="W204" s="41"/>
      <c r="X204" s="41"/>
      <c r="Y204" s="41"/>
      <c r="Z204" s="41"/>
      <c r="AA204" s="41"/>
    </row>
    <row r="205" spans="1:27" ht="15.75" hidden="1" customHeight="1" x14ac:dyDescent="0.25">
      <c r="A205" s="51"/>
      <c r="B205" s="41"/>
      <c r="C205" s="41"/>
      <c r="D205" s="41"/>
      <c r="E205" s="41"/>
      <c r="F205" s="41"/>
      <c r="G205" s="41"/>
      <c r="H205" s="41"/>
      <c r="I205" s="41"/>
      <c r="J205" s="41"/>
      <c r="K205" s="41"/>
      <c r="L205" s="41"/>
      <c r="M205" s="41"/>
      <c r="N205" s="41"/>
      <c r="O205" s="41"/>
      <c r="P205" s="41"/>
      <c r="Q205" s="64"/>
      <c r="R205" s="41"/>
      <c r="S205" s="41"/>
      <c r="T205" s="41"/>
      <c r="U205" s="41"/>
      <c r="V205" s="41"/>
      <c r="W205" s="41"/>
      <c r="X205" s="41"/>
      <c r="Y205" s="41"/>
      <c r="Z205" s="41"/>
      <c r="AA205" s="41"/>
    </row>
    <row r="206" spans="1:27" ht="15.75" hidden="1" customHeight="1" x14ac:dyDescent="0.25">
      <c r="A206" s="51"/>
      <c r="B206" s="41"/>
      <c r="C206" s="41"/>
      <c r="D206" s="41"/>
      <c r="E206" s="41"/>
      <c r="F206" s="41"/>
      <c r="G206" s="41"/>
      <c r="H206" s="41"/>
      <c r="I206" s="41"/>
      <c r="J206" s="41"/>
      <c r="K206" s="41"/>
      <c r="L206" s="41"/>
      <c r="M206" s="41"/>
      <c r="N206" s="41"/>
      <c r="O206" s="41"/>
      <c r="P206" s="41"/>
      <c r="Q206" s="64"/>
      <c r="R206" s="41"/>
      <c r="S206" s="41"/>
      <c r="T206" s="41"/>
      <c r="U206" s="41"/>
      <c r="V206" s="41"/>
      <c r="W206" s="41"/>
      <c r="X206" s="41"/>
      <c r="Y206" s="41"/>
      <c r="Z206" s="41"/>
      <c r="AA206" s="41"/>
    </row>
    <row r="207" spans="1:27" ht="15.75" hidden="1" customHeight="1" x14ac:dyDescent="0.25">
      <c r="A207" s="51"/>
      <c r="B207" s="41"/>
      <c r="C207" s="41"/>
      <c r="D207" s="41"/>
      <c r="E207" s="41"/>
      <c r="F207" s="41"/>
      <c r="G207" s="41"/>
      <c r="H207" s="41"/>
      <c r="I207" s="41"/>
      <c r="J207" s="41"/>
      <c r="K207" s="41"/>
      <c r="L207" s="41"/>
      <c r="M207" s="41"/>
      <c r="N207" s="41"/>
      <c r="O207" s="41"/>
      <c r="P207" s="41"/>
      <c r="Q207" s="64"/>
      <c r="R207" s="41"/>
      <c r="S207" s="41"/>
      <c r="T207" s="41"/>
      <c r="U207" s="41"/>
      <c r="V207" s="41"/>
      <c r="W207" s="41"/>
      <c r="X207" s="41"/>
      <c r="Y207" s="41"/>
      <c r="Z207" s="41"/>
      <c r="AA207" s="41"/>
    </row>
    <row r="208" spans="1:27" ht="15.75" hidden="1" customHeight="1" x14ac:dyDescent="0.25">
      <c r="A208" s="51"/>
      <c r="B208" s="41"/>
      <c r="C208" s="41"/>
      <c r="D208" s="41"/>
      <c r="E208" s="41"/>
      <c r="F208" s="41"/>
      <c r="G208" s="41"/>
      <c r="H208" s="41"/>
      <c r="I208" s="41"/>
      <c r="J208" s="41"/>
      <c r="K208" s="41"/>
      <c r="L208" s="41"/>
      <c r="M208" s="41"/>
      <c r="N208" s="41"/>
      <c r="O208" s="41"/>
      <c r="P208" s="41"/>
      <c r="Q208" s="64"/>
      <c r="R208" s="41"/>
      <c r="S208" s="41"/>
      <c r="T208" s="41"/>
      <c r="U208" s="41"/>
      <c r="V208" s="41"/>
      <c r="W208" s="41"/>
      <c r="X208" s="41"/>
      <c r="Y208" s="41"/>
      <c r="Z208" s="41"/>
      <c r="AA208" s="41"/>
    </row>
    <row r="209" spans="1:27" ht="15.75" hidden="1" customHeight="1" x14ac:dyDescent="0.25">
      <c r="A209" s="51"/>
      <c r="B209" s="41"/>
      <c r="C209" s="41"/>
      <c r="D209" s="41"/>
      <c r="E209" s="41"/>
      <c r="F209" s="41"/>
      <c r="G209" s="41"/>
      <c r="H209" s="41"/>
      <c r="I209" s="41"/>
      <c r="J209" s="41"/>
      <c r="K209" s="41"/>
      <c r="L209" s="41"/>
      <c r="M209" s="41"/>
      <c r="N209" s="41"/>
      <c r="O209" s="41"/>
      <c r="P209" s="41"/>
      <c r="Q209" s="64"/>
      <c r="R209" s="41"/>
      <c r="S209" s="41"/>
      <c r="T209" s="41"/>
      <c r="U209" s="41"/>
      <c r="V209" s="41"/>
      <c r="W209" s="41"/>
      <c r="X209" s="41"/>
      <c r="Y209" s="41"/>
      <c r="Z209" s="41"/>
      <c r="AA209" s="41"/>
    </row>
    <row r="210" spans="1:27" ht="15.75" hidden="1" customHeight="1" x14ac:dyDescent="0.25">
      <c r="A210" s="51"/>
      <c r="B210" s="41"/>
      <c r="C210" s="41"/>
      <c r="D210" s="41"/>
      <c r="E210" s="41"/>
      <c r="F210" s="41"/>
      <c r="G210" s="41"/>
      <c r="H210" s="41"/>
      <c r="I210" s="41"/>
      <c r="J210" s="41"/>
      <c r="K210" s="41"/>
      <c r="L210" s="41"/>
      <c r="M210" s="41"/>
      <c r="N210" s="41"/>
      <c r="O210" s="41"/>
      <c r="P210" s="41"/>
      <c r="Q210" s="64"/>
      <c r="R210" s="41"/>
      <c r="S210" s="41"/>
      <c r="T210" s="41"/>
      <c r="U210" s="41"/>
      <c r="V210" s="41"/>
      <c r="W210" s="41"/>
      <c r="X210" s="41"/>
      <c r="Y210" s="41"/>
      <c r="Z210" s="41"/>
      <c r="AA210" s="41"/>
    </row>
    <row r="211" spans="1:27" ht="15.75" hidden="1" customHeight="1" x14ac:dyDescent="0.25">
      <c r="A211" s="51"/>
      <c r="B211" s="41"/>
      <c r="C211" s="41"/>
      <c r="D211" s="41"/>
      <c r="E211" s="41"/>
      <c r="F211" s="41"/>
      <c r="G211" s="41"/>
      <c r="H211" s="41"/>
      <c r="I211" s="41"/>
      <c r="J211" s="41"/>
      <c r="K211" s="41"/>
      <c r="L211" s="41"/>
      <c r="M211" s="41"/>
      <c r="N211" s="41"/>
      <c r="O211" s="41"/>
      <c r="P211" s="41"/>
      <c r="Q211" s="64"/>
      <c r="R211" s="41"/>
      <c r="S211" s="41"/>
      <c r="T211" s="41"/>
      <c r="U211" s="41"/>
      <c r="V211" s="41"/>
      <c r="W211" s="41"/>
      <c r="X211" s="41"/>
      <c r="Y211" s="41"/>
      <c r="Z211" s="41"/>
      <c r="AA211" s="41"/>
    </row>
    <row r="212" spans="1:27" ht="15.75" hidden="1" customHeight="1" x14ac:dyDescent="0.25">
      <c r="A212" s="51"/>
      <c r="B212" s="41"/>
      <c r="C212" s="41"/>
      <c r="D212" s="41"/>
      <c r="E212" s="41"/>
      <c r="F212" s="41"/>
      <c r="G212" s="41"/>
      <c r="H212" s="41"/>
      <c r="I212" s="41"/>
      <c r="J212" s="41"/>
      <c r="K212" s="41"/>
      <c r="L212" s="41"/>
      <c r="M212" s="41"/>
      <c r="N212" s="41"/>
      <c r="O212" s="41"/>
      <c r="P212" s="41"/>
      <c r="Q212" s="64"/>
      <c r="R212" s="41"/>
      <c r="S212" s="41"/>
      <c r="T212" s="41"/>
      <c r="U212" s="41"/>
      <c r="V212" s="41"/>
      <c r="W212" s="41"/>
      <c r="X212" s="41"/>
      <c r="Y212" s="41"/>
      <c r="Z212" s="41"/>
      <c r="AA212" s="41"/>
    </row>
    <row r="213" spans="1:27" ht="15.75" hidden="1" customHeight="1" x14ac:dyDescent="0.25">
      <c r="A213" s="51"/>
      <c r="B213" s="41"/>
      <c r="C213" s="41"/>
      <c r="D213" s="41"/>
      <c r="E213" s="41"/>
      <c r="F213" s="41"/>
      <c r="G213" s="41"/>
      <c r="H213" s="41"/>
      <c r="I213" s="41"/>
      <c r="J213" s="41"/>
      <c r="K213" s="41"/>
      <c r="L213" s="41"/>
      <c r="M213" s="41"/>
      <c r="N213" s="41"/>
      <c r="O213" s="41"/>
      <c r="P213" s="41"/>
      <c r="Q213" s="64"/>
      <c r="R213" s="41"/>
      <c r="S213" s="41"/>
      <c r="T213" s="41"/>
      <c r="U213" s="41"/>
      <c r="V213" s="41"/>
      <c r="W213" s="41"/>
      <c r="X213" s="41"/>
      <c r="Y213" s="41"/>
      <c r="Z213" s="41"/>
      <c r="AA213" s="41"/>
    </row>
    <row r="214" spans="1:27" ht="15.75" hidden="1" customHeight="1" x14ac:dyDescent="0.25">
      <c r="A214" s="51"/>
      <c r="B214" s="41"/>
      <c r="C214" s="41"/>
      <c r="D214" s="41"/>
      <c r="E214" s="41"/>
      <c r="F214" s="41"/>
      <c r="G214" s="41"/>
      <c r="H214" s="41"/>
      <c r="I214" s="41"/>
      <c r="J214" s="41"/>
      <c r="K214" s="41"/>
      <c r="L214" s="41"/>
      <c r="M214" s="41"/>
      <c r="N214" s="41"/>
      <c r="O214" s="41"/>
      <c r="P214" s="41"/>
      <c r="Q214" s="64"/>
      <c r="R214" s="41"/>
      <c r="S214" s="41"/>
      <c r="T214" s="41"/>
      <c r="U214" s="41"/>
      <c r="V214" s="41"/>
      <c r="W214" s="41"/>
      <c r="X214" s="41"/>
      <c r="Y214" s="41"/>
      <c r="Z214" s="41"/>
      <c r="AA214" s="41"/>
    </row>
    <row r="215" spans="1:27" ht="15.75" hidden="1" customHeight="1" x14ac:dyDescent="0.25">
      <c r="A215" s="51"/>
      <c r="B215" s="41"/>
      <c r="C215" s="41"/>
      <c r="D215" s="41"/>
      <c r="E215" s="41"/>
      <c r="F215" s="41"/>
      <c r="G215" s="41"/>
      <c r="H215" s="41"/>
      <c r="I215" s="41"/>
      <c r="J215" s="41"/>
      <c r="K215" s="41"/>
      <c r="L215" s="41"/>
      <c r="M215" s="41"/>
      <c r="N215" s="41"/>
      <c r="O215" s="41"/>
      <c r="P215" s="41"/>
      <c r="Q215" s="64"/>
      <c r="R215" s="41"/>
      <c r="S215" s="41"/>
      <c r="T215" s="41"/>
      <c r="U215" s="41"/>
      <c r="V215" s="41"/>
      <c r="W215" s="41"/>
      <c r="X215" s="41"/>
      <c r="Y215" s="41"/>
      <c r="Z215" s="41"/>
      <c r="AA215" s="41"/>
    </row>
    <row r="216" spans="1:27" ht="15.75" hidden="1" customHeight="1" x14ac:dyDescent="0.25">
      <c r="A216" s="51"/>
      <c r="B216" s="41"/>
      <c r="C216" s="41"/>
      <c r="D216" s="41"/>
      <c r="E216" s="41"/>
      <c r="F216" s="41"/>
      <c r="G216" s="41"/>
      <c r="H216" s="41"/>
      <c r="I216" s="41"/>
      <c r="J216" s="41"/>
      <c r="K216" s="41"/>
      <c r="L216" s="41"/>
      <c r="M216" s="41"/>
      <c r="N216" s="41"/>
      <c r="O216" s="41"/>
      <c r="P216" s="41"/>
      <c r="Q216" s="64"/>
      <c r="R216" s="41"/>
      <c r="S216" s="41"/>
      <c r="T216" s="41"/>
      <c r="U216" s="41"/>
      <c r="V216" s="41"/>
      <c r="W216" s="41"/>
      <c r="X216" s="41"/>
      <c r="Y216" s="41"/>
      <c r="Z216" s="41"/>
      <c r="AA216" s="41"/>
    </row>
    <row r="217" spans="1:27" ht="15.75" hidden="1" customHeight="1" x14ac:dyDescent="0.25">
      <c r="A217" s="51"/>
      <c r="B217" s="41"/>
      <c r="C217" s="41"/>
      <c r="D217" s="41"/>
      <c r="E217" s="41"/>
      <c r="F217" s="41"/>
      <c r="G217" s="41"/>
      <c r="H217" s="41"/>
      <c r="I217" s="41"/>
      <c r="J217" s="41"/>
      <c r="K217" s="41"/>
      <c r="L217" s="41"/>
      <c r="M217" s="41"/>
      <c r="N217" s="41"/>
      <c r="O217" s="41"/>
      <c r="P217" s="41"/>
      <c r="Q217" s="64"/>
      <c r="R217" s="41"/>
      <c r="S217" s="41"/>
      <c r="T217" s="41"/>
      <c r="U217" s="41"/>
      <c r="V217" s="41"/>
      <c r="W217" s="41"/>
      <c r="X217" s="41"/>
      <c r="Y217" s="41"/>
      <c r="Z217" s="41"/>
      <c r="AA217" s="41"/>
    </row>
    <row r="218" spans="1:27" ht="15.75" hidden="1" customHeight="1" x14ac:dyDescent="0.25">
      <c r="A218" s="51"/>
      <c r="B218" s="41"/>
      <c r="C218" s="41"/>
      <c r="D218" s="41"/>
      <c r="E218" s="41"/>
      <c r="F218" s="41"/>
      <c r="G218" s="41"/>
      <c r="H218" s="41"/>
      <c r="I218" s="41"/>
      <c r="J218" s="41"/>
      <c r="K218" s="41"/>
      <c r="L218" s="41"/>
      <c r="M218" s="41"/>
      <c r="N218" s="41"/>
      <c r="O218" s="41"/>
      <c r="P218" s="41"/>
      <c r="Q218" s="64"/>
      <c r="R218" s="41"/>
      <c r="S218" s="41"/>
      <c r="T218" s="41"/>
      <c r="U218" s="41"/>
      <c r="V218" s="41"/>
      <c r="W218" s="41"/>
      <c r="X218" s="41"/>
      <c r="Y218" s="41"/>
      <c r="Z218" s="41"/>
      <c r="AA218" s="41"/>
    </row>
    <row r="219" spans="1:27" ht="15.75" hidden="1" customHeight="1" x14ac:dyDescent="0.25">
      <c r="A219" s="51"/>
      <c r="B219" s="41"/>
      <c r="C219" s="41"/>
      <c r="D219" s="41"/>
      <c r="E219" s="41"/>
      <c r="F219" s="41"/>
      <c r="G219" s="41"/>
      <c r="H219" s="41"/>
      <c r="I219" s="41"/>
      <c r="J219" s="41"/>
      <c r="K219" s="41"/>
      <c r="L219" s="41"/>
      <c r="M219" s="41"/>
      <c r="N219" s="41"/>
      <c r="O219" s="41"/>
      <c r="P219" s="41"/>
      <c r="Q219" s="64"/>
      <c r="R219" s="41"/>
      <c r="S219" s="41"/>
      <c r="T219" s="41"/>
      <c r="U219" s="41"/>
      <c r="V219" s="41"/>
      <c r="W219" s="41"/>
      <c r="X219" s="41"/>
      <c r="Y219" s="41"/>
      <c r="Z219" s="41"/>
      <c r="AA219" s="41"/>
    </row>
    <row r="220" spans="1:27" ht="15.75" hidden="1" customHeight="1" x14ac:dyDescent="0.25">
      <c r="A220" s="51"/>
      <c r="B220" s="41"/>
      <c r="C220" s="41"/>
      <c r="D220" s="41"/>
      <c r="E220" s="41"/>
      <c r="F220" s="41"/>
      <c r="G220" s="41"/>
      <c r="H220" s="41"/>
      <c r="I220" s="41"/>
      <c r="J220" s="41"/>
      <c r="K220" s="41"/>
      <c r="L220" s="41"/>
      <c r="M220" s="41"/>
      <c r="N220" s="41"/>
      <c r="O220" s="41"/>
      <c r="P220" s="41"/>
      <c r="Q220" s="64"/>
      <c r="R220" s="41"/>
      <c r="S220" s="41"/>
      <c r="T220" s="41"/>
      <c r="U220" s="41"/>
      <c r="V220" s="41"/>
      <c r="W220" s="41"/>
      <c r="X220" s="41"/>
      <c r="Y220" s="41"/>
      <c r="Z220" s="41"/>
      <c r="AA220" s="41"/>
    </row>
    <row r="221" spans="1:27" ht="15.75" hidden="1" customHeight="1" x14ac:dyDescent="0.25">
      <c r="A221" s="51"/>
      <c r="B221" s="41"/>
      <c r="C221" s="41"/>
      <c r="D221" s="41"/>
      <c r="E221" s="41"/>
      <c r="F221" s="41"/>
      <c r="G221" s="41"/>
      <c r="H221" s="41"/>
      <c r="I221" s="41"/>
      <c r="J221" s="41"/>
      <c r="K221" s="41"/>
      <c r="L221" s="41"/>
      <c r="M221" s="41"/>
      <c r="N221" s="41"/>
      <c r="O221" s="41"/>
      <c r="P221" s="41"/>
      <c r="Q221" s="64"/>
      <c r="R221" s="41"/>
      <c r="S221" s="41"/>
      <c r="T221" s="41"/>
      <c r="U221" s="41"/>
      <c r="V221" s="41"/>
      <c r="W221" s="41"/>
      <c r="X221" s="41"/>
      <c r="Y221" s="41"/>
      <c r="Z221" s="41"/>
      <c r="AA221" s="41"/>
    </row>
    <row r="222" spans="1:27" ht="15.75" hidden="1" customHeight="1" x14ac:dyDescent="0.25">
      <c r="A222" s="51"/>
      <c r="B222" s="41"/>
      <c r="C222" s="41"/>
      <c r="D222" s="41"/>
      <c r="E222" s="41"/>
      <c r="F222" s="41"/>
      <c r="G222" s="41"/>
      <c r="H222" s="41"/>
      <c r="I222" s="41"/>
      <c r="J222" s="41"/>
      <c r="K222" s="41"/>
      <c r="L222" s="41"/>
      <c r="M222" s="41"/>
      <c r="N222" s="41"/>
      <c r="O222" s="41"/>
      <c r="P222" s="41"/>
      <c r="Q222" s="64"/>
      <c r="R222" s="41"/>
      <c r="S222" s="41"/>
      <c r="T222" s="41"/>
      <c r="U222" s="41"/>
      <c r="V222" s="41"/>
      <c r="W222" s="41"/>
      <c r="X222" s="41"/>
      <c r="Y222" s="41"/>
      <c r="Z222" s="41"/>
      <c r="AA222" s="41"/>
    </row>
    <row r="223" spans="1:27" ht="15.75" hidden="1" customHeight="1" x14ac:dyDescent="0.25">
      <c r="A223" s="51"/>
      <c r="B223" s="41"/>
      <c r="C223" s="41"/>
      <c r="D223" s="41"/>
      <c r="E223" s="41"/>
      <c r="F223" s="41"/>
      <c r="G223" s="41"/>
      <c r="H223" s="41"/>
      <c r="I223" s="41"/>
      <c r="J223" s="41"/>
      <c r="K223" s="41"/>
      <c r="L223" s="41"/>
      <c r="M223" s="41"/>
      <c r="N223" s="41"/>
      <c r="O223" s="41"/>
      <c r="P223" s="41"/>
      <c r="Q223" s="64"/>
      <c r="R223" s="41"/>
      <c r="S223" s="41"/>
      <c r="T223" s="41"/>
      <c r="U223" s="41"/>
      <c r="V223" s="41"/>
      <c r="W223" s="41"/>
      <c r="X223" s="41"/>
      <c r="Y223" s="41"/>
      <c r="Z223" s="41"/>
      <c r="AA223" s="41"/>
    </row>
    <row r="224" spans="1:27" ht="15.75" hidden="1" customHeight="1" x14ac:dyDescent="0.25">
      <c r="A224" s="51"/>
      <c r="B224" s="41"/>
      <c r="C224" s="41"/>
      <c r="D224" s="41"/>
      <c r="E224" s="41"/>
      <c r="F224" s="41"/>
      <c r="G224" s="41"/>
      <c r="H224" s="41"/>
      <c r="I224" s="41"/>
      <c r="J224" s="41"/>
      <c r="K224" s="41"/>
      <c r="L224" s="41"/>
      <c r="M224" s="41"/>
      <c r="N224" s="41"/>
      <c r="O224" s="41"/>
      <c r="P224" s="41"/>
      <c r="Q224" s="64"/>
      <c r="R224" s="41"/>
      <c r="S224" s="41"/>
      <c r="T224" s="41"/>
      <c r="U224" s="41"/>
      <c r="V224" s="41"/>
      <c r="W224" s="41"/>
      <c r="X224" s="41"/>
      <c r="Y224" s="41"/>
      <c r="Z224" s="41"/>
      <c r="AA224" s="41"/>
    </row>
    <row r="225" spans="1:27" ht="15.75" hidden="1" customHeight="1" x14ac:dyDescent="0.25">
      <c r="A225" s="51"/>
      <c r="B225" s="41"/>
      <c r="C225" s="41"/>
      <c r="D225" s="41"/>
      <c r="E225" s="41"/>
      <c r="F225" s="41"/>
      <c r="G225" s="41"/>
      <c r="H225" s="41"/>
      <c r="I225" s="41"/>
      <c r="J225" s="41"/>
      <c r="K225" s="41"/>
      <c r="L225" s="41"/>
      <c r="M225" s="41"/>
      <c r="N225" s="41"/>
      <c r="O225" s="41"/>
      <c r="P225" s="41"/>
      <c r="Q225" s="64"/>
      <c r="R225" s="41"/>
      <c r="S225" s="41"/>
      <c r="T225" s="41"/>
      <c r="U225" s="41"/>
      <c r="V225" s="41"/>
      <c r="W225" s="41"/>
      <c r="X225" s="41"/>
      <c r="Y225" s="41"/>
      <c r="Z225" s="41"/>
      <c r="AA225" s="41"/>
    </row>
    <row r="226" spans="1:27" ht="15.75" hidden="1" customHeight="1" x14ac:dyDescent="0.25">
      <c r="A226" s="51"/>
      <c r="B226" s="41"/>
      <c r="C226" s="41"/>
      <c r="D226" s="41"/>
      <c r="E226" s="41"/>
      <c r="F226" s="41"/>
      <c r="G226" s="41"/>
      <c r="H226" s="41"/>
      <c r="I226" s="41"/>
      <c r="J226" s="41"/>
      <c r="K226" s="41"/>
      <c r="L226" s="41"/>
      <c r="M226" s="41"/>
      <c r="N226" s="41"/>
      <c r="O226" s="41"/>
      <c r="P226" s="41"/>
      <c r="Q226" s="64"/>
      <c r="R226" s="41"/>
      <c r="S226" s="41"/>
      <c r="T226" s="41"/>
      <c r="U226" s="41"/>
      <c r="V226" s="41"/>
      <c r="W226" s="41"/>
      <c r="X226" s="41"/>
      <c r="Y226" s="41"/>
      <c r="Z226" s="41"/>
      <c r="AA226" s="41"/>
    </row>
    <row r="227" spans="1:27" ht="15.75" hidden="1" customHeight="1" x14ac:dyDescent="0.25">
      <c r="A227" s="51"/>
      <c r="B227" s="41"/>
      <c r="C227" s="41"/>
      <c r="D227" s="41"/>
      <c r="E227" s="41"/>
      <c r="F227" s="41"/>
      <c r="G227" s="41"/>
      <c r="H227" s="41"/>
      <c r="I227" s="41"/>
      <c r="J227" s="41"/>
      <c r="K227" s="41"/>
      <c r="L227" s="41"/>
      <c r="M227" s="41"/>
      <c r="N227" s="41"/>
      <c r="O227" s="41"/>
      <c r="P227" s="41"/>
      <c r="Q227" s="64"/>
      <c r="R227" s="41"/>
      <c r="S227" s="41"/>
      <c r="T227" s="41"/>
      <c r="U227" s="41"/>
      <c r="V227" s="41"/>
      <c r="W227" s="41"/>
      <c r="X227" s="41"/>
      <c r="Y227" s="41"/>
      <c r="Z227" s="41"/>
      <c r="AA227" s="41"/>
    </row>
    <row r="228" spans="1:27" ht="15.75" hidden="1" customHeight="1" x14ac:dyDescent="0.25">
      <c r="A228" s="51"/>
      <c r="B228" s="41"/>
      <c r="C228" s="41"/>
      <c r="D228" s="41"/>
      <c r="E228" s="41"/>
      <c r="F228" s="41"/>
      <c r="G228" s="41"/>
      <c r="H228" s="41"/>
      <c r="I228" s="41"/>
      <c r="J228" s="41"/>
      <c r="K228" s="41"/>
      <c r="L228" s="41"/>
      <c r="M228" s="41"/>
      <c r="N228" s="41"/>
      <c r="O228" s="41"/>
      <c r="P228" s="41"/>
      <c r="Q228" s="64"/>
      <c r="R228" s="41"/>
      <c r="S228" s="41"/>
      <c r="T228" s="41"/>
      <c r="U228" s="41"/>
      <c r="V228" s="41"/>
      <c r="W228" s="41"/>
      <c r="X228" s="41"/>
      <c r="Y228" s="41"/>
      <c r="Z228" s="41"/>
      <c r="AA228" s="41"/>
    </row>
    <row r="229" spans="1:27" ht="15.75" hidden="1" customHeight="1" x14ac:dyDescent="0.25">
      <c r="A229" s="51"/>
      <c r="B229" s="41"/>
      <c r="C229" s="41"/>
      <c r="D229" s="41"/>
      <c r="E229" s="41"/>
      <c r="F229" s="41"/>
      <c r="G229" s="41"/>
      <c r="H229" s="41"/>
      <c r="I229" s="41"/>
      <c r="J229" s="41"/>
      <c r="K229" s="41"/>
      <c r="L229" s="41"/>
      <c r="M229" s="41"/>
      <c r="N229" s="41"/>
      <c r="O229" s="41"/>
      <c r="P229" s="41"/>
      <c r="Q229" s="64"/>
      <c r="R229" s="41"/>
      <c r="S229" s="41"/>
      <c r="T229" s="41"/>
      <c r="U229" s="41"/>
      <c r="V229" s="41"/>
      <c r="W229" s="41"/>
      <c r="X229" s="41"/>
      <c r="Y229" s="41"/>
      <c r="Z229" s="41"/>
      <c r="AA229" s="41"/>
    </row>
    <row r="230" spans="1:27" ht="15.75" hidden="1" customHeight="1" x14ac:dyDescent="0.25">
      <c r="A230" s="51"/>
      <c r="B230" s="41"/>
      <c r="C230" s="41"/>
      <c r="D230" s="41"/>
      <c r="E230" s="41"/>
      <c r="F230" s="41"/>
      <c r="G230" s="41"/>
      <c r="H230" s="41"/>
      <c r="I230" s="41"/>
      <c r="J230" s="41"/>
      <c r="K230" s="41"/>
      <c r="L230" s="41"/>
      <c r="M230" s="41"/>
      <c r="N230" s="41"/>
      <c r="O230" s="41"/>
      <c r="P230" s="41"/>
      <c r="Q230" s="64"/>
      <c r="R230" s="41"/>
      <c r="S230" s="41"/>
      <c r="T230" s="41"/>
      <c r="U230" s="41"/>
      <c r="V230" s="41"/>
      <c r="W230" s="41"/>
      <c r="X230" s="41"/>
      <c r="Y230" s="41"/>
      <c r="Z230" s="41"/>
      <c r="AA230" s="41"/>
    </row>
    <row r="231" spans="1:27" ht="15.75" hidden="1" customHeight="1" x14ac:dyDescent="0.25">
      <c r="A231" s="51"/>
      <c r="B231" s="41"/>
      <c r="C231" s="41"/>
      <c r="D231" s="41"/>
      <c r="E231" s="41"/>
      <c r="F231" s="41"/>
      <c r="G231" s="41"/>
      <c r="H231" s="41"/>
      <c r="I231" s="41"/>
      <c r="J231" s="41"/>
      <c r="K231" s="41"/>
      <c r="L231" s="41"/>
      <c r="M231" s="41"/>
      <c r="N231" s="41"/>
      <c r="O231" s="41"/>
      <c r="P231" s="41"/>
      <c r="Q231" s="64"/>
      <c r="R231" s="41"/>
      <c r="S231" s="41"/>
      <c r="T231" s="41"/>
      <c r="U231" s="41"/>
      <c r="V231" s="41"/>
      <c r="W231" s="41"/>
      <c r="X231" s="41"/>
      <c r="Y231" s="41"/>
      <c r="Z231" s="41"/>
      <c r="AA231" s="41"/>
    </row>
    <row r="232" spans="1:27" ht="15.75" hidden="1" customHeight="1" x14ac:dyDescent="0.25">
      <c r="A232" s="51"/>
      <c r="B232" s="41"/>
      <c r="C232" s="41"/>
      <c r="D232" s="41"/>
      <c r="E232" s="41"/>
      <c r="F232" s="41"/>
      <c r="G232" s="41"/>
      <c r="H232" s="41"/>
      <c r="I232" s="41"/>
      <c r="J232" s="41"/>
      <c r="K232" s="41"/>
      <c r="L232" s="41"/>
      <c r="M232" s="41"/>
      <c r="N232" s="41"/>
      <c r="O232" s="41"/>
      <c r="P232" s="41"/>
      <c r="Q232" s="64"/>
      <c r="R232" s="41"/>
      <c r="S232" s="41"/>
      <c r="T232" s="41"/>
      <c r="U232" s="41"/>
      <c r="V232" s="41"/>
      <c r="W232" s="41"/>
      <c r="X232" s="41"/>
      <c r="Y232" s="41"/>
      <c r="Z232" s="41"/>
      <c r="AA232" s="41"/>
    </row>
    <row r="233" spans="1:27" ht="15.75" hidden="1" customHeight="1" x14ac:dyDescent="0.25">
      <c r="A233" s="51"/>
      <c r="B233" s="41"/>
      <c r="C233" s="41"/>
      <c r="D233" s="41"/>
      <c r="E233" s="41"/>
      <c r="F233" s="41"/>
      <c r="G233" s="41"/>
      <c r="H233" s="41"/>
      <c r="I233" s="41"/>
      <c r="J233" s="41"/>
      <c r="K233" s="41"/>
      <c r="L233" s="41"/>
      <c r="M233" s="41"/>
      <c r="N233" s="41"/>
      <c r="O233" s="41"/>
      <c r="P233" s="41"/>
      <c r="Q233" s="64"/>
      <c r="R233" s="41"/>
      <c r="S233" s="41"/>
      <c r="T233" s="41"/>
      <c r="U233" s="41"/>
      <c r="V233" s="41"/>
      <c r="W233" s="41"/>
      <c r="X233" s="41"/>
      <c r="Y233" s="41"/>
      <c r="Z233" s="41"/>
      <c r="AA233" s="41"/>
    </row>
    <row r="234" spans="1:27" ht="15.75" hidden="1" customHeight="1" x14ac:dyDescent="0.25">
      <c r="A234" s="51"/>
      <c r="B234" s="41"/>
      <c r="C234" s="41"/>
      <c r="D234" s="41"/>
      <c r="E234" s="41"/>
      <c r="F234" s="41"/>
      <c r="G234" s="41"/>
      <c r="H234" s="41"/>
      <c r="I234" s="41"/>
      <c r="J234" s="41"/>
      <c r="K234" s="41"/>
      <c r="L234" s="41"/>
      <c r="M234" s="41"/>
      <c r="N234" s="41"/>
      <c r="O234" s="41"/>
      <c r="P234" s="41"/>
      <c r="Q234" s="64"/>
      <c r="R234" s="41"/>
      <c r="S234" s="41"/>
      <c r="T234" s="41"/>
      <c r="U234" s="41"/>
      <c r="V234" s="41"/>
      <c r="W234" s="41"/>
      <c r="X234" s="41"/>
      <c r="Y234" s="41"/>
      <c r="Z234" s="41"/>
      <c r="AA234" s="41"/>
    </row>
    <row r="235" spans="1:27" ht="15.75" hidden="1" customHeight="1" x14ac:dyDescent="0.25">
      <c r="A235" s="51"/>
      <c r="B235" s="41"/>
      <c r="C235" s="41"/>
      <c r="D235" s="41"/>
      <c r="E235" s="41"/>
      <c r="F235" s="41"/>
      <c r="G235" s="41"/>
      <c r="H235" s="41"/>
      <c r="I235" s="41"/>
      <c r="J235" s="41"/>
      <c r="K235" s="41"/>
      <c r="L235" s="41"/>
      <c r="M235" s="41"/>
      <c r="N235" s="41"/>
      <c r="O235" s="41"/>
      <c r="P235" s="41"/>
      <c r="Q235" s="64"/>
      <c r="R235" s="41"/>
      <c r="S235" s="41"/>
      <c r="T235" s="41"/>
      <c r="U235" s="41"/>
      <c r="V235" s="41"/>
      <c r="W235" s="41"/>
      <c r="X235" s="41"/>
      <c r="Y235" s="41"/>
      <c r="Z235" s="41"/>
      <c r="AA235" s="41"/>
    </row>
    <row r="236" spans="1:27" ht="15.75" hidden="1" customHeight="1" x14ac:dyDescent="0.25">
      <c r="A236" s="51"/>
      <c r="B236" s="41"/>
      <c r="C236" s="41"/>
      <c r="D236" s="41"/>
      <c r="E236" s="41"/>
      <c r="F236" s="41"/>
      <c r="G236" s="41"/>
      <c r="H236" s="41"/>
      <c r="I236" s="41"/>
      <c r="J236" s="41"/>
      <c r="K236" s="41"/>
      <c r="L236" s="41"/>
      <c r="M236" s="41"/>
      <c r="N236" s="41"/>
      <c r="O236" s="41"/>
      <c r="P236" s="41"/>
      <c r="Q236" s="64"/>
      <c r="R236" s="41"/>
      <c r="S236" s="41"/>
      <c r="T236" s="41"/>
      <c r="U236" s="41"/>
      <c r="V236" s="41"/>
      <c r="W236" s="41"/>
      <c r="X236" s="41"/>
      <c r="Y236" s="41"/>
      <c r="Z236" s="41"/>
      <c r="AA236" s="41"/>
    </row>
    <row r="237" spans="1:27" ht="15.75" hidden="1" customHeight="1" x14ac:dyDescent="0.25">
      <c r="A237" s="51"/>
      <c r="B237" s="41"/>
      <c r="C237" s="41"/>
      <c r="D237" s="41"/>
      <c r="E237" s="41"/>
      <c r="F237" s="41"/>
      <c r="G237" s="41"/>
      <c r="H237" s="41"/>
      <c r="I237" s="41"/>
      <c r="J237" s="41"/>
      <c r="K237" s="41"/>
      <c r="L237" s="41"/>
      <c r="M237" s="41"/>
      <c r="N237" s="41"/>
      <c r="O237" s="41"/>
      <c r="P237" s="41"/>
      <c r="Q237" s="64"/>
      <c r="R237" s="41"/>
      <c r="S237" s="41"/>
      <c r="T237" s="41"/>
      <c r="U237" s="41"/>
      <c r="V237" s="41"/>
      <c r="W237" s="41"/>
      <c r="X237" s="41"/>
      <c r="Y237" s="41"/>
      <c r="Z237" s="41"/>
      <c r="AA237" s="41"/>
    </row>
    <row r="238" spans="1:27" ht="15.75" hidden="1" customHeight="1" x14ac:dyDescent="0.25">
      <c r="A238" s="51"/>
      <c r="B238" s="41"/>
      <c r="C238" s="41"/>
      <c r="D238" s="41"/>
      <c r="E238" s="41"/>
      <c r="F238" s="41"/>
      <c r="G238" s="41"/>
      <c r="H238" s="41"/>
      <c r="I238" s="41"/>
      <c r="J238" s="41"/>
      <c r="K238" s="41"/>
      <c r="L238" s="41"/>
      <c r="M238" s="41"/>
      <c r="N238" s="41"/>
      <c r="O238" s="41"/>
      <c r="P238" s="41"/>
      <c r="Q238" s="64"/>
      <c r="R238" s="41"/>
      <c r="S238" s="41"/>
      <c r="T238" s="41"/>
      <c r="U238" s="41"/>
      <c r="V238" s="41"/>
      <c r="W238" s="41"/>
      <c r="X238" s="41"/>
      <c r="Y238" s="41"/>
      <c r="Z238" s="41"/>
      <c r="AA238" s="41"/>
    </row>
    <row r="239" spans="1:27" ht="15.75" hidden="1" customHeight="1" x14ac:dyDescent="0.25">
      <c r="A239" s="51"/>
      <c r="B239" s="41"/>
      <c r="C239" s="41"/>
      <c r="D239" s="41"/>
      <c r="E239" s="41"/>
      <c r="F239" s="41"/>
      <c r="G239" s="41"/>
      <c r="H239" s="41"/>
      <c r="I239" s="41"/>
      <c r="J239" s="41"/>
      <c r="K239" s="41"/>
      <c r="L239" s="41"/>
      <c r="M239" s="41"/>
      <c r="N239" s="41"/>
      <c r="O239" s="41"/>
      <c r="P239" s="41"/>
      <c r="Q239" s="64"/>
      <c r="R239" s="41"/>
      <c r="S239" s="41"/>
      <c r="T239" s="41"/>
      <c r="U239" s="41"/>
      <c r="V239" s="41"/>
      <c r="W239" s="41"/>
      <c r="X239" s="41"/>
      <c r="Y239" s="41"/>
      <c r="Z239" s="41"/>
      <c r="AA239" s="41"/>
    </row>
    <row r="240" spans="1:27" ht="15.75" hidden="1" customHeight="1" x14ac:dyDescent="0.25">
      <c r="A240" s="51"/>
      <c r="B240" s="41"/>
      <c r="C240" s="41"/>
      <c r="D240" s="41"/>
      <c r="E240" s="41"/>
      <c r="F240" s="41"/>
      <c r="G240" s="41"/>
      <c r="H240" s="41"/>
      <c r="I240" s="41"/>
      <c r="J240" s="41"/>
      <c r="K240" s="41"/>
      <c r="L240" s="41"/>
      <c r="M240" s="41"/>
      <c r="N240" s="41"/>
      <c r="O240" s="41"/>
      <c r="P240" s="41"/>
      <c r="Q240" s="64"/>
      <c r="R240" s="41"/>
      <c r="S240" s="41"/>
      <c r="T240" s="41"/>
      <c r="U240" s="41"/>
      <c r="V240" s="41"/>
      <c r="W240" s="41"/>
      <c r="X240" s="41"/>
      <c r="Y240" s="41"/>
      <c r="Z240" s="41"/>
      <c r="AA240" s="41"/>
    </row>
    <row r="241" spans="1:27" ht="15.75" hidden="1" customHeight="1" x14ac:dyDescent="0.25">
      <c r="A241" s="51"/>
      <c r="B241" s="41"/>
      <c r="C241" s="41"/>
      <c r="D241" s="41"/>
      <c r="E241" s="41"/>
      <c r="F241" s="41"/>
      <c r="G241" s="41"/>
      <c r="H241" s="41"/>
      <c r="I241" s="41"/>
      <c r="J241" s="41"/>
      <c r="K241" s="41"/>
      <c r="L241" s="41"/>
      <c r="M241" s="41"/>
      <c r="N241" s="41"/>
      <c r="O241" s="41"/>
      <c r="P241" s="41"/>
      <c r="Q241" s="64"/>
      <c r="R241" s="41"/>
      <c r="S241" s="41"/>
      <c r="T241" s="41"/>
      <c r="U241" s="41"/>
      <c r="V241" s="41"/>
      <c r="W241" s="41"/>
      <c r="X241" s="41"/>
      <c r="Y241" s="41"/>
      <c r="Z241" s="41"/>
      <c r="AA241" s="41"/>
    </row>
    <row r="242" spans="1:27" ht="15.75" hidden="1" customHeight="1" x14ac:dyDescent="0.25">
      <c r="A242" s="51"/>
      <c r="B242" s="41"/>
      <c r="C242" s="41"/>
      <c r="D242" s="41"/>
      <c r="E242" s="41"/>
      <c r="F242" s="41"/>
      <c r="G242" s="41"/>
      <c r="H242" s="41"/>
      <c r="I242" s="41"/>
      <c r="J242" s="41"/>
      <c r="K242" s="41"/>
      <c r="L242" s="41"/>
      <c r="M242" s="41"/>
      <c r="N242" s="41"/>
      <c r="O242" s="41"/>
      <c r="P242" s="41"/>
      <c r="Q242" s="64"/>
      <c r="R242" s="41"/>
      <c r="S242" s="41"/>
      <c r="T242" s="41"/>
      <c r="U242" s="41"/>
      <c r="V242" s="41"/>
      <c r="W242" s="41"/>
      <c r="X242" s="41"/>
      <c r="Y242" s="41"/>
      <c r="Z242" s="41"/>
      <c r="AA242" s="41"/>
    </row>
    <row r="243" spans="1:27" ht="15.75" hidden="1" customHeight="1" x14ac:dyDescent="0.25">
      <c r="A243" s="51"/>
      <c r="B243" s="41"/>
      <c r="C243" s="41"/>
      <c r="D243" s="41"/>
      <c r="E243" s="41"/>
      <c r="F243" s="41"/>
      <c r="G243" s="41"/>
      <c r="H243" s="41"/>
      <c r="I243" s="41"/>
      <c r="J243" s="41"/>
      <c r="K243" s="41"/>
      <c r="L243" s="41"/>
      <c r="M243" s="41"/>
      <c r="N243" s="41"/>
      <c r="O243" s="41"/>
      <c r="P243" s="41"/>
      <c r="Q243" s="64"/>
      <c r="R243" s="41"/>
      <c r="S243" s="41"/>
      <c r="T243" s="41"/>
      <c r="U243" s="41"/>
      <c r="V243" s="41"/>
      <c r="W243" s="41"/>
      <c r="X243" s="41"/>
      <c r="Y243" s="41"/>
      <c r="Z243" s="41"/>
      <c r="AA243" s="41"/>
    </row>
    <row r="244" spans="1:27" ht="15.75" hidden="1" customHeight="1" x14ac:dyDescent="0.25">
      <c r="A244" s="51"/>
      <c r="B244" s="41"/>
      <c r="C244" s="41"/>
      <c r="D244" s="41"/>
      <c r="E244" s="41"/>
      <c r="F244" s="41"/>
      <c r="G244" s="41"/>
      <c r="H244" s="41"/>
      <c r="I244" s="41"/>
      <c r="J244" s="41"/>
      <c r="K244" s="41"/>
      <c r="L244" s="41"/>
      <c r="M244" s="41"/>
      <c r="N244" s="41"/>
      <c r="O244" s="41"/>
      <c r="P244" s="41"/>
      <c r="Q244" s="64"/>
      <c r="R244" s="41"/>
      <c r="S244" s="41"/>
      <c r="T244" s="41"/>
      <c r="U244" s="41"/>
      <c r="V244" s="41"/>
      <c r="W244" s="41"/>
      <c r="X244" s="41"/>
      <c r="Y244" s="41"/>
      <c r="Z244" s="41"/>
      <c r="AA244" s="41"/>
    </row>
    <row r="245" spans="1:27" ht="15.75" hidden="1" customHeight="1" x14ac:dyDescent="0.25">
      <c r="A245" s="51"/>
      <c r="B245" s="41"/>
      <c r="C245" s="41"/>
      <c r="D245" s="41"/>
      <c r="E245" s="41"/>
      <c r="F245" s="41"/>
      <c r="G245" s="41"/>
      <c r="H245" s="41"/>
      <c r="I245" s="41"/>
      <c r="J245" s="41"/>
      <c r="K245" s="41"/>
      <c r="L245" s="41"/>
      <c r="M245" s="41"/>
      <c r="N245" s="41"/>
      <c r="O245" s="41"/>
      <c r="P245" s="41"/>
      <c r="Q245" s="64"/>
      <c r="R245" s="41"/>
      <c r="S245" s="41"/>
      <c r="T245" s="41"/>
      <c r="U245" s="41"/>
      <c r="V245" s="41"/>
      <c r="W245" s="41"/>
      <c r="X245" s="41"/>
      <c r="Y245" s="41"/>
      <c r="Z245" s="41"/>
      <c r="AA245" s="41"/>
    </row>
    <row r="246" spans="1:27" ht="15.75" hidden="1" customHeight="1" x14ac:dyDescent="0.25">
      <c r="A246" s="51"/>
      <c r="B246" s="41"/>
      <c r="C246" s="41"/>
      <c r="D246" s="41"/>
      <c r="E246" s="41"/>
      <c r="F246" s="41"/>
      <c r="G246" s="41"/>
      <c r="H246" s="41"/>
      <c r="I246" s="41"/>
      <c r="J246" s="41"/>
      <c r="K246" s="41"/>
      <c r="L246" s="41"/>
      <c r="M246" s="41"/>
      <c r="N246" s="41"/>
      <c r="O246" s="41"/>
      <c r="P246" s="41"/>
      <c r="Q246" s="64"/>
      <c r="R246" s="41"/>
      <c r="S246" s="41"/>
      <c r="T246" s="41"/>
      <c r="U246" s="41"/>
      <c r="V246" s="41"/>
      <c r="W246" s="41"/>
      <c r="X246" s="41"/>
      <c r="Y246" s="41"/>
      <c r="Z246" s="41"/>
      <c r="AA246" s="41"/>
    </row>
    <row r="247" spans="1:27" ht="15.75" hidden="1" customHeight="1" x14ac:dyDescent="0.25">
      <c r="A247" s="51"/>
      <c r="B247" s="41"/>
      <c r="C247" s="41"/>
      <c r="D247" s="41"/>
      <c r="E247" s="41"/>
      <c r="F247" s="41"/>
      <c r="G247" s="41"/>
      <c r="H247" s="41"/>
      <c r="I247" s="41"/>
      <c r="J247" s="41"/>
      <c r="K247" s="41"/>
      <c r="L247" s="41"/>
      <c r="M247" s="41"/>
      <c r="N247" s="41"/>
      <c r="O247" s="41"/>
      <c r="P247" s="41"/>
      <c r="Q247" s="64"/>
      <c r="R247" s="41"/>
      <c r="S247" s="41"/>
      <c r="T247" s="41"/>
      <c r="U247" s="41"/>
      <c r="V247" s="41"/>
      <c r="W247" s="41"/>
      <c r="X247" s="41"/>
      <c r="Y247" s="41"/>
      <c r="Z247" s="41"/>
      <c r="AA247" s="41"/>
    </row>
    <row r="248" spans="1:27" ht="15.75" hidden="1" customHeight="1" x14ac:dyDescent="0.25">
      <c r="A248" s="51"/>
      <c r="B248" s="41"/>
      <c r="C248" s="41"/>
      <c r="D248" s="41"/>
      <c r="E248" s="41"/>
      <c r="F248" s="41"/>
      <c r="G248" s="41"/>
      <c r="H248" s="41"/>
      <c r="I248" s="41"/>
      <c r="J248" s="41"/>
      <c r="K248" s="41"/>
      <c r="L248" s="41"/>
      <c r="M248" s="41"/>
      <c r="N248" s="41"/>
      <c r="O248" s="41"/>
      <c r="P248" s="41"/>
      <c r="Q248" s="64"/>
      <c r="R248" s="41"/>
      <c r="S248" s="41"/>
      <c r="T248" s="41"/>
      <c r="U248" s="41"/>
      <c r="V248" s="41"/>
      <c r="W248" s="41"/>
      <c r="X248" s="41"/>
      <c r="Y248" s="41"/>
      <c r="Z248" s="41"/>
      <c r="AA248" s="41"/>
    </row>
    <row r="249" spans="1:27" ht="15.75" hidden="1" customHeight="1" x14ac:dyDescent="0.25">
      <c r="A249" s="51"/>
      <c r="B249" s="41"/>
      <c r="C249" s="41"/>
      <c r="D249" s="41"/>
      <c r="E249" s="41"/>
      <c r="F249" s="41"/>
      <c r="G249" s="41"/>
      <c r="H249" s="41"/>
      <c r="I249" s="41"/>
      <c r="J249" s="41"/>
      <c r="K249" s="41"/>
      <c r="L249" s="41"/>
      <c r="M249" s="41"/>
      <c r="N249" s="41"/>
      <c r="O249" s="41"/>
      <c r="P249" s="41"/>
      <c r="Q249" s="64"/>
      <c r="R249" s="41"/>
      <c r="S249" s="41"/>
      <c r="T249" s="41"/>
      <c r="U249" s="41"/>
      <c r="V249" s="41"/>
      <c r="W249" s="41"/>
      <c r="X249" s="41"/>
      <c r="Y249" s="41"/>
      <c r="Z249" s="41"/>
      <c r="AA249" s="41"/>
    </row>
    <row r="250" spans="1:27" ht="15.75" hidden="1" customHeight="1" x14ac:dyDescent="0.25">
      <c r="A250" s="51"/>
      <c r="B250" s="41"/>
      <c r="C250" s="41"/>
      <c r="D250" s="41"/>
      <c r="E250" s="41"/>
      <c r="F250" s="41"/>
      <c r="G250" s="41"/>
      <c r="H250" s="41"/>
      <c r="I250" s="41"/>
      <c r="J250" s="41"/>
      <c r="K250" s="41"/>
      <c r="L250" s="41"/>
      <c r="M250" s="41"/>
      <c r="N250" s="41"/>
      <c r="O250" s="41"/>
      <c r="P250" s="41"/>
      <c r="Q250" s="64"/>
      <c r="R250" s="41"/>
      <c r="S250" s="41"/>
      <c r="T250" s="41"/>
      <c r="U250" s="41"/>
      <c r="V250" s="41"/>
      <c r="W250" s="41"/>
      <c r="X250" s="41"/>
      <c r="Y250" s="41"/>
      <c r="Z250" s="41"/>
      <c r="AA250" s="41"/>
    </row>
    <row r="251" spans="1:27" ht="15.75" hidden="1" customHeight="1" x14ac:dyDescent="0.25">
      <c r="A251" s="51"/>
      <c r="B251" s="41"/>
      <c r="C251" s="41"/>
      <c r="D251" s="41"/>
      <c r="E251" s="41"/>
      <c r="F251" s="41"/>
      <c r="G251" s="41"/>
      <c r="H251" s="41"/>
      <c r="I251" s="41"/>
      <c r="J251" s="41"/>
      <c r="K251" s="41"/>
      <c r="L251" s="41"/>
      <c r="M251" s="41"/>
      <c r="N251" s="41"/>
      <c r="O251" s="41"/>
      <c r="P251" s="41"/>
      <c r="Q251" s="64"/>
      <c r="R251" s="41"/>
      <c r="S251" s="41"/>
      <c r="T251" s="41"/>
      <c r="U251" s="41"/>
      <c r="V251" s="41"/>
      <c r="W251" s="41"/>
      <c r="X251" s="41"/>
      <c r="Y251" s="41"/>
      <c r="Z251" s="41"/>
      <c r="AA251" s="41"/>
    </row>
    <row r="252" spans="1:27" ht="15.75" hidden="1" customHeight="1" x14ac:dyDescent="0.25">
      <c r="A252" s="51"/>
      <c r="B252" s="41"/>
      <c r="C252" s="41"/>
      <c r="D252" s="41"/>
      <c r="E252" s="41"/>
      <c r="F252" s="41"/>
      <c r="G252" s="41"/>
      <c r="H252" s="41"/>
      <c r="I252" s="41"/>
      <c r="J252" s="41"/>
      <c r="K252" s="41"/>
      <c r="L252" s="41"/>
      <c r="M252" s="41"/>
      <c r="N252" s="41"/>
      <c r="O252" s="41"/>
      <c r="P252" s="41"/>
      <c r="Q252" s="64"/>
      <c r="R252" s="41"/>
      <c r="S252" s="41"/>
      <c r="T252" s="41"/>
      <c r="U252" s="41"/>
      <c r="V252" s="41"/>
      <c r="W252" s="41"/>
      <c r="X252" s="41"/>
      <c r="Y252" s="41"/>
      <c r="Z252" s="41"/>
      <c r="AA252" s="41"/>
    </row>
    <row r="253" spans="1:27" ht="15.75" hidden="1" customHeight="1" x14ac:dyDescent="0.25">
      <c r="A253" s="51"/>
      <c r="B253" s="41"/>
      <c r="C253" s="41"/>
      <c r="D253" s="41"/>
      <c r="E253" s="41"/>
      <c r="F253" s="41"/>
      <c r="G253" s="41"/>
      <c r="H253" s="41"/>
      <c r="I253" s="41"/>
      <c r="J253" s="41"/>
      <c r="K253" s="41"/>
      <c r="L253" s="41"/>
      <c r="M253" s="41"/>
      <c r="N253" s="41"/>
      <c r="O253" s="41"/>
      <c r="P253" s="41"/>
      <c r="Q253" s="64"/>
      <c r="R253" s="41"/>
      <c r="S253" s="41"/>
      <c r="T253" s="41"/>
      <c r="U253" s="41"/>
      <c r="V253" s="41"/>
      <c r="W253" s="41"/>
      <c r="X253" s="41"/>
      <c r="Y253" s="41"/>
      <c r="Z253" s="41"/>
      <c r="AA253" s="41"/>
    </row>
    <row r="254" spans="1:27" ht="15.75" hidden="1" customHeight="1" x14ac:dyDescent="0.25">
      <c r="A254" s="51"/>
      <c r="B254" s="41"/>
      <c r="C254" s="41"/>
      <c r="D254" s="41"/>
      <c r="E254" s="41"/>
      <c r="F254" s="41"/>
      <c r="G254" s="41"/>
      <c r="H254" s="41"/>
      <c r="I254" s="41"/>
      <c r="J254" s="41"/>
      <c r="K254" s="41"/>
      <c r="L254" s="41"/>
      <c r="M254" s="41"/>
      <c r="N254" s="41"/>
      <c r="O254" s="41"/>
      <c r="P254" s="41"/>
      <c r="Q254" s="64"/>
      <c r="R254" s="41"/>
      <c r="S254" s="41"/>
      <c r="T254" s="41"/>
      <c r="U254" s="41"/>
      <c r="V254" s="41"/>
      <c r="W254" s="41"/>
      <c r="X254" s="41"/>
      <c r="Y254" s="41"/>
      <c r="Z254" s="41"/>
      <c r="AA254" s="41"/>
    </row>
    <row r="255" spans="1:27" ht="15.75" hidden="1" customHeight="1" x14ac:dyDescent="0.25">
      <c r="A255" s="51"/>
      <c r="B255" s="41"/>
      <c r="C255" s="41"/>
      <c r="D255" s="41"/>
      <c r="E255" s="41"/>
      <c r="F255" s="41"/>
      <c r="G255" s="41"/>
      <c r="H255" s="41"/>
      <c r="I255" s="41"/>
      <c r="J255" s="41"/>
      <c r="K255" s="41"/>
      <c r="L255" s="41"/>
      <c r="M255" s="41"/>
      <c r="N255" s="41"/>
      <c r="O255" s="41"/>
      <c r="P255" s="41"/>
      <c r="Q255" s="64"/>
      <c r="R255" s="41"/>
      <c r="S255" s="41"/>
      <c r="T255" s="41"/>
      <c r="U255" s="41"/>
      <c r="V255" s="41"/>
      <c r="W255" s="41"/>
      <c r="X255" s="41"/>
      <c r="Y255" s="41"/>
      <c r="Z255" s="41"/>
      <c r="AA255" s="41"/>
    </row>
    <row r="256" spans="1:27" ht="15.75" hidden="1" customHeight="1" x14ac:dyDescent="0.25">
      <c r="A256" s="51"/>
      <c r="B256" s="41"/>
      <c r="C256" s="41"/>
      <c r="D256" s="41"/>
      <c r="E256" s="41"/>
      <c r="F256" s="41"/>
      <c r="G256" s="41"/>
      <c r="H256" s="41"/>
      <c r="I256" s="41"/>
      <c r="J256" s="41"/>
      <c r="K256" s="41"/>
      <c r="L256" s="41"/>
      <c r="M256" s="41"/>
      <c r="N256" s="41"/>
      <c r="O256" s="41"/>
      <c r="P256" s="41"/>
      <c r="Q256" s="64"/>
      <c r="R256" s="41"/>
      <c r="S256" s="41"/>
      <c r="T256" s="41"/>
      <c r="U256" s="41"/>
      <c r="V256" s="41"/>
      <c r="W256" s="41"/>
      <c r="X256" s="41"/>
      <c r="Y256" s="41"/>
      <c r="Z256" s="41"/>
      <c r="AA256" s="41"/>
    </row>
    <row r="257" spans="1:27" ht="15.75" hidden="1" customHeight="1" x14ac:dyDescent="0.25">
      <c r="A257" s="51"/>
      <c r="B257" s="41"/>
      <c r="C257" s="41"/>
      <c r="D257" s="41"/>
      <c r="E257" s="41"/>
      <c r="F257" s="41"/>
      <c r="G257" s="41"/>
      <c r="H257" s="41"/>
      <c r="I257" s="41"/>
      <c r="J257" s="41"/>
      <c r="K257" s="41"/>
      <c r="L257" s="41"/>
      <c r="M257" s="41"/>
      <c r="N257" s="41"/>
      <c r="O257" s="41"/>
      <c r="P257" s="41"/>
      <c r="Q257" s="64"/>
      <c r="R257" s="41"/>
      <c r="S257" s="41"/>
      <c r="T257" s="41"/>
      <c r="U257" s="41"/>
      <c r="V257" s="41"/>
      <c r="W257" s="41"/>
      <c r="X257" s="41"/>
      <c r="Y257" s="41"/>
      <c r="Z257" s="41"/>
      <c r="AA257" s="41"/>
    </row>
    <row r="258" spans="1:27" ht="15.75" hidden="1" customHeight="1" x14ac:dyDescent="0.25">
      <c r="A258" s="51"/>
      <c r="B258" s="41"/>
      <c r="C258" s="41"/>
      <c r="D258" s="41"/>
      <c r="E258" s="41"/>
      <c r="F258" s="41"/>
      <c r="G258" s="41"/>
      <c r="H258" s="41"/>
      <c r="I258" s="41"/>
      <c r="J258" s="41"/>
      <c r="K258" s="41"/>
      <c r="L258" s="41"/>
      <c r="M258" s="41"/>
      <c r="N258" s="41"/>
      <c r="O258" s="41"/>
      <c r="P258" s="41"/>
      <c r="Q258" s="64"/>
      <c r="R258" s="41"/>
      <c r="S258" s="41"/>
      <c r="T258" s="41"/>
      <c r="U258" s="41"/>
      <c r="V258" s="41"/>
      <c r="W258" s="41"/>
      <c r="X258" s="41"/>
      <c r="Y258" s="41"/>
      <c r="Z258" s="41"/>
      <c r="AA258" s="41"/>
    </row>
    <row r="259" spans="1:27" ht="15.75" hidden="1" customHeight="1" x14ac:dyDescent="0.25">
      <c r="A259" s="51"/>
      <c r="B259" s="41"/>
      <c r="C259" s="41"/>
      <c r="D259" s="41"/>
      <c r="E259" s="41"/>
      <c r="F259" s="41"/>
      <c r="G259" s="41"/>
      <c r="H259" s="41"/>
      <c r="I259" s="41"/>
      <c r="J259" s="41"/>
      <c r="K259" s="41"/>
      <c r="L259" s="41"/>
      <c r="M259" s="41"/>
      <c r="N259" s="41"/>
      <c r="O259" s="41"/>
      <c r="P259" s="41"/>
      <c r="Q259" s="64"/>
      <c r="R259" s="41"/>
      <c r="S259" s="41"/>
      <c r="T259" s="41"/>
      <c r="U259" s="41"/>
      <c r="V259" s="41"/>
      <c r="W259" s="41"/>
      <c r="X259" s="41"/>
      <c r="Y259" s="41"/>
      <c r="Z259" s="41"/>
      <c r="AA259" s="41"/>
    </row>
    <row r="260" spans="1:27" ht="15.75" hidden="1" customHeight="1" x14ac:dyDescent="0.25">
      <c r="A260" s="51"/>
      <c r="B260" s="41"/>
      <c r="C260" s="41"/>
      <c r="D260" s="41"/>
      <c r="E260" s="41"/>
      <c r="F260" s="41"/>
      <c r="G260" s="41"/>
      <c r="H260" s="41"/>
      <c r="I260" s="41"/>
      <c r="J260" s="41"/>
      <c r="K260" s="41"/>
      <c r="L260" s="41"/>
      <c r="M260" s="41"/>
      <c r="N260" s="41"/>
      <c r="O260" s="41"/>
      <c r="P260" s="41"/>
      <c r="Q260" s="64"/>
      <c r="R260" s="41"/>
      <c r="S260" s="41"/>
      <c r="T260" s="41"/>
      <c r="U260" s="41"/>
      <c r="V260" s="41"/>
      <c r="W260" s="41"/>
      <c r="X260" s="41"/>
      <c r="Y260" s="41"/>
      <c r="Z260" s="41"/>
      <c r="AA260" s="41"/>
    </row>
    <row r="261" spans="1:27" ht="15.75" hidden="1" customHeight="1" x14ac:dyDescent="0.25">
      <c r="A261" s="51"/>
      <c r="B261" s="41"/>
      <c r="C261" s="41"/>
      <c r="D261" s="41"/>
      <c r="E261" s="41"/>
      <c r="F261" s="41"/>
      <c r="G261" s="41"/>
      <c r="H261" s="41"/>
      <c r="I261" s="41"/>
      <c r="J261" s="41"/>
      <c r="K261" s="41"/>
      <c r="L261" s="41"/>
      <c r="M261" s="41"/>
      <c r="N261" s="41"/>
      <c r="O261" s="41"/>
      <c r="P261" s="41"/>
      <c r="Q261" s="64"/>
      <c r="R261" s="41"/>
      <c r="S261" s="41"/>
      <c r="T261" s="41"/>
      <c r="U261" s="41"/>
      <c r="V261" s="41"/>
      <c r="W261" s="41"/>
      <c r="X261" s="41"/>
      <c r="Y261" s="41"/>
      <c r="Z261" s="41"/>
      <c r="AA261" s="41"/>
    </row>
    <row r="262" spans="1:27" ht="15.75" hidden="1" customHeight="1" x14ac:dyDescent="0.25">
      <c r="A262" s="51"/>
      <c r="B262" s="41"/>
      <c r="C262" s="41"/>
      <c r="D262" s="41"/>
      <c r="E262" s="41"/>
      <c r="F262" s="41"/>
      <c r="G262" s="41"/>
      <c r="H262" s="41"/>
      <c r="I262" s="41"/>
      <c r="J262" s="41"/>
      <c r="K262" s="41"/>
      <c r="L262" s="41"/>
      <c r="M262" s="41"/>
      <c r="N262" s="41"/>
      <c r="O262" s="41"/>
      <c r="P262" s="41"/>
      <c r="Q262" s="64"/>
      <c r="R262" s="41"/>
      <c r="S262" s="41"/>
      <c r="T262" s="41"/>
      <c r="U262" s="41"/>
      <c r="V262" s="41"/>
      <c r="W262" s="41"/>
      <c r="X262" s="41"/>
      <c r="Y262" s="41"/>
      <c r="Z262" s="41"/>
      <c r="AA262" s="41"/>
    </row>
    <row r="263" spans="1:27" ht="15.75" hidden="1" customHeight="1" x14ac:dyDescent="0.25">
      <c r="A263" s="51"/>
      <c r="B263" s="41"/>
      <c r="C263" s="41"/>
      <c r="D263" s="41"/>
      <c r="E263" s="41"/>
      <c r="F263" s="41"/>
      <c r="G263" s="41"/>
      <c r="H263" s="41"/>
      <c r="I263" s="41"/>
      <c r="J263" s="41"/>
      <c r="K263" s="41"/>
      <c r="L263" s="41"/>
      <c r="M263" s="41"/>
      <c r="N263" s="41"/>
      <c r="O263" s="41"/>
      <c r="P263" s="41"/>
      <c r="Q263" s="64"/>
      <c r="R263" s="41"/>
      <c r="S263" s="41"/>
      <c r="T263" s="41"/>
      <c r="U263" s="41"/>
      <c r="V263" s="41"/>
      <c r="W263" s="41"/>
      <c r="X263" s="41"/>
      <c r="Y263" s="41"/>
      <c r="Z263" s="41"/>
      <c r="AA263" s="41"/>
    </row>
    <row r="264" spans="1:27" ht="15.75" hidden="1" customHeight="1" x14ac:dyDescent="0.25">
      <c r="A264" s="51"/>
      <c r="B264" s="41"/>
      <c r="C264" s="41"/>
      <c r="D264" s="41"/>
      <c r="E264" s="41"/>
      <c r="F264" s="41"/>
      <c r="G264" s="41"/>
      <c r="H264" s="41"/>
      <c r="I264" s="41"/>
      <c r="J264" s="41"/>
      <c r="K264" s="41"/>
      <c r="L264" s="41"/>
      <c r="M264" s="41"/>
      <c r="N264" s="41"/>
      <c r="O264" s="41"/>
      <c r="P264" s="41"/>
      <c r="Q264" s="64"/>
      <c r="R264" s="41"/>
      <c r="S264" s="41"/>
      <c r="T264" s="41"/>
      <c r="U264" s="41"/>
      <c r="V264" s="41"/>
      <c r="W264" s="41"/>
      <c r="X264" s="41"/>
      <c r="Y264" s="41"/>
      <c r="Z264" s="41"/>
      <c r="AA264" s="41"/>
    </row>
    <row r="265" spans="1:27" ht="15.75" hidden="1" customHeight="1" x14ac:dyDescent="0.25">
      <c r="A265" s="51"/>
      <c r="B265" s="41"/>
      <c r="C265" s="41"/>
      <c r="D265" s="41"/>
      <c r="E265" s="41"/>
      <c r="F265" s="41"/>
      <c r="G265" s="41"/>
      <c r="H265" s="41"/>
      <c r="I265" s="41"/>
      <c r="J265" s="41"/>
      <c r="K265" s="41"/>
      <c r="L265" s="41"/>
      <c r="M265" s="41"/>
      <c r="N265" s="41"/>
      <c r="O265" s="41"/>
      <c r="P265" s="41"/>
      <c r="Q265" s="64"/>
      <c r="R265" s="41"/>
      <c r="S265" s="41"/>
      <c r="T265" s="41"/>
      <c r="U265" s="41"/>
      <c r="V265" s="41"/>
      <c r="W265" s="41"/>
      <c r="X265" s="41"/>
      <c r="Y265" s="41"/>
      <c r="Z265" s="41"/>
      <c r="AA265" s="41"/>
    </row>
    <row r="266" spans="1:27" ht="15.75" hidden="1" customHeight="1" x14ac:dyDescent="0.25">
      <c r="A266" s="51"/>
      <c r="B266" s="41"/>
      <c r="C266" s="41"/>
      <c r="D266" s="41"/>
      <c r="E266" s="41"/>
      <c r="F266" s="41"/>
      <c r="G266" s="41"/>
      <c r="H266" s="41"/>
      <c r="I266" s="41"/>
      <c r="J266" s="41"/>
      <c r="K266" s="41"/>
      <c r="L266" s="41"/>
      <c r="M266" s="41"/>
      <c r="N266" s="41"/>
      <c r="O266" s="41"/>
      <c r="P266" s="41"/>
      <c r="Q266" s="64"/>
      <c r="R266" s="41"/>
      <c r="S266" s="41"/>
      <c r="T266" s="41"/>
      <c r="U266" s="41"/>
      <c r="V266" s="41"/>
      <c r="W266" s="41"/>
      <c r="X266" s="41"/>
      <c r="Y266" s="41"/>
      <c r="Z266" s="41"/>
      <c r="AA266" s="41"/>
    </row>
    <row r="267" spans="1:27" ht="15.75" hidden="1" customHeight="1" x14ac:dyDescent="0.25">
      <c r="A267" s="51"/>
      <c r="B267" s="41"/>
      <c r="C267" s="41"/>
      <c r="D267" s="41"/>
      <c r="E267" s="41"/>
      <c r="F267" s="41"/>
      <c r="G267" s="41"/>
      <c r="H267" s="41"/>
      <c r="I267" s="41"/>
      <c r="J267" s="41"/>
      <c r="K267" s="41"/>
      <c r="L267" s="41"/>
      <c r="M267" s="41"/>
      <c r="N267" s="41"/>
      <c r="O267" s="41"/>
      <c r="P267" s="41"/>
      <c r="Q267" s="64"/>
      <c r="R267" s="41"/>
      <c r="S267" s="41"/>
      <c r="T267" s="41"/>
      <c r="U267" s="41"/>
      <c r="V267" s="41"/>
      <c r="W267" s="41"/>
      <c r="X267" s="41"/>
      <c r="Y267" s="41"/>
      <c r="Z267" s="41"/>
      <c r="AA267" s="41"/>
    </row>
    <row r="268" spans="1:27" ht="15.75" hidden="1" customHeight="1" x14ac:dyDescent="0.25">
      <c r="A268" s="51"/>
      <c r="B268" s="41"/>
      <c r="C268" s="41"/>
      <c r="D268" s="41"/>
      <c r="E268" s="41"/>
      <c r="F268" s="41"/>
      <c r="G268" s="41"/>
      <c r="H268" s="41"/>
      <c r="I268" s="41"/>
      <c r="J268" s="41"/>
      <c r="K268" s="41"/>
      <c r="L268" s="41"/>
      <c r="M268" s="41"/>
      <c r="N268" s="41"/>
      <c r="O268" s="41"/>
      <c r="P268" s="41"/>
      <c r="Q268" s="64"/>
      <c r="R268" s="41"/>
      <c r="S268" s="41"/>
      <c r="T268" s="41"/>
      <c r="U268" s="41"/>
      <c r="V268" s="41"/>
      <c r="W268" s="41"/>
      <c r="X268" s="41"/>
      <c r="Y268" s="41"/>
      <c r="Z268" s="41"/>
      <c r="AA268" s="41"/>
    </row>
    <row r="269" spans="1:27" ht="15.75" hidden="1" customHeight="1" x14ac:dyDescent="0.25">
      <c r="A269" s="51"/>
      <c r="B269" s="41"/>
      <c r="C269" s="41"/>
      <c r="D269" s="41"/>
      <c r="E269" s="41"/>
      <c r="F269" s="41"/>
      <c r="G269" s="41"/>
      <c r="H269" s="41"/>
      <c r="I269" s="41"/>
      <c r="J269" s="41"/>
      <c r="K269" s="41"/>
      <c r="L269" s="41"/>
      <c r="M269" s="41"/>
      <c r="N269" s="41"/>
      <c r="O269" s="41"/>
      <c r="P269" s="41"/>
      <c r="Q269" s="64"/>
      <c r="R269" s="41"/>
      <c r="S269" s="41"/>
      <c r="T269" s="41"/>
      <c r="U269" s="41"/>
      <c r="V269" s="41"/>
      <c r="W269" s="41"/>
      <c r="X269" s="41"/>
      <c r="Y269" s="41"/>
      <c r="Z269" s="41"/>
      <c r="AA269" s="41"/>
    </row>
    <row r="270" spans="1:27" ht="15.75" hidden="1" customHeight="1" x14ac:dyDescent="0.25">
      <c r="A270" s="51"/>
      <c r="B270" s="41"/>
      <c r="C270" s="41"/>
      <c r="D270" s="41"/>
      <c r="E270" s="41"/>
      <c r="F270" s="41"/>
      <c r="G270" s="41"/>
      <c r="H270" s="41"/>
      <c r="I270" s="41"/>
      <c r="J270" s="41"/>
      <c r="K270" s="41"/>
      <c r="L270" s="41"/>
      <c r="M270" s="41"/>
      <c r="N270" s="41"/>
      <c r="O270" s="41"/>
      <c r="P270" s="41"/>
      <c r="Q270" s="64"/>
      <c r="R270" s="41"/>
      <c r="S270" s="41"/>
      <c r="T270" s="41"/>
      <c r="U270" s="41"/>
      <c r="V270" s="41"/>
      <c r="W270" s="41"/>
      <c r="X270" s="41"/>
      <c r="Y270" s="41"/>
      <c r="Z270" s="41"/>
      <c r="AA270" s="41"/>
    </row>
    <row r="271" spans="1:27" ht="15.75" hidden="1" customHeight="1" x14ac:dyDescent="0.25">
      <c r="A271" s="51"/>
      <c r="B271" s="41"/>
      <c r="C271" s="41"/>
      <c r="D271" s="41"/>
      <c r="E271" s="41"/>
      <c r="F271" s="41"/>
      <c r="G271" s="41"/>
      <c r="H271" s="41"/>
      <c r="I271" s="41"/>
      <c r="J271" s="41"/>
      <c r="K271" s="41"/>
      <c r="L271" s="41"/>
      <c r="M271" s="41"/>
      <c r="N271" s="41"/>
      <c r="O271" s="41"/>
      <c r="P271" s="41"/>
      <c r="Q271" s="64"/>
      <c r="R271" s="41"/>
      <c r="S271" s="41"/>
      <c r="T271" s="41"/>
      <c r="U271" s="41"/>
      <c r="V271" s="41"/>
      <c r="W271" s="41"/>
      <c r="X271" s="41"/>
      <c r="Y271" s="41"/>
      <c r="Z271" s="41"/>
      <c r="AA271" s="41"/>
    </row>
    <row r="272" spans="1:27" ht="15.75" hidden="1" customHeight="1" x14ac:dyDescent="0.25">
      <c r="A272" s="51"/>
      <c r="B272" s="41"/>
      <c r="C272" s="41"/>
      <c r="D272" s="41"/>
      <c r="E272" s="41"/>
      <c r="F272" s="41"/>
      <c r="G272" s="41"/>
      <c r="H272" s="41"/>
      <c r="I272" s="41"/>
      <c r="J272" s="41"/>
      <c r="K272" s="41"/>
      <c r="L272" s="41"/>
      <c r="M272" s="41"/>
      <c r="N272" s="41"/>
      <c r="O272" s="41"/>
      <c r="P272" s="41"/>
      <c r="Q272" s="64"/>
      <c r="R272" s="41"/>
      <c r="S272" s="41"/>
      <c r="T272" s="41"/>
      <c r="U272" s="41"/>
      <c r="V272" s="41"/>
      <c r="W272" s="41"/>
      <c r="X272" s="41"/>
      <c r="Y272" s="41"/>
      <c r="Z272" s="41"/>
      <c r="AA272" s="41"/>
    </row>
    <row r="273" spans="1:27" ht="15.75" hidden="1" customHeight="1" x14ac:dyDescent="0.25">
      <c r="A273" s="51"/>
      <c r="B273" s="41"/>
      <c r="C273" s="41"/>
      <c r="D273" s="41"/>
      <c r="E273" s="41"/>
      <c r="F273" s="41"/>
      <c r="G273" s="41"/>
      <c r="H273" s="41"/>
      <c r="I273" s="41"/>
      <c r="J273" s="41"/>
      <c r="K273" s="41"/>
      <c r="L273" s="41"/>
      <c r="M273" s="41"/>
      <c r="N273" s="41"/>
      <c r="O273" s="41"/>
      <c r="P273" s="41"/>
      <c r="Q273" s="64"/>
      <c r="R273" s="41"/>
      <c r="S273" s="41"/>
      <c r="T273" s="41"/>
      <c r="U273" s="41"/>
      <c r="V273" s="41"/>
      <c r="W273" s="41"/>
      <c r="X273" s="41"/>
      <c r="Y273" s="41"/>
      <c r="Z273" s="41"/>
      <c r="AA273" s="41"/>
    </row>
    <row r="274" spans="1:27" ht="15.75" hidden="1" customHeight="1" x14ac:dyDescent="0.25">
      <c r="A274" s="51"/>
      <c r="B274" s="41"/>
      <c r="C274" s="41"/>
      <c r="D274" s="41"/>
      <c r="E274" s="41"/>
      <c r="F274" s="41"/>
      <c r="G274" s="41"/>
      <c r="H274" s="41"/>
      <c r="I274" s="41"/>
      <c r="J274" s="41"/>
      <c r="K274" s="41"/>
      <c r="L274" s="41"/>
      <c r="M274" s="41"/>
      <c r="N274" s="41"/>
      <c r="O274" s="41"/>
      <c r="P274" s="41"/>
      <c r="Q274" s="64"/>
      <c r="R274" s="41"/>
      <c r="S274" s="41"/>
      <c r="T274" s="41"/>
      <c r="U274" s="41"/>
      <c r="V274" s="41"/>
      <c r="W274" s="41"/>
      <c r="X274" s="41"/>
      <c r="Y274" s="41"/>
      <c r="Z274" s="41"/>
      <c r="AA274" s="41"/>
    </row>
    <row r="275" spans="1:27" ht="15.75" hidden="1" customHeight="1" x14ac:dyDescent="0.25">
      <c r="A275" s="51"/>
      <c r="B275" s="41"/>
      <c r="C275" s="41"/>
      <c r="D275" s="41"/>
      <c r="E275" s="41"/>
      <c r="F275" s="41"/>
      <c r="G275" s="41"/>
      <c r="H275" s="41"/>
      <c r="I275" s="41"/>
      <c r="J275" s="41"/>
      <c r="K275" s="41"/>
      <c r="L275" s="41"/>
      <c r="M275" s="41"/>
      <c r="N275" s="41"/>
      <c r="O275" s="41"/>
      <c r="P275" s="41"/>
      <c r="Q275" s="64"/>
      <c r="R275" s="41"/>
      <c r="S275" s="41"/>
      <c r="T275" s="41"/>
      <c r="U275" s="41"/>
      <c r="V275" s="41"/>
      <c r="W275" s="41"/>
      <c r="X275" s="41"/>
      <c r="Y275" s="41"/>
      <c r="Z275" s="41"/>
      <c r="AA275" s="41"/>
    </row>
    <row r="276" spans="1:27" ht="15.75" hidden="1" customHeight="1" x14ac:dyDescent="0.25">
      <c r="A276" s="51"/>
      <c r="B276" s="41"/>
      <c r="C276" s="41"/>
      <c r="D276" s="41"/>
      <c r="E276" s="41"/>
      <c r="F276" s="41"/>
      <c r="G276" s="41"/>
      <c r="H276" s="41"/>
      <c r="I276" s="41"/>
      <c r="J276" s="41"/>
      <c r="K276" s="41"/>
      <c r="L276" s="41"/>
      <c r="M276" s="41"/>
      <c r="N276" s="41"/>
      <c r="O276" s="41"/>
      <c r="P276" s="41"/>
      <c r="Q276" s="64"/>
      <c r="R276" s="41"/>
      <c r="S276" s="41"/>
      <c r="T276" s="41"/>
      <c r="U276" s="41"/>
      <c r="V276" s="41"/>
      <c r="W276" s="41"/>
      <c r="X276" s="41"/>
      <c r="Y276" s="41"/>
      <c r="Z276" s="41"/>
      <c r="AA276" s="41"/>
    </row>
    <row r="277" spans="1:27" ht="15.75" hidden="1" customHeight="1" x14ac:dyDescent="0.25">
      <c r="A277" s="51"/>
      <c r="B277" s="41"/>
      <c r="C277" s="41"/>
      <c r="D277" s="41"/>
      <c r="E277" s="41"/>
      <c r="F277" s="41"/>
      <c r="G277" s="41"/>
      <c r="H277" s="41"/>
      <c r="I277" s="41"/>
      <c r="J277" s="41"/>
      <c r="K277" s="41"/>
      <c r="L277" s="41"/>
      <c r="M277" s="41"/>
      <c r="N277" s="41"/>
      <c r="O277" s="41"/>
      <c r="P277" s="41"/>
      <c r="Q277" s="64"/>
      <c r="R277" s="41"/>
      <c r="S277" s="41"/>
      <c r="T277" s="41"/>
      <c r="U277" s="41"/>
      <c r="V277" s="41"/>
      <c r="W277" s="41"/>
      <c r="X277" s="41"/>
      <c r="Y277" s="41"/>
      <c r="Z277" s="41"/>
      <c r="AA277" s="41"/>
    </row>
    <row r="278" spans="1:27" ht="15.75" hidden="1" customHeight="1" x14ac:dyDescent="0.25">
      <c r="A278" s="51"/>
      <c r="B278" s="41"/>
      <c r="C278" s="41"/>
      <c r="D278" s="41"/>
      <c r="E278" s="41"/>
      <c r="F278" s="41"/>
      <c r="G278" s="41"/>
      <c r="H278" s="41"/>
      <c r="I278" s="41"/>
      <c r="J278" s="41"/>
      <c r="K278" s="41"/>
      <c r="L278" s="41"/>
      <c r="M278" s="41"/>
      <c r="N278" s="41"/>
      <c r="O278" s="41"/>
      <c r="P278" s="41"/>
      <c r="Q278" s="64"/>
      <c r="R278" s="41"/>
      <c r="S278" s="41"/>
      <c r="T278" s="41"/>
      <c r="U278" s="41"/>
      <c r="V278" s="41"/>
      <c r="W278" s="41"/>
      <c r="X278" s="41"/>
      <c r="Y278" s="41"/>
      <c r="Z278" s="41"/>
      <c r="AA278" s="41"/>
    </row>
    <row r="279" spans="1:27" ht="15.75" hidden="1" customHeight="1" x14ac:dyDescent="0.25">
      <c r="A279" s="51"/>
      <c r="B279" s="41"/>
      <c r="C279" s="41"/>
      <c r="D279" s="41"/>
      <c r="E279" s="41"/>
      <c r="F279" s="41"/>
      <c r="G279" s="41"/>
      <c r="H279" s="41"/>
      <c r="I279" s="41"/>
      <c r="J279" s="41"/>
      <c r="K279" s="41"/>
      <c r="L279" s="41"/>
      <c r="M279" s="41"/>
      <c r="N279" s="41"/>
      <c r="O279" s="41"/>
      <c r="P279" s="41"/>
      <c r="Q279" s="64"/>
      <c r="R279" s="41"/>
      <c r="S279" s="41"/>
      <c r="T279" s="41"/>
      <c r="U279" s="41"/>
      <c r="V279" s="41"/>
      <c r="W279" s="41"/>
      <c r="X279" s="41"/>
      <c r="Y279" s="41"/>
      <c r="Z279" s="41"/>
      <c r="AA279" s="41"/>
    </row>
    <row r="280" spans="1:27" ht="15.75" hidden="1" customHeight="1" x14ac:dyDescent="0.25">
      <c r="A280" s="51"/>
      <c r="B280" s="41"/>
      <c r="C280" s="41"/>
      <c r="D280" s="41"/>
      <c r="E280" s="41"/>
      <c r="F280" s="41"/>
      <c r="G280" s="41"/>
      <c r="H280" s="41"/>
      <c r="I280" s="41"/>
      <c r="J280" s="41"/>
      <c r="K280" s="41"/>
      <c r="L280" s="41"/>
      <c r="M280" s="41"/>
      <c r="N280" s="41"/>
      <c r="O280" s="41"/>
      <c r="P280" s="41"/>
      <c r="Q280" s="64"/>
      <c r="R280" s="41"/>
      <c r="S280" s="41"/>
      <c r="T280" s="41"/>
      <c r="U280" s="41"/>
      <c r="V280" s="41"/>
      <c r="W280" s="41"/>
      <c r="X280" s="41"/>
      <c r="Y280" s="41"/>
      <c r="Z280" s="41"/>
      <c r="AA280" s="41"/>
    </row>
    <row r="281" spans="1:27" ht="15.75" hidden="1" customHeight="1" x14ac:dyDescent="0.25">
      <c r="A281" s="51"/>
      <c r="B281" s="41"/>
      <c r="C281" s="41"/>
      <c r="D281" s="41"/>
      <c r="E281" s="41"/>
      <c r="F281" s="41"/>
      <c r="G281" s="41"/>
      <c r="H281" s="41"/>
      <c r="I281" s="41"/>
      <c r="J281" s="41"/>
      <c r="K281" s="41"/>
      <c r="L281" s="41"/>
      <c r="M281" s="41"/>
      <c r="N281" s="41"/>
      <c r="O281" s="41"/>
      <c r="P281" s="41"/>
      <c r="Q281" s="64"/>
      <c r="R281" s="41"/>
      <c r="S281" s="41"/>
      <c r="T281" s="41"/>
      <c r="U281" s="41"/>
      <c r="V281" s="41"/>
      <c r="W281" s="41"/>
      <c r="X281" s="41"/>
      <c r="Y281" s="41"/>
      <c r="Z281" s="41"/>
      <c r="AA281" s="41"/>
    </row>
    <row r="282" spans="1:27" ht="15.75" hidden="1" customHeight="1" x14ac:dyDescent="0.25">
      <c r="A282" s="51"/>
      <c r="B282" s="41"/>
      <c r="C282" s="41"/>
      <c r="D282" s="41"/>
      <c r="E282" s="41"/>
      <c r="F282" s="41"/>
      <c r="G282" s="41"/>
      <c r="H282" s="41"/>
      <c r="I282" s="41"/>
      <c r="J282" s="41"/>
      <c r="K282" s="41"/>
      <c r="L282" s="41"/>
      <c r="M282" s="41"/>
      <c r="N282" s="41"/>
      <c r="O282" s="41"/>
      <c r="P282" s="41"/>
      <c r="Q282" s="64"/>
      <c r="R282" s="41"/>
      <c r="S282" s="41"/>
      <c r="T282" s="41"/>
      <c r="U282" s="41"/>
      <c r="V282" s="41"/>
      <c r="W282" s="41"/>
      <c r="X282" s="41"/>
      <c r="Y282" s="41"/>
      <c r="Z282" s="41"/>
      <c r="AA282" s="41"/>
    </row>
    <row r="283" spans="1:27" ht="15.75" hidden="1" customHeight="1" x14ac:dyDescent="0.25">
      <c r="A283" s="51"/>
      <c r="B283" s="41"/>
      <c r="C283" s="41"/>
      <c r="D283" s="41"/>
      <c r="E283" s="41"/>
      <c r="F283" s="41"/>
      <c r="G283" s="41"/>
      <c r="H283" s="41"/>
      <c r="I283" s="41"/>
      <c r="J283" s="41"/>
      <c r="K283" s="41"/>
      <c r="L283" s="41"/>
      <c r="M283" s="41"/>
      <c r="N283" s="41"/>
      <c r="O283" s="41"/>
      <c r="P283" s="41"/>
      <c r="Q283" s="64"/>
      <c r="R283" s="41"/>
      <c r="S283" s="41"/>
      <c r="T283" s="41"/>
      <c r="U283" s="41"/>
      <c r="V283" s="41"/>
      <c r="W283" s="41"/>
      <c r="X283" s="41"/>
      <c r="Y283" s="41"/>
      <c r="Z283" s="41"/>
      <c r="AA283" s="41"/>
    </row>
    <row r="284" spans="1:27" ht="15.75" hidden="1" customHeight="1" x14ac:dyDescent="0.25">
      <c r="A284" s="51"/>
      <c r="B284" s="41"/>
      <c r="C284" s="41"/>
      <c r="D284" s="41"/>
      <c r="E284" s="41"/>
      <c r="F284" s="41"/>
      <c r="G284" s="41"/>
      <c r="H284" s="41"/>
      <c r="I284" s="41"/>
      <c r="J284" s="41"/>
      <c r="K284" s="41"/>
      <c r="L284" s="41"/>
      <c r="M284" s="41"/>
      <c r="N284" s="41"/>
      <c r="O284" s="41"/>
      <c r="P284" s="41"/>
      <c r="Q284" s="64"/>
      <c r="R284" s="41"/>
      <c r="S284" s="41"/>
      <c r="T284" s="41"/>
      <c r="U284" s="41"/>
      <c r="V284" s="41"/>
      <c r="W284" s="41"/>
      <c r="X284" s="41"/>
      <c r="Y284" s="41"/>
      <c r="Z284" s="41"/>
      <c r="AA284" s="41"/>
    </row>
    <row r="285" spans="1:27" ht="15.75" hidden="1" customHeight="1" x14ac:dyDescent="0.25">
      <c r="A285" s="51"/>
      <c r="B285" s="41"/>
      <c r="C285" s="41"/>
      <c r="D285" s="41"/>
      <c r="E285" s="41"/>
      <c r="F285" s="41"/>
      <c r="G285" s="41"/>
      <c r="H285" s="41"/>
      <c r="I285" s="41"/>
      <c r="J285" s="41"/>
      <c r="K285" s="41"/>
      <c r="L285" s="41"/>
      <c r="M285" s="41"/>
      <c r="N285" s="41"/>
      <c r="O285" s="41"/>
      <c r="P285" s="41"/>
      <c r="Q285" s="64"/>
      <c r="R285" s="41"/>
      <c r="S285" s="41"/>
      <c r="T285" s="41"/>
      <c r="U285" s="41"/>
      <c r="V285" s="41"/>
      <c r="W285" s="41"/>
      <c r="X285" s="41"/>
      <c r="Y285" s="41"/>
      <c r="Z285" s="41"/>
      <c r="AA285" s="41"/>
    </row>
    <row r="286" spans="1:27" ht="15.75" hidden="1" customHeight="1" x14ac:dyDescent="0.25">
      <c r="A286" s="51"/>
      <c r="B286" s="41"/>
      <c r="C286" s="41"/>
      <c r="D286" s="41"/>
      <c r="E286" s="41"/>
      <c r="F286" s="41"/>
      <c r="G286" s="41"/>
      <c r="H286" s="41"/>
      <c r="I286" s="41"/>
      <c r="J286" s="41"/>
      <c r="K286" s="41"/>
      <c r="L286" s="41"/>
      <c r="M286" s="41"/>
      <c r="N286" s="41"/>
      <c r="O286" s="41"/>
      <c r="P286" s="41"/>
      <c r="Q286" s="64"/>
      <c r="R286" s="41"/>
      <c r="S286" s="41"/>
      <c r="T286" s="41"/>
      <c r="U286" s="41"/>
      <c r="V286" s="41"/>
      <c r="W286" s="41"/>
      <c r="X286" s="41"/>
      <c r="Y286" s="41"/>
      <c r="Z286" s="41"/>
      <c r="AA286" s="41"/>
    </row>
    <row r="287" spans="1:27" ht="15.75" hidden="1" customHeight="1" x14ac:dyDescent="0.25">
      <c r="A287" s="51"/>
      <c r="B287" s="41"/>
      <c r="C287" s="41"/>
      <c r="D287" s="41"/>
      <c r="E287" s="41"/>
      <c r="F287" s="41"/>
      <c r="G287" s="41"/>
      <c r="H287" s="41"/>
      <c r="I287" s="41"/>
      <c r="J287" s="41"/>
      <c r="K287" s="41"/>
      <c r="L287" s="41"/>
      <c r="M287" s="41"/>
      <c r="N287" s="41"/>
      <c r="O287" s="41"/>
      <c r="P287" s="41"/>
      <c r="Q287" s="64"/>
      <c r="R287" s="41"/>
      <c r="S287" s="41"/>
      <c r="T287" s="41"/>
      <c r="U287" s="41"/>
      <c r="V287" s="41"/>
      <c r="W287" s="41"/>
      <c r="X287" s="41"/>
      <c r="Y287" s="41"/>
      <c r="Z287" s="41"/>
      <c r="AA287" s="41"/>
    </row>
    <row r="288" spans="1:27" ht="15.75" hidden="1" customHeight="1" x14ac:dyDescent="0.25">
      <c r="A288" s="51"/>
      <c r="B288" s="41"/>
      <c r="C288" s="41"/>
      <c r="D288" s="41"/>
      <c r="E288" s="41"/>
      <c r="F288" s="41"/>
      <c r="G288" s="41"/>
      <c r="H288" s="41"/>
      <c r="I288" s="41"/>
      <c r="J288" s="41"/>
      <c r="K288" s="41"/>
      <c r="L288" s="41"/>
      <c r="M288" s="41"/>
      <c r="N288" s="41"/>
      <c r="O288" s="41"/>
      <c r="P288" s="41"/>
      <c r="Q288" s="64"/>
      <c r="R288" s="41"/>
      <c r="S288" s="41"/>
      <c r="T288" s="41"/>
      <c r="U288" s="41"/>
      <c r="V288" s="41"/>
      <c r="W288" s="41"/>
      <c r="X288" s="41"/>
      <c r="Y288" s="41"/>
      <c r="Z288" s="41"/>
      <c r="AA288" s="41"/>
    </row>
    <row r="289" spans="1:27" ht="15.75" hidden="1" customHeight="1" x14ac:dyDescent="0.25">
      <c r="A289" s="51"/>
      <c r="B289" s="41"/>
      <c r="C289" s="41"/>
      <c r="D289" s="41"/>
      <c r="E289" s="41"/>
      <c r="F289" s="41"/>
      <c r="G289" s="41"/>
      <c r="H289" s="41"/>
      <c r="I289" s="41"/>
      <c r="J289" s="41"/>
      <c r="K289" s="41"/>
      <c r="L289" s="41"/>
      <c r="M289" s="41"/>
      <c r="N289" s="41"/>
      <c r="O289" s="41"/>
      <c r="P289" s="41"/>
      <c r="Q289" s="64"/>
      <c r="R289" s="41"/>
      <c r="S289" s="41"/>
      <c r="T289" s="41"/>
      <c r="U289" s="41"/>
      <c r="V289" s="41"/>
      <c r="W289" s="41"/>
      <c r="X289" s="41"/>
      <c r="Y289" s="41"/>
      <c r="Z289" s="41"/>
      <c r="AA289" s="41"/>
    </row>
    <row r="290" spans="1:27" ht="15.75" hidden="1" customHeight="1" x14ac:dyDescent="0.25">
      <c r="A290" s="51"/>
      <c r="B290" s="41"/>
      <c r="C290" s="41"/>
      <c r="D290" s="41"/>
      <c r="E290" s="41"/>
      <c r="F290" s="41"/>
      <c r="G290" s="41"/>
      <c r="H290" s="41"/>
      <c r="I290" s="41"/>
      <c r="J290" s="41"/>
      <c r="K290" s="41"/>
      <c r="L290" s="41"/>
      <c r="M290" s="41"/>
      <c r="N290" s="41"/>
      <c r="O290" s="41"/>
      <c r="P290" s="41"/>
      <c r="Q290" s="64"/>
      <c r="R290" s="41"/>
      <c r="S290" s="41"/>
      <c r="T290" s="41"/>
      <c r="U290" s="41"/>
      <c r="V290" s="41"/>
      <c r="W290" s="41"/>
      <c r="X290" s="41"/>
      <c r="Y290" s="41"/>
      <c r="Z290" s="41"/>
      <c r="AA290" s="41"/>
    </row>
    <row r="291" spans="1:27" ht="15.75" hidden="1" customHeight="1" x14ac:dyDescent="0.25">
      <c r="A291" s="51"/>
      <c r="B291" s="41"/>
      <c r="C291" s="41"/>
      <c r="D291" s="41"/>
      <c r="E291" s="41"/>
      <c r="F291" s="41"/>
      <c r="G291" s="41"/>
      <c r="H291" s="41"/>
      <c r="I291" s="41"/>
      <c r="J291" s="41"/>
      <c r="K291" s="41"/>
      <c r="L291" s="41"/>
      <c r="M291" s="41"/>
      <c r="N291" s="41"/>
      <c r="O291" s="41"/>
      <c r="P291" s="41"/>
      <c r="Q291" s="64"/>
      <c r="R291" s="41"/>
      <c r="S291" s="41"/>
      <c r="T291" s="41"/>
      <c r="U291" s="41"/>
      <c r="V291" s="41"/>
      <c r="W291" s="41"/>
      <c r="X291" s="41"/>
      <c r="Y291" s="41"/>
      <c r="Z291" s="41"/>
      <c r="AA291" s="41"/>
    </row>
    <row r="292" spans="1:27" ht="15.75" hidden="1" customHeight="1" x14ac:dyDescent="0.25">
      <c r="A292" s="51"/>
      <c r="B292" s="41"/>
      <c r="C292" s="41"/>
      <c r="D292" s="41"/>
      <c r="E292" s="41"/>
      <c r="F292" s="41"/>
      <c r="G292" s="41"/>
      <c r="H292" s="41"/>
      <c r="I292" s="41"/>
      <c r="J292" s="41"/>
      <c r="K292" s="41"/>
      <c r="L292" s="41"/>
      <c r="M292" s="41"/>
      <c r="N292" s="41"/>
      <c r="O292" s="41"/>
      <c r="P292" s="41"/>
      <c r="Q292" s="64"/>
      <c r="R292" s="41"/>
      <c r="S292" s="41"/>
      <c r="T292" s="41"/>
      <c r="U292" s="41"/>
      <c r="V292" s="41"/>
      <c r="W292" s="41"/>
      <c r="X292" s="41"/>
      <c r="Y292" s="41"/>
      <c r="Z292" s="41"/>
      <c r="AA292" s="41"/>
    </row>
    <row r="293" spans="1:27" ht="15.75" hidden="1" customHeight="1" x14ac:dyDescent="0.25">
      <c r="A293" s="51"/>
      <c r="B293" s="41"/>
      <c r="C293" s="41"/>
      <c r="D293" s="41"/>
      <c r="E293" s="41"/>
      <c r="F293" s="41"/>
      <c r="G293" s="41"/>
      <c r="H293" s="41"/>
      <c r="I293" s="41"/>
      <c r="J293" s="41"/>
      <c r="K293" s="41"/>
      <c r="L293" s="41"/>
      <c r="M293" s="41"/>
      <c r="N293" s="41"/>
      <c r="O293" s="41"/>
      <c r="P293" s="41"/>
      <c r="Q293" s="64"/>
      <c r="R293" s="41"/>
      <c r="S293" s="41"/>
      <c r="T293" s="41"/>
      <c r="U293" s="41"/>
      <c r="V293" s="41"/>
      <c r="W293" s="41"/>
      <c r="X293" s="41"/>
      <c r="Y293" s="41"/>
      <c r="Z293" s="41"/>
      <c r="AA293" s="41"/>
    </row>
    <row r="294" spans="1:27" ht="15.75" hidden="1" customHeight="1" x14ac:dyDescent="0.25">
      <c r="A294" s="51"/>
      <c r="B294" s="41"/>
      <c r="C294" s="41"/>
      <c r="D294" s="41"/>
      <c r="E294" s="41"/>
      <c r="F294" s="41"/>
      <c r="G294" s="41"/>
      <c r="H294" s="41"/>
      <c r="I294" s="41"/>
      <c r="J294" s="41"/>
      <c r="K294" s="41"/>
      <c r="L294" s="41"/>
      <c r="M294" s="41"/>
      <c r="N294" s="41"/>
      <c r="O294" s="41"/>
      <c r="P294" s="41"/>
      <c r="Q294" s="64"/>
      <c r="R294" s="41"/>
      <c r="S294" s="41"/>
      <c r="T294" s="41"/>
      <c r="U294" s="41"/>
      <c r="V294" s="41"/>
      <c r="W294" s="41"/>
      <c r="X294" s="41"/>
      <c r="Y294" s="41"/>
      <c r="Z294" s="41"/>
      <c r="AA294" s="41"/>
    </row>
    <row r="295" spans="1:27" ht="15.75" hidden="1" customHeight="1" x14ac:dyDescent="0.25">
      <c r="A295" s="51"/>
      <c r="B295" s="41"/>
      <c r="C295" s="41"/>
      <c r="D295" s="41"/>
      <c r="E295" s="41"/>
      <c r="F295" s="41"/>
      <c r="G295" s="41"/>
      <c r="H295" s="41"/>
      <c r="I295" s="41"/>
      <c r="J295" s="41"/>
      <c r="K295" s="41"/>
      <c r="L295" s="41"/>
      <c r="M295" s="41"/>
      <c r="N295" s="41"/>
      <c r="O295" s="41"/>
      <c r="P295" s="41"/>
      <c r="Q295" s="64"/>
      <c r="R295" s="41"/>
      <c r="S295" s="41"/>
      <c r="T295" s="41"/>
      <c r="U295" s="41"/>
      <c r="V295" s="41"/>
      <c r="W295" s="41"/>
      <c r="X295" s="41"/>
      <c r="Y295" s="41"/>
      <c r="Z295" s="41"/>
      <c r="AA295" s="41"/>
    </row>
    <row r="296" spans="1:27" ht="15.75" hidden="1" customHeight="1" x14ac:dyDescent="0.25">
      <c r="A296" s="51"/>
      <c r="B296" s="41"/>
      <c r="C296" s="41"/>
      <c r="D296" s="41"/>
      <c r="E296" s="41"/>
      <c r="F296" s="41"/>
      <c r="G296" s="41"/>
      <c r="H296" s="41"/>
      <c r="I296" s="41"/>
      <c r="J296" s="41"/>
      <c r="K296" s="41"/>
      <c r="L296" s="41"/>
      <c r="M296" s="41"/>
      <c r="N296" s="41"/>
      <c r="O296" s="41"/>
      <c r="P296" s="41"/>
      <c r="Q296" s="64"/>
      <c r="R296" s="41"/>
      <c r="S296" s="41"/>
      <c r="T296" s="41"/>
      <c r="U296" s="41"/>
      <c r="V296" s="41"/>
      <c r="W296" s="41"/>
      <c r="X296" s="41"/>
      <c r="Y296" s="41"/>
      <c r="Z296" s="41"/>
      <c r="AA296" s="41"/>
    </row>
    <row r="297" spans="1:27" ht="15.75" hidden="1" customHeight="1" x14ac:dyDescent="0.25">
      <c r="A297" s="51"/>
      <c r="B297" s="41"/>
      <c r="C297" s="41"/>
      <c r="D297" s="41"/>
      <c r="E297" s="41"/>
      <c r="F297" s="41"/>
      <c r="G297" s="41"/>
      <c r="H297" s="41"/>
      <c r="I297" s="41"/>
      <c r="J297" s="41"/>
      <c r="K297" s="41"/>
      <c r="L297" s="41"/>
      <c r="M297" s="41"/>
      <c r="N297" s="41"/>
      <c r="O297" s="41"/>
      <c r="P297" s="41"/>
      <c r="Q297" s="64"/>
      <c r="R297" s="41"/>
      <c r="S297" s="41"/>
      <c r="T297" s="41"/>
      <c r="U297" s="41"/>
      <c r="V297" s="41"/>
      <c r="W297" s="41"/>
      <c r="X297" s="41"/>
      <c r="Y297" s="41"/>
      <c r="Z297" s="41"/>
      <c r="AA297" s="41"/>
    </row>
    <row r="298" spans="1:27" ht="15.75" hidden="1" customHeight="1" x14ac:dyDescent="0.25">
      <c r="A298" s="51"/>
      <c r="B298" s="41"/>
      <c r="C298" s="41"/>
      <c r="D298" s="41"/>
      <c r="E298" s="41"/>
      <c r="F298" s="41"/>
      <c r="G298" s="41"/>
      <c r="H298" s="41"/>
      <c r="I298" s="41"/>
      <c r="J298" s="41"/>
      <c r="K298" s="41"/>
      <c r="L298" s="41"/>
      <c r="M298" s="41"/>
      <c r="N298" s="41"/>
      <c r="O298" s="41"/>
      <c r="P298" s="41"/>
      <c r="Q298" s="64"/>
      <c r="R298" s="41"/>
      <c r="S298" s="41"/>
      <c r="T298" s="41"/>
      <c r="U298" s="41"/>
      <c r="V298" s="41"/>
      <c r="W298" s="41"/>
      <c r="X298" s="41"/>
      <c r="Y298" s="41"/>
      <c r="Z298" s="41"/>
      <c r="AA298" s="41"/>
    </row>
    <row r="299" spans="1:27" ht="15.75" hidden="1" customHeight="1" x14ac:dyDescent="0.25">
      <c r="A299" s="51"/>
      <c r="B299" s="41"/>
      <c r="C299" s="41"/>
      <c r="D299" s="41"/>
      <c r="E299" s="41"/>
      <c r="F299" s="41"/>
      <c r="G299" s="41"/>
      <c r="H299" s="41"/>
      <c r="I299" s="41"/>
      <c r="J299" s="41"/>
      <c r="K299" s="41"/>
      <c r="L299" s="41"/>
      <c r="M299" s="41"/>
      <c r="N299" s="41"/>
      <c r="O299" s="41"/>
      <c r="P299" s="41"/>
      <c r="Q299" s="64"/>
      <c r="R299" s="41"/>
      <c r="S299" s="41"/>
      <c r="T299" s="41"/>
      <c r="U299" s="41"/>
      <c r="V299" s="41"/>
      <c r="W299" s="41"/>
      <c r="X299" s="41"/>
      <c r="Y299" s="41"/>
      <c r="Z299" s="41"/>
      <c r="AA299" s="41"/>
    </row>
    <row r="300" spans="1:27" ht="15.75" hidden="1" customHeight="1" x14ac:dyDescent="0.25">
      <c r="A300" s="51"/>
      <c r="B300" s="41"/>
      <c r="C300" s="41"/>
      <c r="D300" s="41"/>
      <c r="E300" s="41"/>
      <c r="F300" s="41"/>
      <c r="G300" s="41"/>
      <c r="H300" s="41"/>
      <c r="I300" s="41"/>
      <c r="J300" s="41"/>
      <c r="K300" s="41"/>
      <c r="L300" s="41"/>
      <c r="M300" s="41"/>
      <c r="N300" s="41"/>
      <c r="O300" s="41"/>
      <c r="P300" s="41"/>
      <c r="Q300" s="64"/>
      <c r="R300" s="41"/>
      <c r="S300" s="41"/>
      <c r="T300" s="41"/>
      <c r="U300" s="41"/>
      <c r="V300" s="41"/>
      <c r="W300" s="41"/>
      <c r="X300" s="41"/>
      <c r="Y300" s="41"/>
      <c r="Z300" s="41"/>
      <c r="AA300" s="41"/>
    </row>
    <row r="301" spans="1:27" ht="15.75" hidden="1" customHeight="1" x14ac:dyDescent="0.25">
      <c r="A301" s="51"/>
      <c r="B301" s="41"/>
      <c r="C301" s="41"/>
      <c r="D301" s="41"/>
      <c r="E301" s="41"/>
      <c r="F301" s="41"/>
      <c r="G301" s="41"/>
      <c r="H301" s="41"/>
      <c r="I301" s="41"/>
      <c r="J301" s="41"/>
      <c r="K301" s="41"/>
      <c r="L301" s="41"/>
      <c r="M301" s="41"/>
      <c r="N301" s="41"/>
      <c r="O301" s="41"/>
      <c r="P301" s="41"/>
      <c r="Q301" s="64"/>
      <c r="R301" s="41"/>
      <c r="S301" s="41"/>
      <c r="T301" s="41"/>
      <c r="U301" s="41"/>
      <c r="V301" s="41"/>
      <c r="W301" s="41"/>
      <c r="X301" s="41"/>
      <c r="Y301" s="41"/>
      <c r="Z301" s="41"/>
      <c r="AA301" s="41"/>
    </row>
    <row r="302" spans="1:27" ht="15.75" hidden="1" customHeight="1" x14ac:dyDescent="0.25">
      <c r="A302" s="51"/>
      <c r="B302" s="41"/>
      <c r="C302" s="41"/>
      <c r="D302" s="41"/>
      <c r="E302" s="41"/>
      <c r="F302" s="41"/>
      <c r="G302" s="41"/>
      <c r="H302" s="41"/>
      <c r="I302" s="41"/>
      <c r="J302" s="41"/>
      <c r="K302" s="41"/>
      <c r="L302" s="41"/>
      <c r="M302" s="41"/>
      <c r="N302" s="41"/>
      <c r="O302" s="41"/>
      <c r="P302" s="41"/>
      <c r="Q302" s="64"/>
      <c r="R302" s="41"/>
      <c r="S302" s="41"/>
      <c r="T302" s="41"/>
      <c r="U302" s="41"/>
      <c r="V302" s="41"/>
      <c r="W302" s="41"/>
      <c r="X302" s="41"/>
      <c r="Y302" s="41"/>
      <c r="Z302" s="41"/>
      <c r="AA302" s="41"/>
    </row>
    <row r="303" spans="1:27" ht="15.75" hidden="1" customHeight="1" x14ac:dyDescent="0.25">
      <c r="A303" s="51"/>
      <c r="B303" s="41"/>
      <c r="C303" s="41"/>
      <c r="D303" s="41"/>
      <c r="E303" s="41"/>
      <c r="F303" s="41"/>
      <c r="G303" s="41"/>
      <c r="H303" s="41"/>
      <c r="I303" s="41"/>
      <c r="J303" s="41"/>
      <c r="K303" s="41"/>
      <c r="L303" s="41"/>
      <c r="M303" s="41"/>
      <c r="N303" s="41"/>
      <c r="O303" s="41"/>
      <c r="P303" s="41"/>
      <c r="Q303" s="64"/>
      <c r="R303" s="41"/>
      <c r="S303" s="41"/>
      <c r="T303" s="41"/>
      <c r="U303" s="41"/>
      <c r="V303" s="41"/>
      <c r="W303" s="41"/>
      <c r="X303" s="41"/>
      <c r="Y303" s="41"/>
      <c r="Z303" s="41"/>
      <c r="AA303" s="41"/>
    </row>
    <row r="304" spans="1:27" ht="15.75" hidden="1" customHeight="1" x14ac:dyDescent="0.25">
      <c r="A304" s="51"/>
      <c r="B304" s="41"/>
      <c r="C304" s="41"/>
      <c r="D304" s="41"/>
      <c r="E304" s="41"/>
      <c r="F304" s="41"/>
      <c r="G304" s="41"/>
      <c r="H304" s="41"/>
      <c r="I304" s="41"/>
      <c r="J304" s="41"/>
      <c r="K304" s="41"/>
      <c r="L304" s="41"/>
      <c r="M304" s="41"/>
      <c r="N304" s="41"/>
      <c r="O304" s="41"/>
      <c r="P304" s="41"/>
      <c r="Q304" s="64"/>
      <c r="R304" s="41"/>
      <c r="S304" s="41"/>
      <c r="T304" s="41"/>
      <c r="U304" s="41"/>
      <c r="V304" s="41"/>
      <c r="W304" s="41"/>
      <c r="X304" s="41"/>
      <c r="Y304" s="41"/>
      <c r="Z304" s="41"/>
      <c r="AA304" s="41"/>
    </row>
    <row r="305" spans="1:27" ht="15.75" hidden="1" customHeight="1" x14ac:dyDescent="0.25">
      <c r="A305" s="51"/>
      <c r="B305" s="41"/>
      <c r="C305" s="41"/>
      <c r="D305" s="41"/>
      <c r="E305" s="41"/>
      <c r="F305" s="41"/>
      <c r="G305" s="41"/>
      <c r="H305" s="41"/>
      <c r="I305" s="41"/>
      <c r="J305" s="41"/>
      <c r="K305" s="41"/>
      <c r="L305" s="41"/>
      <c r="M305" s="41"/>
      <c r="N305" s="41"/>
      <c r="O305" s="41"/>
      <c r="P305" s="41"/>
      <c r="Q305" s="64"/>
      <c r="R305" s="41"/>
      <c r="S305" s="41"/>
      <c r="T305" s="41"/>
      <c r="U305" s="41"/>
      <c r="V305" s="41"/>
      <c r="W305" s="41"/>
      <c r="X305" s="41"/>
      <c r="Y305" s="41"/>
      <c r="Z305" s="41"/>
      <c r="AA305" s="41"/>
    </row>
    <row r="306" spans="1:27" ht="15.75" hidden="1" customHeight="1" x14ac:dyDescent="0.25">
      <c r="A306" s="51"/>
      <c r="B306" s="41"/>
      <c r="C306" s="41"/>
      <c r="D306" s="41"/>
      <c r="E306" s="41"/>
      <c r="F306" s="41"/>
      <c r="G306" s="41"/>
      <c r="H306" s="41"/>
      <c r="I306" s="41"/>
      <c r="J306" s="41"/>
      <c r="K306" s="41"/>
      <c r="L306" s="41"/>
      <c r="M306" s="41"/>
      <c r="N306" s="41"/>
      <c r="O306" s="41"/>
      <c r="P306" s="41"/>
      <c r="Q306" s="64"/>
      <c r="R306" s="41"/>
      <c r="S306" s="41"/>
      <c r="T306" s="41"/>
      <c r="U306" s="41"/>
      <c r="V306" s="41"/>
      <c r="W306" s="41"/>
      <c r="X306" s="41"/>
      <c r="Y306" s="41"/>
      <c r="Z306" s="41"/>
      <c r="AA306" s="41"/>
    </row>
    <row r="307" spans="1:27" ht="15.75" hidden="1" customHeight="1" x14ac:dyDescent="0.25">
      <c r="A307" s="51"/>
      <c r="B307" s="41"/>
      <c r="C307" s="41"/>
      <c r="D307" s="41"/>
      <c r="E307" s="41"/>
      <c r="F307" s="41"/>
      <c r="G307" s="41"/>
      <c r="H307" s="41"/>
      <c r="I307" s="41"/>
      <c r="J307" s="41"/>
      <c r="K307" s="41"/>
      <c r="L307" s="41"/>
      <c r="M307" s="41"/>
      <c r="N307" s="41"/>
      <c r="O307" s="41"/>
      <c r="P307" s="41"/>
      <c r="Q307" s="64"/>
      <c r="R307" s="41"/>
      <c r="S307" s="41"/>
      <c r="T307" s="41"/>
      <c r="U307" s="41"/>
      <c r="V307" s="41"/>
      <c r="W307" s="41"/>
      <c r="X307" s="41"/>
      <c r="Y307" s="41"/>
      <c r="Z307" s="41"/>
      <c r="AA307" s="41"/>
    </row>
    <row r="308" spans="1:27" ht="15.75" hidden="1" customHeight="1" x14ac:dyDescent="0.25">
      <c r="A308" s="51"/>
      <c r="B308" s="41"/>
      <c r="C308" s="41"/>
      <c r="D308" s="41"/>
      <c r="E308" s="41"/>
      <c r="F308" s="41"/>
      <c r="G308" s="41"/>
      <c r="H308" s="41"/>
      <c r="I308" s="41"/>
      <c r="J308" s="41"/>
      <c r="K308" s="41"/>
      <c r="L308" s="41"/>
      <c r="M308" s="41"/>
      <c r="N308" s="41"/>
      <c r="O308" s="41"/>
      <c r="P308" s="41"/>
      <c r="Q308" s="64"/>
      <c r="R308" s="41"/>
      <c r="S308" s="41"/>
      <c r="T308" s="41"/>
      <c r="U308" s="41"/>
      <c r="V308" s="41"/>
      <c r="W308" s="41"/>
      <c r="X308" s="41"/>
      <c r="Y308" s="41"/>
      <c r="Z308" s="41"/>
      <c r="AA308" s="41"/>
    </row>
    <row r="309" spans="1:27" ht="15.75" hidden="1" customHeight="1" x14ac:dyDescent="0.25">
      <c r="A309" s="51"/>
      <c r="B309" s="41"/>
      <c r="C309" s="41"/>
      <c r="D309" s="41"/>
      <c r="E309" s="41"/>
      <c r="F309" s="41"/>
      <c r="G309" s="41"/>
      <c r="H309" s="41"/>
      <c r="I309" s="41"/>
      <c r="J309" s="41"/>
      <c r="K309" s="41"/>
      <c r="L309" s="41"/>
      <c r="M309" s="41"/>
      <c r="N309" s="41"/>
      <c r="O309" s="41"/>
      <c r="P309" s="41"/>
      <c r="Q309" s="64"/>
      <c r="R309" s="41"/>
      <c r="S309" s="41"/>
      <c r="T309" s="41"/>
      <c r="U309" s="41"/>
      <c r="V309" s="41"/>
      <c r="W309" s="41"/>
      <c r="X309" s="41"/>
      <c r="Y309" s="41"/>
      <c r="Z309" s="41"/>
      <c r="AA309" s="41"/>
    </row>
    <row r="310" spans="1:27" ht="15.75" hidden="1" customHeight="1" x14ac:dyDescent="0.25">
      <c r="A310" s="51"/>
      <c r="B310" s="41"/>
      <c r="C310" s="41"/>
      <c r="D310" s="41"/>
      <c r="E310" s="41"/>
      <c r="F310" s="41"/>
      <c r="G310" s="41"/>
      <c r="H310" s="41"/>
      <c r="I310" s="41"/>
      <c r="J310" s="41"/>
      <c r="K310" s="41"/>
      <c r="L310" s="41"/>
      <c r="M310" s="41"/>
      <c r="N310" s="41"/>
      <c r="O310" s="41"/>
      <c r="P310" s="41"/>
      <c r="Q310" s="64"/>
      <c r="R310" s="41"/>
      <c r="S310" s="41"/>
      <c r="T310" s="41"/>
      <c r="U310" s="41"/>
      <c r="V310" s="41"/>
      <c r="W310" s="41"/>
      <c r="X310" s="41"/>
      <c r="Y310" s="41"/>
      <c r="Z310" s="41"/>
      <c r="AA310" s="41"/>
    </row>
    <row r="311" spans="1:27" ht="15.75" hidden="1" customHeight="1" x14ac:dyDescent="0.25">
      <c r="A311" s="51"/>
      <c r="B311" s="41"/>
      <c r="C311" s="41"/>
      <c r="D311" s="41"/>
      <c r="E311" s="41"/>
      <c r="F311" s="41"/>
      <c r="G311" s="41"/>
      <c r="H311" s="41"/>
      <c r="I311" s="41"/>
      <c r="J311" s="41"/>
      <c r="K311" s="41"/>
      <c r="L311" s="41"/>
      <c r="M311" s="41"/>
      <c r="N311" s="41"/>
      <c r="O311" s="41"/>
      <c r="P311" s="41"/>
      <c r="Q311" s="64"/>
      <c r="R311" s="41"/>
      <c r="S311" s="41"/>
      <c r="T311" s="41"/>
      <c r="U311" s="41"/>
      <c r="V311" s="41"/>
      <c r="W311" s="41"/>
      <c r="X311" s="41"/>
      <c r="Y311" s="41"/>
      <c r="Z311" s="41"/>
      <c r="AA311" s="41"/>
    </row>
    <row r="312" spans="1:27" ht="15.75" hidden="1" customHeight="1" x14ac:dyDescent="0.25">
      <c r="A312" s="51"/>
      <c r="B312" s="41"/>
      <c r="C312" s="41"/>
      <c r="D312" s="41"/>
      <c r="E312" s="41"/>
      <c r="F312" s="41"/>
      <c r="G312" s="41"/>
      <c r="H312" s="41"/>
      <c r="I312" s="41"/>
      <c r="J312" s="41"/>
      <c r="K312" s="41"/>
      <c r="L312" s="41"/>
      <c r="M312" s="41"/>
      <c r="N312" s="41"/>
      <c r="O312" s="41"/>
      <c r="P312" s="41"/>
      <c r="Q312" s="64"/>
      <c r="R312" s="41"/>
      <c r="S312" s="41"/>
      <c r="T312" s="41"/>
      <c r="U312" s="41"/>
      <c r="V312" s="41"/>
      <c r="W312" s="41"/>
      <c r="X312" s="41"/>
      <c r="Y312" s="41"/>
      <c r="Z312" s="41"/>
      <c r="AA312" s="41"/>
    </row>
    <row r="313" spans="1:27" ht="15.75" hidden="1" customHeight="1" x14ac:dyDescent="0.25">
      <c r="A313" s="51"/>
      <c r="B313" s="41"/>
      <c r="C313" s="41"/>
      <c r="D313" s="41"/>
      <c r="E313" s="41"/>
      <c r="F313" s="41"/>
      <c r="G313" s="41"/>
      <c r="H313" s="41"/>
      <c r="I313" s="41"/>
      <c r="J313" s="41"/>
      <c r="K313" s="41"/>
      <c r="L313" s="41"/>
      <c r="M313" s="41"/>
      <c r="N313" s="41"/>
      <c r="O313" s="41"/>
      <c r="P313" s="41"/>
      <c r="Q313" s="64"/>
      <c r="R313" s="41"/>
      <c r="S313" s="41"/>
      <c r="T313" s="41"/>
      <c r="U313" s="41"/>
      <c r="V313" s="41"/>
      <c r="W313" s="41"/>
      <c r="X313" s="41"/>
      <c r="Y313" s="41"/>
      <c r="Z313" s="41"/>
      <c r="AA313" s="41"/>
    </row>
    <row r="314" spans="1:27" ht="15.75" hidden="1" customHeight="1" x14ac:dyDescent="0.25">
      <c r="A314" s="51"/>
      <c r="B314" s="41"/>
      <c r="C314" s="41"/>
      <c r="D314" s="41"/>
      <c r="E314" s="41"/>
      <c r="F314" s="41"/>
      <c r="G314" s="41"/>
      <c r="H314" s="41"/>
      <c r="I314" s="41"/>
      <c r="J314" s="41"/>
      <c r="K314" s="41"/>
      <c r="L314" s="41"/>
      <c r="M314" s="41"/>
      <c r="N314" s="41"/>
      <c r="O314" s="41"/>
      <c r="P314" s="41"/>
      <c r="Q314" s="64"/>
      <c r="R314" s="41"/>
      <c r="S314" s="41"/>
      <c r="T314" s="41"/>
      <c r="U314" s="41"/>
      <c r="V314" s="41"/>
      <c r="W314" s="41"/>
      <c r="X314" s="41"/>
      <c r="Y314" s="41"/>
      <c r="Z314" s="41"/>
      <c r="AA314" s="41"/>
    </row>
    <row r="315" spans="1:27" ht="15.75" hidden="1" customHeight="1" x14ac:dyDescent="0.25">
      <c r="A315" s="51"/>
      <c r="B315" s="41"/>
      <c r="C315" s="41"/>
      <c r="D315" s="41"/>
      <c r="E315" s="41"/>
      <c r="F315" s="41"/>
      <c r="G315" s="41"/>
      <c r="H315" s="41"/>
      <c r="I315" s="41"/>
      <c r="J315" s="41"/>
      <c r="K315" s="41"/>
      <c r="L315" s="41"/>
      <c r="M315" s="41"/>
      <c r="N315" s="41"/>
      <c r="O315" s="41"/>
      <c r="P315" s="41"/>
      <c r="Q315" s="64"/>
      <c r="R315" s="41"/>
      <c r="S315" s="41"/>
      <c r="T315" s="41"/>
      <c r="U315" s="41"/>
      <c r="V315" s="41"/>
      <c r="W315" s="41"/>
      <c r="X315" s="41"/>
      <c r="Y315" s="41"/>
      <c r="Z315" s="41"/>
      <c r="AA315" s="41"/>
    </row>
    <row r="316" spans="1:27" ht="15.75" hidden="1" customHeight="1" x14ac:dyDescent="0.25">
      <c r="A316" s="51"/>
      <c r="B316" s="41"/>
      <c r="C316" s="41"/>
      <c r="D316" s="41"/>
      <c r="E316" s="41"/>
      <c r="F316" s="41"/>
      <c r="G316" s="41"/>
      <c r="H316" s="41"/>
      <c r="I316" s="41"/>
      <c r="J316" s="41"/>
      <c r="K316" s="41"/>
      <c r="L316" s="41"/>
      <c r="M316" s="41"/>
      <c r="N316" s="41"/>
      <c r="O316" s="41"/>
      <c r="P316" s="41"/>
      <c r="Q316" s="64"/>
      <c r="R316" s="41"/>
      <c r="S316" s="41"/>
      <c r="T316" s="41"/>
      <c r="U316" s="41"/>
      <c r="V316" s="41"/>
      <c r="W316" s="41"/>
      <c r="X316" s="41"/>
      <c r="Y316" s="41"/>
      <c r="Z316" s="41"/>
      <c r="AA316" s="41"/>
    </row>
    <row r="317" spans="1:27" ht="15.75" hidden="1" customHeight="1" x14ac:dyDescent="0.25">
      <c r="A317" s="51"/>
      <c r="B317" s="41"/>
      <c r="C317" s="41"/>
      <c r="D317" s="41"/>
      <c r="E317" s="41"/>
      <c r="F317" s="41"/>
      <c r="G317" s="41"/>
      <c r="H317" s="41"/>
      <c r="I317" s="41"/>
      <c r="J317" s="41"/>
      <c r="K317" s="41"/>
      <c r="L317" s="41"/>
      <c r="M317" s="41"/>
      <c r="N317" s="41"/>
      <c r="O317" s="41"/>
      <c r="P317" s="41"/>
      <c r="Q317" s="64"/>
      <c r="R317" s="41"/>
      <c r="S317" s="41"/>
      <c r="T317" s="41"/>
      <c r="U317" s="41"/>
      <c r="V317" s="41"/>
      <c r="W317" s="41"/>
      <c r="X317" s="41"/>
      <c r="Y317" s="41"/>
      <c r="Z317" s="41"/>
      <c r="AA317" s="41"/>
    </row>
    <row r="318" spans="1:27" ht="15.75" hidden="1" customHeight="1" x14ac:dyDescent="0.25">
      <c r="A318" s="51"/>
      <c r="B318" s="41"/>
      <c r="C318" s="41"/>
      <c r="D318" s="41"/>
      <c r="E318" s="41"/>
      <c r="F318" s="41"/>
      <c r="G318" s="41"/>
      <c r="H318" s="41"/>
      <c r="I318" s="41"/>
      <c r="J318" s="41"/>
      <c r="K318" s="41"/>
      <c r="L318" s="41"/>
      <c r="M318" s="41"/>
      <c r="N318" s="41"/>
      <c r="O318" s="41"/>
      <c r="P318" s="41"/>
      <c r="Q318" s="64"/>
      <c r="R318" s="41"/>
      <c r="S318" s="41"/>
      <c r="T318" s="41"/>
      <c r="U318" s="41"/>
      <c r="V318" s="41"/>
      <c r="W318" s="41"/>
      <c r="X318" s="41"/>
      <c r="Y318" s="41"/>
      <c r="Z318" s="41"/>
      <c r="AA318" s="41"/>
    </row>
    <row r="319" spans="1:27" ht="15.75" hidden="1" customHeight="1" x14ac:dyDescent="0.25">
      <c r="A319" s="51"/>
      <c r="B319" s="41"/>
      <c r="C319" s="41"/>
      <c r="D319" s="41"/>
      <c r="E319" s="41"/>
      <c r="F319" s="41"/>
      <c r="G319" s="41"/>
      <c r="H319" s="41"/>
      <c r="I319" s="41"/>
      <c r="J319" s="41"/>
      <c r="K319" s="41"/>
      <c r="L319" s="41"/>
      <c r="M319" s="41"/>
      <c r="N319" s="41"/>
      <c r="O319" s="41"/>
      <c r="P319" s="41"/>
      <c r="Q319" s="64"/>
      <c r="R319" s="41"/>
      <c r="S319" s="41"/>
      <c r="T319" s="41"/>
      <c r="U319" s="41"/>
      <c r="V319" s="41"/>
      <c r="W319" s="41"/>
      <c r="X319" s="41"/>
      <c r="Y319" s="41"/>
      <c r="Z319" s="41"/>
      <c r="AA319" s="41"/>
    </row>
    <row r="320" spans="1:27" ht="15.75" hidden="1" customHeight="1" x14ac:dyDescent="0.25">
      <c r="A320" s="51"/>
      <c r="B320" s="41"/>
      <c r="C320" s="41"/>
      <c r="D320" s="41"/>
      <c r="E320" s="41"/>
      <c r="F320" s="41"/>
      <c r="G320" s="41"/>
      <c r="H320" s="41"/>
      <c r="I320" s="41"/>
      <c r="J320" s="41"/>
      <c r="K320" s="41"/>
      <c r="L320" s="41"/>
      <c r="M320" s="41"/>
      <c r="N320" s="41"/>
      <c r="O320" s="41"/>
      <c r="P320" s="41"/>
      <c r="Q320" s="64"/>
      <c r="R320" s="41"/>
      <c r="S320" s="41"/>
      <c r="T320" s="41"/>
      <c r="U320" s="41"/>
      <c r="V320" s="41"/>
      <c r="W320" s="41"/>
      <c r="X320" s="41"/>
      <c r="Y320" s="41"/>
      <c r="Z320" s="41"/>
      <c r="AA320" s="41"/>
    </row>
    <row r="321" spans="1:27" ht="15.75" hidden="1" customHeight="1" x14ac:dyDescent="0.25">
      <c r="A321" s="51"/>
      <c r="B321" s="41"/>
      <c r="C321" s="41"/>
      <c r="D321" s="41"/>
      <c r="E321" s="41"/>
      <c r="F321" s="41"/>
      <c r="G321" s="41"/>
      <c r="H321" s="41"/>
      <c r="I321" s="41"/>
      <c r="J321" s="41"/>
      <c r="K321" s="41"/>
      <c r="L321" s="41"/>
      <c r="M321" s="41"/>
      <c r="N321" s="41"/>
      <c r="O321" s="41"/>
      <c r="P321" s="41"/>
      <c r="Q321" s="64"/>
      <c r="R321" s="41"/>
      <c r="S321" s="41"/>
      <c r="T321" s="41"/>
      <c r="U321" s="41"/>
      <c r="V321" s="41"/>
      <c r="W321" s="41"/>
      <c r="X321" s="41"/>
      <c r="Y321" s="41"/>
      <c r="Z321" s="41"/>
      <c r="AA321" s="41"/>
    </row>
    <row r="322" spans="1:27" ht="15.75" hidden="1" customHeight="1" x14ac:dyDescent="0.25">
      <c r="A322" s="51"/>
      <c r="B322" s="41"/>
      <c r="C322" s="41"/>
      <c r="D322" s="41"/>
      <c r="E322" s="41"/>
      <c r="F322" s="41"/>
      <c r="G322" s="41"/>
      <c r="H322" s="41"/>
      <c r="I322" s="41"/>
      <c r="J322" s="41"/>
      <c r="K322" s="41"/>
      <c r="L322" s="41"/>
      <c r="M322" s="41"/>
      <c r="N322" s="41"/>
      <c r="O322" s="41"/>
      <c r="P322" s="41"/>
      <c r="Q322" s="64"/>
      <c r="R322" s="41"/>
      <c r="S322" s="41"/>
      <c r="T322" s="41"/>
      <c r="U322" s="41"/>
      <c r="V322" s="41"/>
      <c r="W322" s="41"/>
      <c r="X322" s="41"/>
      <c r="Y322" s="41"/>
      <c r="Z322" s="41"/>
      <c r="AA322" s="41"/>
    </row>
    <row r="323" spans="1:27" ht="15.75" hidden="1" customHeight="1" x14ac:dyDescent="0.25">
      <c r="A323" s="51"/>
      <c r="B323" s="41"/>
      <c r="C323" s="41"/>
      <c r="D323" s="41"/>
      <c r="E323" s="41"/>
      <c r="F323" s="41"/>
      <c r="G323" s="41"/>
      <c r="H323" s="41"/>
      <c r="I323" s="41"/>
      <c r="J323" s="41"/>
      <c r="K323" s="41"/>
      <c r="L323" s="41"/>
      <c r="M323" s="41"/>
      <c r="N323" s="41"/>
      <c r="O323" s="41"/>
      <c r="P323" s="41"/>
      <c r="Q323" s="64"/>
      <c r="R323" s="41"/>
      <c r="S323" s="41"/>
      <c r="T323" s="41"/>
      <c r="U323" s="41"/>
      <c r="V323" s="41"/>
      <c r="W323" s="41"/>
      <c r="X323" s="41"/>
      <c r="Y323" s="41"/>
      <c r="Z323" s="41"/>
      <c r="AA323" s="41"/>
    </row>
    <row r="324" spans="1:27" ht="15.75" hidden="1" customHeight="1" x14ac:dyDescent="0.25">
      <c r="A324" s="51"/>
      <c r="B324" s="41"/>
      <c r="C324" s="41"/>
      <c r="D324" s="41"/>
      <c r="E324" s="41"/>
      <c r="F324" s="41"/>
      <c r="G324" s="41"/>
      <c r="H324" s="41"/>
      <c r="I324" s="41"/>
      <c r="J324" s="41"/>
      <c r="K324" s="41"/>
      <c r="L324" s="41"/>
      <c r="M324" s="41"/>
      <c r="N324" s="41"/>
      <c r="O324" s="41"/>
      <c r="P324" s="41"/>
      <c r="Q324" s="64"/>
      <c r="R324" s="41"/>
      <c r="S324" s="41"/>
      <c r="T324" s="41"/>
      <c r="U324" s="41"/>
      <c r="V324" s="41"/>
      <c r="W324" s="41"/>
      <c r="X324" s="41"/>
      <c r="Y324" s="41"/>
      <c r="Z324" s="41"/>
      <c r="AA324" s="41"/>
    </row>
    <row r="325" spans="1:27" ht="15.75" hidden="1" customHeight="1" x14ac:dyDescent="0.25">
      <c r="A325" s="51"/>
      <c r="B325" s="41"/>
      <c r="C325" s="41"/>
      <c r="D325" s="41"/>
      <c r="E325" s="41"/>
      <c r="F325" s="41"/>
      <c r="G325" s="41"/>
      <c r="H325" s="41"/>
      <c r="I325" s="41"/>
      <c r="J325" s="41"/>
      <c r="K325" s="41"/>
      <c r="L325" s="41"/>
      <c r="M325" s="41"/>
      <c r="N325" s="41"/>
      <c r="O325" s="41"/>
      <c r="P325" s="41"/>
      <c r="Q325" s="64"/>
      <c r="R325" s="41"/>
      <c r="S325" s="41"/>
      <c r="T325" s="41"/>
      <c r="U325" s="41"/>
      <c r="V325" s="41"/>
      <c r="W325" s="41"/>
      <c r="X325" s="41"/>
      <c r="Y325" s="41"/>
      <c r="Z325" s="41"/>
      <c r="AA325" s="41"/>
    </row>
    <row r="326" spans="1:27" ht="15.75" hidden="1" customHeight="1" x14ac:dyDescent="0.25">
      <c r="A326" s="51"/>
      <c r="B326" s="41"/>
      <c r="C326" s="41"/>
      <c r="D326" s="41"/>
      <c r="E326" s="41"/>
      <c r="F326" s="41"/>
      <c r="G326" s="41"/>
      <c r="H326" s="41"/>
      <c r="I326" s="41"/>
      <c r="J326" s="41"/>
      <c r="K326" s="41"/>
      <c r="L326" s="41"/>
      <c r="M326" s="41"/>
      <c r="N326" s="41"/>
      <c r="O326" s="41"/>
      <c r="P326" s="41"/>
      <c r="Q326" s="64"/>
      <c r="R326" s="41"/>
      <c r="S326" s="41"/>
      <c r="T326" s="41"/>
      <c r="U326" s="41"/>
      <c r="V326" s="41"/>
      <c r="W326" s="41"/>
      <c r="X326" s="41"/>
      <c r="Y326" s="41"/>
      <c r="Z326" s="41"/>
      <c r="AA326" s="41"/>
    </row>
    <row r="327" spans="1:27" ht="15.75" hidden="1" customHeight="1" x14ac:dyDescent="0.25">
      <c r="A327" s="51"/>
      <c r="B327" s="41"/>
      <c r="C327" s="41"/>
      <c r="D327" s="41"/>
      <c r="E327" s="41"/>
      <c r="F327" s="41"/>
      <c r="G327" s="41"/>
      <c r="H327" s="41"/>
      <c r="I327" s="41"/>
      <c r="J327" s="41"/>
      <c r="K327" s="41"/>
      <c r="L327" s="41"/>
      <c r="M327" s="41"/>
      <c r="N327" s="41"/>
      <c r="O327" s="41"/>
      <c r="P327" s="41"/>
      <c r="Q327" s="64"/>
      <c r="R327" s="41"/>
      <c r="S327" s="41"/>
      <c r="T327" s="41"/>
      <c r="U327" s="41"/>
      <c r="V327" s="41"/>
      <c r="W327" s="41"/>
      <c r="X327" s="41"/>
      <c r="Y327" s="41"/>
      <c r="Z327" s="41"/>
      <c r="AA327" s="41"/>
    </row>
    <row r="328" spans="1:27" ht="15.75" hidden="1" customHeight="1" x14ac:dyDescent="0.25">
      <c r="A328" s="51"/>
      <c r="B328" s="41"/>
      <c r="C328" s="41"/>
      <c r="D328" s="41"/>
      <c r="E328" s="41"/>
      <c r="F328" s="41"/>
      <c r="G328" s="41"/>
      <c r="H328" s="41"/>
      <c r="I328" s="41"/>
      <c r="J328" s="41"/>
      <c r="K328" s="41"/>
      <c r="L328" s="41"/>
      <c r="M328" s="41"/>
      <c r="N328" s="41"/>
      <c r="O328" s="41"/>
      <c r="P328" s="41"/>
      <c r="Q328" s="64"/>
      <c r="R328" s="41"/>
      <c r="S328" s="41"/>
      <c r="T328" s="41"/>
      <c r="U328" s="41"/>
      <c r="V328" s="41"/>
      <c r="W328" s="41"/>
      <c r="X328" s="41"/>
      <c r="Y328" s="41"/>
      <c r="Z328" s="41"/>
      <c r="AA328" s="41"/>
    </row>
    <row r="329" spans="1:27" ht="15.75" hidden="1" customHeight="1" x14ac:dyDescent="0.25">
      <c r="A329" s="51"/>
      <c r="B329" s="41"/>
      <c r="C329" s="41"/>
      <c r="D329" s="41"/>
      <c r="E329" s="41"/>
      <c r="F329" s="41"/>
      <c r="G329" s="41"/>
      <c r="H329" s="41"/>
      <c r="I329" s="41"/>
      <c r="J329" s="41"/>
      <c r="K329" s="41"/>
      <c r="L329" s="41"/>
      <c r="M329" s="41"/>
      <c r="N329" s="41"/>
      <c r="O329" s="41"/>
      <c r="P329" s="41"/>
      <c r="Q329" s="64"/>
      <c r="R329" s="41"/>
      <c r="S329" s="41"/>
      <c r="T329" s="41"/>
      <c r="U329" s="41"/>
      <c r="V329" s="41"/>
      <c r="W329" s="41"/>
      <c r="X329" s="41"/>
      <c r="Y329" s="41"/>
      <c r="Z329" s="41"/>
      <c r="AA329" s="41"/>
    </row>
    <row r="330" spans="1:27" ht="15.75" hidden="1" customHeight="1" x14ac:dyDescent="0.25">
      <c r="A330" s="51"/>
      <c r="B330" s="41"/>
      <c r="C330" s="41"/>
      <c r="D330" s="41"/>
      <c r="E330" s="41"/>
      <c r="F330" s="41"/>
      <c r="G330" s="41"/>
      <c r="H330" s="41"/>
      <c r="I330" s="41"/>
      <c r="J330" s="41"/>
      <c r="K330" s="41"/>
      <c r="L330" s="41"/>
      <c r="M330" s="41"/>
      <c r="N330" s="41"/>
      <c r="O330" s="41"/>
      <c r="P330" s="41"/>
      <c r="Q330" s="64"/>
      <c r="R330" s="41"/>
      <c r="S330" s="41"/>
      <c r="T330" s="41"/>
      <c r="U330" s="41"/>
      <c r="V330" s="41"/>
      <c r="W330" s="41"/>
      <c r="X330" s="41"/>
      <c r="Y330" s="41"/>
      <c r="Z330" s="41"/>
      <c r="AA330" s="41"/>
    </row>
    <row r="331" spans="1:27" ht="15.75" hidden="1" customHeight="1" x14ac:dyDescent="0.25">
      <c r="A331" s="51"/>
      <c r="B331" s="41"/>
      <c r="C331" s="41"/>
      <c r="D331" s="41"/>
      <c r="E331" s="41"/>
      <c r="F331" s="41"/>
      <c r="G331" s="41"/>
      <c r="H331" s="41"/>
      <c r="I331" s="41"/>
      <c r="J331" s="41"/>
      <c r="K331" s="41"/>
      <c r="L331" s="41"/>
      <c r="M331" s="41"/>
      <c r="N331" s="41"/>
      <c r="O331" s="41"/>
      <c r="P331" s="41"/>
      <c r="Q331" s="64"/>
      <c r="R331" s="41"/>
      <c r="S331" s="41"/>
      <c r="T331" s="41"/>
      <c r="U331" s="41"/>
      <c r="V331" s="41"/>
      <c r="W331" s="41"/>
      <c r="X331" s="41"/>
      <c r="Y331" s="41"/>
      <c r="Z331" s="41"/>
      <c r="AA331" s="41"/>
    </row>
    <row r="332" spans="1:27" ht="15.75" hidden="1" customHeight="1" x14ac:dyDescent="0.25">
      <c r="A332" s="51"/>
      <c r="B332" s="41"/>
      <c r="C332" s="41"/>
      <c r="D332" s="41"/>
      <c r="E332" s="41"/>
      <c r="F332" s="41"/>
      <c r="G332" s="41"/>
      <c r="H332" s="41"/>
      <c r="I332" s="41"/>
      <c r="J332" s="41"/>
      <c r="K332" s="41"/>
      <c r="L332" s="41"/>
      <c r="M332" s="41"/>
      <c r="N332" s="41"/>
      <c r="O332" s="41"/>
      <c r="P332" s="41"/>
      <c r="Q332" s="64"/>
      <c r="R332" s="41"/>
      <c r="S332" s="41"/>
      <c r="T332" s="41"/>
      <c r="U332" s="41"/>
      <c r="V332" s="41"/>
      <c r="W332" s="41"/>
      <c r="X332" s="41"/>
      <c r="Y332" s="41"/>
      <c r="Z332" s="41"/>
      <c r="AA332" s="41"/>
    </row>
    <row r="333" spans="1:27" ht="15.75" hidden="1" customHeight="1" x14ac:dyDescent="0.25">
      <c r="A333" s="51"/>
      <c r="B333" s="41"/>
      <c r="C333" s="41"/>
      <c r="D333" s="41"/>
      <c r="E333" s="41"/>
      <c r="F333" s="41"/>
      <c r="G333" s="41"/>
      <c r="H333" s="41"/>
      <c r="I333" s="41"/>
      <c r="J333" s="41"/>
      <c r="K333" s="41"/>
      <c r="L333" s="41"/>
      <c r="M333" s="41"/>
      <c r="N333" s="41"/>
      <c r="O333" s="41"/>
      <c r="P333" s="41"/>
      <c r="Q333" s="64"/>
      <c r="R333" s="41"/>
      <c r="S333" s="41"/>
      <c r="T333" s="41"/>
      <c r="U333" s="41"/>
      <c r="V333" s="41"/>
      <c r="W333" s="41"/>
      <c r="X333" s="41"/>
      <c r="Y333" s="41"/>
      <c r="Z333" s="41"/>
      <c r="AA333" s="41"/>
    </row>
    <row r="334" spans="1:27" ht="15.75" hidden="1" customHeight="1" x14ac:dyDescent="0.25">
      <c r="A334" s="51"/>
      <c r="B334" s="41"/>
      <c r="C334" s="41"/>
      <c r="D334" s="41"/>
      <c r="E334" s="41"/>
      <c r="F334" s="41"/>
      <c r="G334" s="41"/>
      <c r="H334" s="41"/>
      <c r="I334" s="41"/>
      <c r="J334" s="41"/>
      <c r="K334" s="41"/>
      <c r="L334" s="41"/>
      <c r="M334" s="41"/>
      <c r="N334" s="41"/>
      <c r="O334" s="41"/>
      <c r="P334" s="41"/>
      <c r="Q334" s="64"/>
      <c r="R334" s="41"/>
      <c r="S334" s="41"/>
      <c r="T334" s="41"/>
      <c r="U334" s="41"/>
      <c r="V334" s="41"/>
      <c r="W334" s="41"/>
      <c r="X334" s="41"/>
      <c r="Y334" s="41"/>
      <c r="Z334" s="41"/>
      <c r="AA334" s="41"/>
    </row>
    <row r="335" spans="1:27" ht="15.75" hidden="1" customHeight="1" x14ac:dyDescent="0.25">
      <c r="A335" s="51"/>
      <c r="B335" s="41"/>
      <c r="C335" s="41"/>
      <c r="D335" s="41"/>
      <c r="E335" s="41"/>
      <c r="F335" s="41"/>
      <c r="G335" s="41"/>
      <c r="H335" s="41"/>
      <c r="I335" s="41"/>
      <c r="J335" s="41"/>
      <c r="K335" s="41"/>
      <c r="L335" s="41"/>
      <c r="M335" s="41"/>
      <c r="N335" s="41"/>
      <c r="O335" s="41"/>
      <c r="P335" s="41"/>
      <c r="Q335" s="64"/>
      <c r="R335" s="41"/>
      <c r="S335" s="41"/>
      <c r="T335" s="41"/>
      <c r="U335" s="41"/>
      <c r="V335" s="41"/>
      <c r="W335" s="41"/>
      <c r="X335" s="41"/>
      <c r="Y335" s="41"/>
      <c r="Z335" s="41"/>
      <c r="AA335" s="41"/>
    </row>
    <row r="336" spans="1:27" ht="15.75" hidden="1" customHeight="1" x14ac:dyDescent="0.25">
      <c r="A336" s="51"/>
      <c r="B336" s="41"/>
      <c r="C336" s="41"/>
      <c r="D336" s="41"/>
      <c r="E336" s="41"/>
      <c r="F336" s="41"/>
      <c r="G336" s="41"/>
      <c r="H336" s="41"/>
      <c r="I336" s="41"/>
      <c r="J336" s="41"/>
      <c r="K336" s="41"/>
      <c r="L336" s="41"/>
      <c r="M336" s="41"/>
      <c r="N336" s="41"/>
      <c r="O336" s="41"/>
      <c r="P336" s="41"/>
      <c r="Q336" s="64"/>
      <c r="R336" s="41"/>
      <c r="S336" s="41"/>
      <c r="T336" s="41"/>
      <c r="U336" s="41"/>
      <c r="V336" s="41"/>
      <c r="W336" s="41"/>
      <c r="X336" s="41"/>
      <c r="Y336" s="41"/>
      <c r="Z336" s="41"/>
      <c r="AA336" s="41"/>
    </row>
    <row r="337" spans="1:27" ht="15.75" hidden="1" customHeight="1" x14ac:dyDescent="0.25">
      <c r="A337" s="51"/>
      <c r="B337" s="41"/>
      <c r="C337" s="41"/>
      <c r="D337" s="41"/>
      <c r="E337" s="41"/>
      <c r="F337" s="41"/>
      <c r="G337" s="41"/>
      <c r="H337" s="41"/>
      <c r="I337" s="41"/>
      <c r="J337" s="41"/>
      <c r="K337" s="41"/>
      <c r="L337" s="41"/>
      <c r="M337" s="41"/>
      <c r="N337" s="41"/>
      <c r="O337" s="41"/>
      <c r="P337" s="41"/>
      <c r="Q337" s="64"/>
      <c r="R337" s="41"/>
      <c r="S337" s="41"/>
      <c r="T337" s="41"/>
      <c r="U337" s="41"/>
      <c r="V337" s="41"/>
      <c r="W337" s="41"/>
      <c r="X337" s="41"/>
      <c r="Y337" s="41"/>
      <c r="Z337" s="41"/>
      <c r="AA337" s="41"/>
    </row>
    <row r="338" spans="1:27" ht="15.75" hidden="1" customHeight="1" x14ac:dyDescent="0.25">
      <c r="A338" s="51"/>
      <c r="B338" s="41"/>
      <c r="C338" s="41"/>
      <c r="D338" s="41"/>
      <c r="E338" s="41"/>
      <c r="F338" s="41"/>
      <c r="G338" s="41"/>
      <c r="H338" s="41"/>
      <c r="I338" s="41"/>
      <c r="J338" s="41"/>
      <c r="K338" s="41"/>
      <c r="L338" s="41"/>
      <c r="M338" s="41"/>
      <c r="N338" s="41"/>
      <c r="O338" s="41"/>
      <c r="P338" s="41"/>
      <c r="Q338" s="64"/>
      <c r="R338" s="41"/>
      <c r="S338" s="41"/>
      <c r="T338" s="41"/>
      <c r="U338" s="41"/>
      <c r="V338" s="41"/>
      <c r="W338" s="41"/>
      <c r="X338" s="41"/>
      <c r="Y338" s="41"/>
      <c r="Z338" s="41"/>
      <c r="AA338" s="41"/>
    </row>
    <row r="339" spans="1:27" ht="15.75" hidden="1" customHeight="1" x14ac:dyDescent="0.25">
      <c r="A339" s="51"/>
      <c r="B339" s="41"/>
      <c r="C339" s="41"/>
      <c r="D339" s="41"/>
      <c r="E339" s="41"/>
      <c r="F339" s="41"/>
      <c r="G339" s="41"/>
      <c r="H339" s="41"/>
      <c r="I339" s="41"/>
      <c r="J339" s="41"/>
      <c r="K339" s="41"/>
      <c r="L339" s="41"/>
      <c r="M339" s="41"/>
      <c r="N339" s="41"/>
      <c r="O339" s="41"/>
      <c r="P339" s="41"/>
      <c r="Q339" s="64"/>
      <c r="R339" s="41"/>
      <c r="S339" s="41"/>
      <c r="T339" s="41"/>
      <c r="U339" s="41"/>
      <c r="V339" s="41"/>
      <c r="W339" s="41"/>
      <c r="X339" s="41"/>
      <c r="Y339" s="41"/>
      <c r="Z339" s="41"/>
      <c r="AA339" s="41"/>
    </row>
    <row r="340" spans="1:27" ht="15.75" hidden="1" customHeight="1" x14ac:dyDescent="0.25">
      <c r="A340" s="51"/>
      <c r="B340" s="41"/>
      <c r="C340" s="41"/>
      <c r="D340" s="41"/>
      <c r="E340" s="41"/>
      <c r="F340" s="41"/>
      <c r="G340" s="41"/>
      <c r="H340" s="41"/>
      <c r="I340" s="41"/>
      <c r="J340" s="41"/>
      <c r="K340" s="41"/>
      <c r="L340" s="41"/>
      <c r="M340" s="41"/>
      <c r="N340" s="41"/>
      <c r="O340" s="41"/>
      <c r="P340" s="41"/>
      <c r="Q340" s="64"/>
      <c r="R340" s="41"/>
      <c r="S340" s="41"/>
      <c r="T340" s="41"/>
      <c r="U340" s="41"/>
      <c r="V340" s="41"/>
      <c r="W340" s="41"/>
      <c r="X340" s="41"/>
      <c r="Y340" s="41"/>
      <c r="Z340" s="41"/>
      <c r="AA340" s="41"/>
    </row>
    <row r="341" spans="1:27" ht="15.75" hidden="1" customHeight="1" x14ac:dyDescent="0.25">
      <c r="A341" s="51"/>
      <c r="B341" s="41"/>
      <c r="C341" s="41"/>
      <c r="D341" s="41"/>
      <c r="E341" s="41"/>
      <c r="F341" s="41"/>
      <c r="G341" s="41"/>
      <c r="H341" s="41"/>
      <c r="I341" s="41"/>
      <c r="J341" s="41"/>
      <c r="K341" s="41"/>
      <c r="L341" s="41"/>
      <c r="M341" s="41"/>
      <c r="N341" s="41"/>
      <c r="O341" s="41"/>
      <c r="P341" s="41"/>
      <c r="Q341" s="64"/>
      <c r="R341" s="41"/>
      <c r="S341" s="41"/>
      <c r="T341" s="41"/>
      <c r="U341" s="41"/>
      <c r="V341" s="41"/>
      <c r="W341" s="41"/>
      <c r="X341" s="41"/>
      <c r="Y341" s="41"/>
      <c r="Z341" s="41"/>
      <c r="AA341" s="41"/>
    </row>
    <row r="342" spans="1:27" ht="15.75" hidden="1" customHeight="1" x14ac:dyDescent="0.25">
      <c r="A342" s="51"/>
      <c r="B342" s="41"/>
      <c r="C342" s="41"/>
      <c r="D342" s="41"/>
      <c r="E342" s="41"/>
      <c r="F342" s="41"/>
      <c r="G342" s="41"/>
      <c r="H342" s="41"/>
      <c r="I342" s="41"/>
      <c r="J342" s="41"/>
      <c r="K342" s="41"/>
      <c r="L342" s="41"/>
      <c r="M342" s="41"/>
      <c r="N342" s="41"/>
      <c r="O342" s="41"/>
      <c r="P342" s="41"/>
      <c r="Q342" s="64"/>
      <c r="R342" s="41"/>
      <c r="S342" s="41"/>
      <c r="T342" s="41"/>
      <c r="U342" s="41"/>
      <c r="V342" s="41"/>
      <c r="W342" s="41"/>
      <c r="X342" s="41"/>
      <c r="Y342" s="41"/>
      <c r="Z342" s="41"/>
      <c r="AA342" s="41"/>
    </row>
    <row r="343" spans="1:27" ht="15.75" hidden="1" customHeight="1" x14ac:dyDescent="0.25">
      <c r="A343" s="51"/>
      <c r="B343" s="41"/>
      <c r="C343" s="41"/>
      <c r="D343" s="41"/>
      <c r="E343" s="41"/>
      <c r="F343" s="41"/>
      <c r="G343" s="41"/>
      <c r="H343" s="41"/>
      <c r="I343" s="41"/>
      <c r="J343" s="41"/>
      <c r="K343" s="41"/>
      <c r="L343" s="41"/>
      <c r="M343" s="41"/>
      <c r="N343" s="41"/>
      <c r="O343" s="41"/>
      <c r="P343" s="41"/>
      <c r="Q343" s="64"/>
      <c r="R343" s="41"/>
      <c r="S343" s="41"/>
      <c r="T343" s="41"/>
      <c r="U343" s="41"/>
      <c r="V343" s="41"/>
      <c r="W343" s="41"/>
      <c r="X343" s="41"/>
      <c r="Y343" s="41"/>
      <c r="Z343" s="41"/>
      <c r="AA343" s="41"/>
    </row>
    <row r="344" spans="1:27" ht="15.75" hidden="1" customHeight="1" x14ac:dyDescent="0.25">
      <c r="A344" s="51"/>
      <c r="B344" s="41"/>
      <c r="C344" s="41"/>
      <c r="D344" s="41"/>
      <c r="E344" s="41"/>
      <c r="F344" s="41"/>
      <c r="G344" s="41"/>
      <c r="H344" s="41"/>
      <c r="I344" s="41"/>
      <c r="J344" s="41"/>
      <c r="K344" s="41"/>
      <c r="L344" s="41"/>
      <c r="M344" s="41"/>
      <c r="N344" s="41"/>
      <c r="O344" s="41"/>
      <c r="P344" s="41"/>
      <c r="Q344" s="64"/>
      <c r="R344" s="41"/>
      <c r="S344" s="41"/>
      <c r="T344" s="41"/>
      <c r="U344" s="41"/>
      <c r="V344" s="41"/>
      <c r="W344" s="41"/>
      <c r="X344" s="41"/>
      <c r="Y344" s="41"/>
      <c r="Z344" s="41"/>
      <c r="AA344" s="41"/>
    </row>
    <row r="345" spans="1:27" ht="15.75" hidden="1" customHeight="1" x14ac:dyDescent="0.25">
      <c r="A345" s="51"/>
      <c r="B345" s="41"/>
      <c r="C345" s="41"/>
      <c r="D345" s="41"/>
      <c r="E345" s="41"/>
      <c r="F345" s="41"/>
      <c r="G345" s="41"/>
      <c r="H345" s="41"/>
      <c r="I345" s="41"/>
      <c r="J345" s="41"/>
      <c r="K345" s="41"/>
      <c r="L345" s="41"/>
      <c r="M345" s="41"/>
      <c r="N345" s="41"/>
      <c r="O345" s="41"/>
      <c r="P345" s="41"/>
      <c r="Q345" s="64"/>
      <c r="R345" s="41"/>
      <c r="S345" s="41"/>
      <c r="T345" s="41"/>
      <c r="U345" s="41"/>
      <c r="V345" s="41"/>
      <c r="W345" s="41"/>
      <c r="X345" s="41"/>
      <c r="Y345" s="41"/>
      <c r="Z345" s="41"/>
      <c r="AA345" s="41"/>
    </row>
    <row r="346" spans="1:27" ht="15.75" hidden="1" customHeight="1" x14ac:dyDescent="0.25">
      <c r="A346" s="51"/>
      <c r="B346" s="41"/>
      <c r="C346" s="41"/>
      <c r="D346" s="41"/>
      <c r="E346" s="41"/>
      <c r="F346" s="41"/>
      <c r="G346" s="41"/>
      <c r="H346" s="41"/>
      <c r="I346" s="41"/>
      <c r="J346" s="41"/>
      <c r="K346" s="41"/>
      <c r="L346" s="41"/>
      <c r="M346" s="41"/>
      <c r="N346" s="41"/>
      <c r="O346" s="41"/>
      <c r="P346" s="41"/>
      <c r="Q346" s="64"/>
      <c r="R346" s="41"/>
      <c r="S346" s="41"/>
      <c r="T346" s="41"/>
      <c r="U346" s="41"/>
      <c r="V346" s="41"/>
      <c r="W346" s="41"/>
      <c r="X346" s="41"/>
      <c r="Y346" s="41"/>
      <c r="Z346" s="41"/>
      <c r="AA346" s="41"/>
    </row>
    <row r="347" spans="1:27" ht="15.75" hidden="1" customHeight="1" x14ac:dyDescent="0.25">
      <c r="A347" s="51"/>
      <c r="B347" s="41"/>
      <c r="C347" s="41"/>
      <c r="D347" s="41"/>
      <c r="E347" s="41"/>
      <c r="F347" s="41"/>
      <c r="G347" s="41"/>
      <c r="H347" s="41"/>
      <c r="I347" s="41"/>
      <c r="J347" s="41"/>
      <c r="K347" s="41"/>
      <c r="L347" s="41"/>
      <c r="M347" s="41"/>
      <c r="N347" s="41"/>
      <c r="O347" s="41"/>
      <c r="P347" s="41"/>
      <c r="Q347" s="64"/>
      <c r="R347" s="41"/>
      <c r="S347" s="41"/>
      <c r="T347" s="41"/>
      <c r="U347" s="41"/>
      <c r="V347" s="41"/>
      <c r="W347" s="41"/>
      <c r="X347" s="41"/>
      <c r="Y347" s="41"/>
      <c r="Z347" s="41"/>
      <c r="AA347" s="41"/>
    </row>
    <row r="348" spans="1:27" ht="15.75" hidden="1" customHeight="1" x14ac:dyDescent="0.25">
      <c r="A348" s="51"/>
      <c r="B348" s="41"/>
      <c r="C348" s="41"/>
      <c r="D348" s="41"/>
      <c r="E348" s="41"/>
      <c r="F348" s="41"/>
      <c r="G348" s="41"/>
      <c r="H348" s="41"/>
      <c r="I348" s="41"/>
      <c r="J348" s="41"/>
      <c r="K348" s="41"/>
      <c r="L348" s="41"/>
      <c r="M348" s="41"/>
      <c r="N348" s="41"/>
      <c r="O348" s="41"/>
      <c r="P348" s="41"/>
      <c r="Q348" s="64"/>
      <c r="R348" s="41"/>
      <c r="S348" s="41"/>
      <c r="T348" s="41"/>
      <c r="U348" s="41"/>
      <c r="V348" s="41"/>
      <c r="W348" s="41"/>
      <c r="X348" s="41"/>
      <c r="Y348" s="41"/>
      <c r="Z348" s="41"/>
      <c r="AA348" s="41"/>
    </row>
    <row r="349" spans="1:27" ht="15.75" hidden="1" customHeight="1" x14ac:dyDescent="0.25">
      <c r="A349" s="51"/>
      <c r="B349" s="41"/>
      <c r="C349" s="41"/>
      <c r="D349" s="41"/>
      <c r="E349" s="41"/>
      <c r="F349" s="41"/>
      <c r="G349" s="41"/>
      <c r="H349" s="41"/>
      <c r="I349" s="41"/>
      <c r="J349" s="41"/>
      <c r="K349" s="41"/>
      <c r="L349" s="41"/>
      <c r="M349" s="41"/>
      <c r="N349" s="41"/>
      <c r="O349" s="41"/>
      <c r="P349" s="41"/>
      <c r="Q349" s="64"/>
      <c r="R349" s="41"/>
      <c r="S349" s="41"/>
      <c r="T349" s="41"/>
      <c r="U349" s="41"/>
      <c r="V349" s="41"/>
      <c r="W349" s="41"/>
      <c r="X349" s="41"/>
      <c r="Y349" s="41"/>
      <c r="Z349" s="41"/>
      <c r="AA349" s="41"/>
    </row>
    <row r="350" spans="1:27" ht="15.75" hidden="1" customHeight="1" x14ac:dyDescent="0.25">
      <c r="A350" s="51"/>
      <c r="B350" s="41"/>
      <c r="C350" s="41"/>
      <c r="D350" s="41"/>
      <c r="E350" s="41"/>
      <c r="F350" s="41"/>
      <c r="G350" s="41"/>
      <c r="H350" s="41"/>
      <c r="I350" s="41"/>
      <c r="J350" s="41"/>
      <c r="K350" s="41"/>
      <c r="L350" s="41"/>
      <c r="M350" s="41"/>
      <c r="N350" s="41"/>
      <c r="O350" s="41"/>
      <c r="P350" s="41"/>
      <c r="Q350" s="64"/>
      <c r="R350" s="41"/>
      <c r="S350" s="41"/>
      <c r="T350" s="41"/>
      <c r="U350" s="41"/>
      <c r="V350" s="41"/>
      <c r="W350" s="41"/>
      <c r="X350" s="41"/>
      <c r="Y350" s="41"/>
      <c r="Z350" s="41"/>
      <c r="AA350" s="41"/>
    </row>
    <row r="351" spans="1:27" ht="15.75" hidden="1" customHeight="1" x14ac:dyDescent="0.25">
      <c r="A351" s="51"/>
      <c r="B351" s="41"/>
      <c r="C351" s="41"/>
      <c r="D351" s="41"/>
      <c r="E351" s="41"/>
      <c r="F351" s="41"/>
      <c r="G351" s="41"/>
      <c r="H351" s="41"/>
      <c r="I351" s="41"/>
      <c r="J351" s="41"/>
      <c r="K351" s="41"/>
      <c r="L351" s="41"/>
      <c r="M351" s="41"/>
      <c r="N351" s="41"/>
      <c r="O351" s="41"/>
      <c r="P351" s="41"/>
      <c r="Q351" s="64"/>
      <c r="R351" s="41"/>
      <c r="S351" s="41"/>
      <c r="T351" s="41"/>
      <c r="U351" s="41"/>
      <c r="V351" s="41"/>
      <c r="W351" s="41"/>
      <c r="X351" s="41"/>
      <c r="Y351" s="41"/>
      <c r="Z351" s="41"/>
      <c r="AA351" s="41"/>
    </row>
    <row r="352" spans="1:27" ht="15.75" hidden="1" customHeight="1" x14ac:dyDescent="0.25">
      <c r="A352" s="51"/>
      <c r="B352" s="41"/>
      <c r="C352" s="41"/>
      <c r="D352" s="41"/>
      <c r="E352" s="41"/>
      <c r="F352" s="41"/>
      <c r="G352" s="41"/>
      <c r="H352" s="41"/>
      <c r="I352" s="41"/>
      <c r="J352" s="41"/>
      <c r="K352" s="41"/>
      <c r="L352" s="41"/>
      <c r="M352" s="41"/>
      <c r="N352" s="41"/>
      <c r="O352" s="41"/>
      <c r="P352" s="41"/>
      <c r="Q352" s="64"/>
      <c r="R352" s="41"/>
      <c r="S352" s="41"/>
      <c r="T352" s="41"/>
      <c r="U352" s="41"/>
      <c r="V352" s="41"/>
      <c r="W352" s="41"/>
      <c r="X352" s="41"/>
      <c r="Y352" s="41"/>
      <c r="Z352" s="41"/>
      <c r="AA352" s="41"/>
    </row>
    <row r="353" spans="1:27" ht="15.75" hidden="1" customHeight="1" x14ac:dyDescent="0.25">
      <c r="A353" s="51"/>
      <c r="B353" s="41"/>
      <c r="C353" s="41"/>
      <c r="D353" s="41"/>
      <c r="E353" s="41"/>
      <c r="F353" s="41"/>
      <c r="G353" s="41"/>
      <c r="H353" s="41"/>
      <c r="I353" s="41"/>
      <c r="J353" s="41"/>
      <c r="K353" s="41"/>
      <c r="L353" s="41"/>
      <c r="M353" s="41"/>
      <c r="N353" s="41"/>
      <c r="O353" s="41"/>
      <c r="P353" s="41"/>
      <c r="Q353" s="64"/>
      <c r="R353" s="41"/>
      <c r="S353" s="41"/>
      <c r="T353" s="41"/>
      <c r="U353" s="41"/>
      <c r="V353" s="41"/>
      <c r="W353" s="41"/>
      <c r="X353" s="41"/>
      <c r="Y353" s="41"/>
      <c r="Z353" s="41"/>
      <c r="AA353" s="41"/>
    </row>
    <row r="354" spans="1:27" ht="15.75" hidden="1" customHeight="1" x14ac:dyDescent="0.25">
      <c r="A354" s="51"/>
      <c r="B354" s="41"/>
      <c r="C354" s="41"/>
      <c r="D354" s="41"/>
      <c r="E354" s="41"/>
      <c r="F354" s="41"/>
      <c r="G354" s="41"/>
      <c r="H354" s="41"/>
      <c r="I354" s="41"/>
      <c r="J354" s="41"/>
      <c r="K354" s="41"/>
      <c r="L354" s="41"/>
      <c r="M354" s="41"/>
      <c r="N354" s="41"/>
      <c r="O354" s="41"/>
      <c r="P354" s="41"/>
      <c r="Q354" s="64"/>
      <c r="R354" s="41"/>
      <c r="S354" s="41"/>
      <c r="T354" s="41"/>
      <c r="U354" s="41"/>
      <c r="V354" s="41"/>
      <c r="W354" s="41"/>
      <c r="X354" s="41"/>
      <c r="Y354" s="41"/>
      <c r="Z354" s="41"/>
      <c r="AA354" s="41"/>
    </row>
    <row r="355" spans="1:27" ht="15.75" hidden="1" customHeight="1" x14ac:dyDescent="0.25">
      <c r="A355" s="51"/>
      <c r="B355" s="41"/>
      <c r="C355" s="41"/>
      <c r="D355" s="41"/>
      <c r="E355" s="41"/>
      <c r="F355" s="41"/>
      <c r="G355" s="41"/>
      <c r="H355" s="41"/>
      <c r="I355" s="41"/>
      <c r="J355" s="41"/>
      <c r="K355" s="41"/>
      <c r="L355" s="41"/>
      <c r="M355" s="41"/>
      <c r="N355" s="41"/>
      <c r="O355" s="41"/>
      <c r="P355" s="41"/>
      <c r="Q355" s="64"/>
      <c r="R355" s="41"/>
      <c r="S355" s="41"/>
      <c r="T355" s="41"/>
      <c r="U355" s="41"/>
      <c r="V355" s="41"/>
      <c r="W355" s="41"/>
      <c r="X355" s="41"/>
      <c r="Y355" s="41"/>
      <c r="Z355" s="41"/>
      <c r="AA355" s="41"/>
    </row>
    <row r="356" spans="1:27" ht="15.75" hidden="1" customHeight="1" x14ac:dyDescent="0.25">
      <c r="A356" s="51"/>
      <c r="B356" s="41"/>
      <c r="C356" s="41"/>
      <c r="D356" s="41"/>
      <c r="E356" s="41"/>
      <c r="F356" s="41"/>
      <c r="G356" s="41"/>
      <c r="H356" s="41"/>
      <c r="I356" s="41"/>
      <c r="J356" s="41"/>
      <c r="K356" s="41"/>
      <c r="L356" s="41"/>
      <c r="M356" s="41"/>
      <c r="N356" s="41"/>
      <c r="O356" s="41"/>
      <c r="P356" s="41"/>
      <c r="Q356" s="64"/>
      <c r="R356" s="41"/>
      <c r="S356" s="41"/>
      <c r="T356" s="41"/>
      <c r="U356" s="41"/>
      <c r="V356" s="41"/>
      <c r="W356" s="41"/>
      <c r="X356" s="41"/>
      <c r="Y356" s="41"/>
      <c r="Z356" s="41"/>
      <c r="AA356" s="41"/>
    </row>
    <row r="357" spans="1:27" ht="15.75" hidden="1" customHeight="1" x14ac:dyDescent="0.25">
      <c r="A357" s="51"/>
      <c r="B357" s="41"/>
      <c r="C357" s="41"/>
      <c r="D357" s="41"/>
      <c r="E357" s="41"/>
      <c r="F357" s="41"/>
      <c r="G357" s="41"/>
      <c r="H357" s="41"/>
      <c r="I357" s="41"/>
      <c r="J357" s="41"/>
      <c r="K357" s="41"/>
      <c r="L357" s="41"/>
      <c r="M357" s="41"/>
      <c r="N357" s="41"/>
      <c r="O357" s="41"/>
      <c r="P357" s="41"/>
      <c r="Q357" s="64"/>
      <c r="R357" s="41"/>
      <c r="S357" s="41"/>
      <c r="T357" s="41"/>
      <c r="U357" s="41"/>
      <c r="V357" s="41"/>
      <c r="W357" s="41"/>
      <c r="X357" s="41"/>
      <c r="Y357" s="41"/>
      <c r="Z357" s="41"/>
      <c r="AA357" s="41"/>
    </row>
    <row r="358" spans="1:27" ht="15.75" hidden="1" customHeight="1" x14ac:dyDescent="0.25">
      <c r="A358" s="51"/>
      <c r="B358" s="41"/>
      <c r="C358" s="41"/>
      <c r="D358" s="41"/>
      <c r="E358" s="41"/>
      <c r="F358" s="41"/>
      <c r="G358" s="41"/>
      <c r="H358" s="41"/>
      <c r="I358" s="41"/>
      <c r="J358" s="41"/>
      <c r="K358" s="41"/>
      <c r="L358" s="41"/>
      <c r="M358" s="41"/>
      <c r="N358" s="41"/>
      <c r="O358" s="41"/>
      <c r="P358" s="41"/>
      <c r="Q358" s="64"/>
      <c r="R358" s="41"/>
      <c r="S358" s="41"/>
      <c r="T358" s="41"/>
      <c r="U358" s="41"/>
      <c r="V358" s="41"/>
      <c r="W358" s="41"/>
      <c r="X358" s="41"/>
      <c r="Y358" s="41"/>
      <c r="Z358" s="41"/>
      <c r="AA358" s="41"/>
    </row>
    <row r="359" spans="1:27" ht="15.75" hidden="1" customHeight="1" x14ac:dyDescent="0.25">
      <c r="A359" s="51"/>
      <c r="B359" s="41"/>
      <c r="C359" s="41"/>
      <c r="D359" s="41"/>
      <c r="E359" s="41"/>
      <c r="F359" s="41"/>
      <c r="G359" s="41"/>
      <c r="H359" s="41"/>
      <c r="I359" s="41"/>
      <c r="J359" s="41"/>
      <c r="K359" s="41"/>
      <c r="L359" s="41"/>
      <c r="M359" s="41"/>
      <c r="N359" s="41"/>
      <c r="O359" s="41"/>
      <c r="P359" s="41"/>
      <c r="Q359" s="64"/>
      <c r="R359" s="41"/>
      <c r="S359" s="41"/>
      <c r="T359" s="41"/>
      <c r="U359" s="41"/>
      <c r="V359" s="41"/>
      <c r="W359" s="41"/>
      <c r="X359" s="41"/>
      <c r="Y359" s="41"/>
      <c r="Z359" s="41"/>
      <c r="AA359" s="41"/>
    </row>
    <row r="360" spans="1:27" ht="15.75" hidden="1" customHeight="1" x14ac:dyDescent="0.25">
      <c r="A360" s="51"/>
      <c r="B360" s="41"/>
      <c r="C360" s="41"/>
      <c r="D360" s="41"/>
      <c r="E360" s="41"/>
      <c r="F360" s="41"/>
      <c r="G360" s="41"/>
      <c r="H360" s="41"/>
      <c r="I360" s="41"/>
      <c r="J360" s="41"/>
      <c r="K360" s="41"/>
      <c r="L360" s="41"/>
      <c r="M360" s="41"/>
      <c r="N360" s="41"/>
      <c r="O360" s="41"/>
      <c r="P360" s="41"/>
      <c r="Q360" s="64"/>
      <c r="R360" s="41"/>
      <c r="S360" s="41"/>
      <c r="T360" s="41"/>
      <c r="U360" s="41"/>
      <c r="V360" s="41"/>
      <c r="W360" s="41"/>
      <c r="X360" s="41"/>
      <c r="Y360" s="41"/>
      <c r="Z360" s="41"/>
      <c r="AA360" s="41"/>
    </row>
    <row r="361" spans="1:27" ht="15.75" hidden="1" customHeight="1" x14ac:dyDescent="0.25">
      <c r="A361" s="51"/>
      <c r="B361" s="41"/>
      <c r="C361" s="41"/>
      <c r="D361" s="41"/>
      <c r="E361" s="41"/>
      <c r="F361" s="41"/>
      <c r="G361" s="41"/>
      <c r="H361" s="41"/>
      <c r="I361" s="41"/>
      <c r="J361" s="41"/>
      <c r="K361" s="41"/>
      <c r="L361" s="41"/>
      <c r="M361" s="41"/>
      <c r="N361" s="41"/>
      <c r="O361" s="41"/>
      <c r="P361" s="41"/>
      <c r="Q361" s="64"/>
      <c r="R361" s="41"/>
      <c r="S361" s="41"/>
      <c r="T361" s="41"/>
      <c r="U361" s="41"/>
      <c r="V361" s="41"/>
      <c r="W361" s="41"/>
      <c r="X361" s="41"/>
      <c r="Y361" s="41"/>
      <c r="Z361" s="41"/>
      <c r="AA361" s="41"/>
    </row>
    <row r="362" spans="1:27" ht="15.75" hidden="1" customHeight="1" x14ac:dyDescent="0.25">
      <c r="A362" s="51"/>
      <c r="B362" s="41"/>
      <c r="C362" s="41"/>
      <c r="D362" s="41"/>
      <c r="E362" s="41"/>
      <c r="F362" s="41"/>
      <c r="G362" s="41"/>
      <c r="H362" s="41"/>
      <c r="I362" s="41"/>
      <c r="J362" s="41"/>
      <c r="K362" s="41"/>
      <c r="L362" s="41"/>
      <c r="M362" s="41"/>
      <c r="N362" s="41"/>
      <c r="O362" s="41"/>
      <c r="P362" s="41"/>
      <c r="Q362" s="64"/>
      <c r="R362" s="41"/>
      <c r="S362" s="41"/>
      <c r="T362" s="41"/>
      <c r="U362" s="41"/>
      <c r="V362" s="41"/>
      <c r="W362" s="41"/>
      <c r="X362" s="41"/>
      <c r="Y362" s="41"/>
      <c r="Z362" s="41"/>
      <c r="AA362" s="41"/>
    </row>
    <row r="363" spans="1:27" ht="15.75" hidden="1" customHeight="1" x14ac:dyDescent="0.25">
      <c r="A363" s="51"/>
      <c r="B363" s="41"/>
      <c r="C363" s="41"/>
      <c r="D363" s="41"/>
      <c r="E363" s="41"/>
      <c r="F363" s="41"/>
      <c r="G363" s="41"/>
      <c r="H363" s="41"/>
      <c r="I363" s="41"/>
      <c r="J363" s="41"/>
      <c r="K363" s="41"/>
      <c r="L363" s="41"/>
      <c r="M363" s="41"/>
      <c r="N363" s="41"/>
      <c r="O363" s="41"/>
      <c r="P363" s="41"/>
      <c r="Q363" s="64"/>
      <c r="R363" s="41"/>
      <c r="S363" s="41"/>
      <c r="T363" s="41"/>
      <c r="U363" s="41"/>
      <c r="V363" s="41"/>
      <c r="W363" s="41"/>
      <c r="X363" s="41"/>
      <c r="Y363" s="41"/>
      <c r="Z363" s="41"/>
      <c r="AA363" s="41"/>
    </row>
    <row r="364" spans="1:27" ht="15.75" hidden="1" customHeight="1" x14ac:dyDescent="0.25">
      <c r="A364" s="51"/>
      <c r="B364" s="41"/>
      <c r="C364" s="41"/>
      <c r="D364" s="41"/>
      <c r="E364" s="41"/>
      <c r="F364" s="41"/>
      <c r="G364" s="41"/>
      <c r="H364" s="41"/>
      <c r="I364" s="41"/>
      <c r="J364" s="41"/>
      <c r="K364" s="41"/>
      <c r="L364" s="41"/>
      <c r="M364" s="41"/>
      <c r="N364" s="41"/>
      <c r="O364" s="41"/>
      <c r="P364" s="41"/>
      <c r="Q364" s="64"/>
      <c r="R364" s="41"/>
      <c r="S364" s="41"/>
      <c r="T364" s="41"/>
      <c r="U364" s="41"/>
      <c r="V364" s="41"/>
      <c r="W364" s="41"/>
      <c r="X364" s="41"/>
      <c r="Y364" s="41"/>
      <c r="Z364" s="41"/>
      <c r="AA364" s="41"/>
    </row>
    <row r="365" spans="1:27" ht="15.75" hidden="1" customHeight="1" x14ac:dyDescent="0.25">
      <c r="A365" s="51"/>
      <c r="B365" s="41"/>
      <c r="C365" s="41"/>
      <c r="D365" s="41"/>
      <c r="E365" s="41"/>
      <c r="F365" s="41"/>
      <c r="G365" s="41"/>
      <c r="H365" s="41"/>
      <c r="I365" s="41"/>
      <c r="J365" s="41"/>
      <c r="K365" s="41"/>
      <c r="L365" s="41"/>
      <c r="M365" s="41"/>
      <c r="N365" s="41"/>
      <c r="O365" s="41"/>
      <c r="P365" s="41"/>
      <c r="Q365" s="64"/>
      <c r="R365" s="41"/>
      <c r="S365" s="41"/>
      <c r="T365" s="41"/>
      <c r="U365" s="41"/>
      <c r="V365" s="41"/>
      <c r="W365" s="41"/>
      <c r="X365" s="41"/>
      <c r="Y365" s="41"/>
      <c r="Z365" s="41"/>
      <c r="AA365" s="41"/>
    </row>
    <row r="366" spans="1:27" ht="15.75" hidden="1" customHeight="1" x14ac:dyDescent="0.25">
      <c r="A366" s="51"/>
      <c r="B366" s="41"/>
      <c r="C366" s="41"/>
      <c r="D366" s="41"/>
      <c r="E366" s="41"/>
      <c r="F366" s="41"/>
      <c r="G366" s="41"/>
      <c r="H366" s="41"/>
      <c r="I366" s="41"/>
      <c r="J366" s="41"/>
      <c r="K366" s="41"/>
      <c r="L366" s="41"/>
      <c r="M366" s="41"/>
      <c r="N366" s="41"/>
      <c r="O366" s="41"/>
      <c r="P366" s="41"/>
      <c r="Q366" s="64"/>
      <c r="R366" s="41"/>
      <c r="S366" s="41"/>
      <c r="T366" s="41"/>
      <c r="U366" s="41"/>
      <c r="V366" s="41"/>
      <c r="W366" s="41"/>
      <c r="X366" s="41"/>
      <c r="Y366" s="41"/>
      <c r="Z366" s="41"/>
      <c r="AA366" s="41"/>
    </row>
    <row r="367" spans="1:27" ht="15.75" hidden="1" customHeight="1" x14ac:dyDescent="0.25">
      <c r="A367" s="51"/>
      <c r="B367" s="41"/>
      <c r="C367" s="41"/>
      <c r="D367" s="41"/>
      <c r="E367" s="41"/>
      <c r="F367" s="41"/>
      <c r="G367" s="41"/>
      <c r="H367" s="41"/>
      <c r="I367" s="41"/>
      <c r="J367" s="41"/>
      <c r="K367" s="41"/>
      <c r="L367" s="41"/>
      <c r="M367" s="41"/>
      <c r="N367" s="41"/>
      <c r="O367" s="41"/>
      <c r="P367" s="41"/>
      <c r="Q367" s="64"/>
      <c r="R367" s="41"/>
      <c r="S367" s="41"/>
      <c r="T367" s="41"/>
      <c r="U367" s="41"/>
      <c r="V367" s="41"/>
      <c r="W367" s="41"/>
      <c r="X367" s="41"/>
      <c r="Y367" s="41"/>
      <c r="Z367" s="41"/>
      <c r="AA367" s="41"/>
    </row>
    <row r="368" spans="1:27" ht="15.75" hidden="1" customHeight="1" x14ac:dyDescent="0.25">
      <c r="A368" s="51"/>
      <c r="B368" s="41"/>
      <c r="C368" s="41"/>
      <c r="D368" s="41"/>
      <c r="E368" s="41"/>
      <c r="F368" s="41"/>
      <c r="G368" s="41"/>
      <c r="H368" s="41"/>
      <c r="I368" s="41"/>
      <c r="J368" s="41"/>
      <c r="K368" s="41"/>
      <c r="L368" s="41"/>
      <c r="M368" s="41"/>
      <c r="N368" s="41"/>
      <c r="O368" s="41"/>
      <c r="P368" s="41"/>
      <c r="Q368" s="64"/>
      <c r="R368" s="41"/>
      <c r="S368" s="41"/>
      <c r="T368" s="41"/>
      <c r="U368" s="41"/>
      <c r="V368" s="41"/>
      <c r="W368" s="41"/>
      <c r="X368" s="41"/>
      <c r="Y368" s="41"/>
      <c r="Z368" s="41"/>
      <c r="AA368" s="41"/>
    </row>
    <row r="369" spans="1:27" ht="15.75" hidden="1" customHeight="1" x14ac:dyDescent="0.25">
      <c r="A369" s="51"/>
      <c r="B369" s="41"/>
      <c r="C369" s="41"/>
      <c r="D369" s="41"/>
      <c r="E369" s="41"/>
      <c r="F369" s="41"/>
      <c r="G369" s="41"/>
      <c r="H369" s="41"/>
      <c r="I369" s="41"/>
      <c r="J369" s="41"/>
      <c r="K369" s="41"/>
      <c r="L369" s="41"/>
      <c r="M369" s="41"/>
      <c r="N369" s="41"/>
      <c r="O369" s="41"/>
      <c r="P369" s="41"/>
      <c r="Q369" s="64"/>
      <c r="R369" s="41"/>
      <c r="S369" s="41"/>
      <c r="T369" s="41"/>
      <c r="U369" s="41"/>
      <c r="V369" s="41"/>
      <c r="W369" s="41"/>
      <c r="X369" s="41"/>
      <c r="Y369" s="41"/>
      <c r="Z369" s="41"/>
      <c r="AA369" s="41"/>
    </row>
    <row r="370" spans="1:27" ht="15.75" hidden="1" customHeight="1" x14ac:dyDescent="0.25">
      <c r="A370" s="51"/>
      <c r="B370" s="41"/>
      <c r="C370" s="41"/>
      <c r="D370" s="41"/>
      <c r="E370" s="41"/>
      <c r="F370" s="41"/>
      <c r="G370" s="41"/>
      <c r="H370" s="41"/>
      <c r="I370" s="41"/>
      <c r="J370" s="41"/>
      <c r="K370" s="41"/>
      <c r="L370" s="41"/>
      <c r="M370" s="41"/>
      <c r="N370" s="41"/>
      <c r="O370" s="41"/>
      <c r="P370" s="41"/>
      <c r="Q370" s="64"/>
      <c r="R370" s="41"/>
      <c r="S370" s="41"/>
      <c r="T370" s="41"/>
      <c r="U370" s="41"/>
      <c r="V370" s="41"/>
      <c r="W370" s="41"/>
      <c r="X370" s="41"/>
      <c r="Y370" s="41"/>
      <c r="Z370" s="41"/>
      <c r="AA370" s="41"/>
    </row>
    <row r="371" spans="1:27" ht="15.75" hidden="1" customHeight="1" x14ac:dyDescent="0.25">
      <c r="A371" s="51"/>
      <c r="B371" s="41"/>
      <c r="C371" s="41"/>
      <c r="D371" s="41"/>
      <c r="E371" s="41"/>
      <c r="F371" s="41"/>
      <c r="G371" s="41"/>
      <c r="H371" s="41"/>
      <c r="I371" s="41"/>
      <c r="J371" s="41"/>
      <c r="K371" s="41"/>
      <c r="L371" s="41"/>
      <c r="M371" s="41"/>
      <c r="N371" s="41"/>
      <c r="O371" s="41"/>
      <c r="P371" s="41"/>
      <c r="Q371" s="64"/>
      <c r="R371" s="41"/>
      <c r="S371" s="41"/>
      <c r="T371" s="41"/>
      <c r="U371" s="41"/>
      <c r="V371" s="41"/>
      <c r="W371" s="41"/>
      <c r="X371" s="41"/>
      <c r="Y371" s="41"/>
      <c r="Z371" s="41"/>
      <c r="AA371" s="41"/>
    </row>
    <row r="372" spans="1:27" ht="15.75" hidden="1" customHeight="1" x14ac:dyDescent="0.25">
      <c r="A372" s="51"/>
      <c r="B372" s="41"/>
      <c r="C372" s="41"/>
      <c r="D372" s="41"/>
      <c r="E372" s="41"/>
      <c r="F372" s="41"/>
      <c r="G372" s="41"/>
      <c r="H372" s="41"/>
      <c r="I372" s="41"/>
      <c r="J372" s="41"/>
      <c r="K372" s="41"/>
      <c r="L372" s="41"/>
      <c r="M372" s="41"/>
      <c r="N372" s="41"/>
      <c r="O372" s="41"/>
      <c r="P372" s="41"/>
      <c r="Q372" s="64"/>
      <c r="R372" s="41"/>
      <c r="S372" s="41"/>
      <c r="T372" s="41"/>
      <c r="U372" s="41"/>
      <c r="V372" s="41"/>
      <c r="W372" s="41"/>
      <c r="X372" s="41"/>
      <c r="Y372" s="41"/>
      <c r="Z372" s="41"/>
      <c r="AA372" s="41"/>
    </row>
    <row r="373" spans="1:27" ht="15.75" hidden="1" customHeight="1" x14ac:dyDescent="0.25">
      <c r="A373" s="51"/>
      <c r="B373" s="41"/>
      <c r="C373" s="41"/>
      <c r="D373" s="41"/>
      <c r="E373" s="41"/>
      <c r="F373" s="41"/>
      <c r="G373" s="41"/>
      <c r="H373" s="41"/>
      <c r="I373" s="41"/>
      <c r="J373" s="41"/>
      <c r="K373" s="41"/>
      <c r="L373" s="41"/>
      <c r="M373" s="41"/>
      <c r="N373" s="41"/>
      <c r="O373" s="41"/>
      <c r="P373" s="41"/>
      <c r="Q373" s="64"/>
      <c r="R373" s="41"/>
      <c r="S373" s="41"/>
      <c r="T373" s="41"/>
      <c r="U373" s="41"/>
      <c r="V373" s="41"/>
      <c r="W373" s="41"/>
      <c r="X373" s="41"/>
      <c r="Y373" s="41"/>
      <c r="Z373" s="41"/>
      <c r="AA373" s="41"/>
    </row>
    <row r="374" spans="1:27" ht="15.75" hidden="1" customHeight="1" x14ac:dyDescent="0.25">
      <c r="A374" s="51"/>
      <c r="B374" s="41"/>
      <c r="C374" s="41"/>
      <c r="D374" s="41"/>
      <c r="E374" s="41"/>
      <c r="F374" s="41"/>
      <c r="G374" s="41"/>
      <c r="H374" s="41"/>
      <c r="I374" s="41"/>
      <c r="J374" s="41"/>
      <c r="K374" s="41"/>
      <c r="L374" s="41"/>
      <c r="M374" s="41"/>
      <c r="N374" s="41"/>
      <c r="O374" s="41"/>
      <c r="P374" s="41"/>
      <c r="Q374" s="64"/>
      <c r="R374" s="41"/>
      <c r="S374" s="41"/>
      <c r="T374" s="41"/>
      <c r="U374" s="41"/>
      <c r="V374" s="41"/>
      <c r="W374" s="41"/>
      <c r="X374" s="41"/>
      <c r="Y374" s="41"/>
      <c r="Z374" s="41"/>
      <c r="AA374" s="41"/>
    </row>
    <row r="375" spans="1:27" ht="15.75" hidden="1" customHeight="1" x14ac:dyDescent="0.25">
      <c r="A375" s="51"/>
      <c r="B375" s="41"/>
      <c r="C375" s="41"/>
      <c r="D375" s="41"/>
      <c r="E375" s="41"/>
      <c r="F375" s="41"/>
      <c r="G375" s="41"/>
      <c r="H375" s="41"/>
      <c r="I375" s="41"/>
      <c r="J375" s="41"/>
      <c r="K375" s="41"/>
      <c r="L375" s="41"/>
      <c r="M375" s="41"/>
      <c r="N375" s="41"/>
      <c r="O375" s="41"/>
      <c r="P375" s="41"/>
      <c r="Q375" s="64"/>
      <c r="R375" s="41"/>
      <c r="S375" s="41"/>
      <c r="T375" s="41"/>
      <c r="U375" s="41"/>
      <c r="V375" s="41"/>
      <c r="W375" s="41"/>
      <c r="X375" s="41"/>
      <c r="Y375" s="41"/>
      <c r="Z375" s="41"/>
      <c r="AA375" s="41"/>
    </row>
    <row r="376" spans="1:27" ht="15.75" hidden="1" customHeight="1" x14ac:dyDescent="0.25">
      <c r="A376" s="51"/>
      <c r="B376" s="41"/>
      <c r="C376" s="41"/>
      <c r="D376" s="41"/>
      <c r="E376" s="41"/>
      <c r="F376" s="41"/>
      <c r="G376" s="41"/>
      <c r="H376" s="41"/>
      <c r="I376" s="41"/>
      <c r="J376" s="41"/>
      <c r="K376" s="41"/>
      <c r="L376" s="41"/>
      <c r="M376" s="41"/>
      <c r="N376" s="41"/>
      <c r="O376" s="41"/>
      <c r="P376" s="41"/>
      <c r="Q376" s="64"/>
      <c r="R376" s="41"/>
      <c r="S376" s="41"/>
      <c r="T376" s="41"/>
      <c r="U376" s="41"/>
      <c r="V376" s="41"/>
      <c r="W376" s="41"/>
      <c r="X376" s="41"/>
      <c r="Y376" s="41"/>
      <c r="Z376" s="41"/>
      <c r="AA376" s="41"/>
    </row>
    <row r="377" spans="1:27" ht="15.75" hidden="1" customHeight="1" x14ac:dyDescent="0.25">
      <c r="A377" s="51"/>
      <c r="B377" s="41"/>
      <c r="C377" s="41"/>
      <c r="D377" s="41"/>
      <c r="E377" s="41"/>
      <c r="F377" s="41"/>
      <c r="G377" s="41"/>
      <c r="H377" s="41"/>
      <c r="I377" s="41"/>
      <c r="J377" s="41"/>
      <c r="K377" s="41"/>
      <c r="L377" s="41"/>
      <c r="M377" s="41"/>
      <c r="N377" s="41"/>
      <c r="O377" s="41"/>
      <c r="P377" s="41"/>
      <c r="Q377" s="64"/>
      <c r="R377" s="41"/>
      <c r="S377" s="41"/>
      <c r="T377" s="41"/>
      <c r="U377" s="41"/>
      <c r="V377" s="41"/>
      <c r="W377" s="41"/>
      <c r="X377" s="41"/>
      <c r="Y377" s="41"/>
      <c r="Z377" s="41"/>
      <c r="AA377" s="41"/>
    </row>
    <row r="378" spans="1:27" ht="15.75" hidden="1" customHeight="1" x14ac:dyDescent="0.25">
      <c r="A378" s="51"/>
      <c r="B378" s="41"/>
      <c r="C378" s="41"/>
      <c r="D378" s="41"/>
      <c r="E378" s="41"/>
      <c r="F378" s="41"/>
      <c r="G378" s="41"/>
      <c r="H378" s="41"/>
      <c r="I378" s="41"/>
      <c r="J378" s="41"/>
      <c r="K378" s="41"/>
      <c r="L378" s="41"/>
      <c r="M378" s="41"/>
      <c r="N378" s="41"/>
      <c r="O378" s="41"/>
      <c r="P378" s="41"/>
      <c r="Q378" s="64"/>
      <c r="R378" s="41"/>
      <c r="S378" s="41"/>
      <c r="T378" s="41"/>
      <c r="U378" s="41"/>
      <c r="V378" s="41"/>
      <c r="W378" s="41"/>
      <c r="X378" s="41"/>
      <c r="Y378" s="41"/>
      <c r="Z378" s="41"/>
      <c r="AA378" s="41"/>
    </row>
    <row r="379" spans="1:27" ht="15.75" hidden="1" customHeight="1" x14ac:dyDescent="0.25">
      <c r="A379" s="51"/>
      <c r="B379" s="41"/>
      <c r="C379" s="41"/>
      <c r="D379" s="41"/>
      <c r="E379" s="41"/>
      <c r="F379" s="41"/>
      <c r="G379" s="41"/>
      <c r="H379" s="41"/>
      <c r="I379" s="41"/>
      <c r="J379" s="41"/>
      <c r="K379" s="41"/>
      <c r="L379" s="41"/>
      <c r="M379" s="41"/>
      <c r="N379" s="41"/>
      <c r="O379" s="41"/>
      <c r="P379" s="41"/>
      <c r="Q379" s="64"/>
      <c r="R379" s="41"/>
      <c r="S379" s="41"/>
      <c r="T379" s="41"/>
      <c r="U379" s="41"/>
      <c r="V379" s="41"/>
      <c r="W379" s="41"/>
      <c r="X379" s="41"/>
      <c r="Y379" s="41"/>
      <c r="Z379" s="41"/>
      <c r="AA379" s="41"/>
    </row>
    <row r="380" spans="1:27" ht="15.75" hidden="1" customHeight="1" x14ac:dyDescent="0.25">
      <c r="A380" s="51"/>
      <c r="B380" s="41"/>
      <c r="C380" s="41"/>
      <c r="D380" s="41"/>
      <c r="E380" s="41"/>
      <c r="F380" s="41"/>
      <c r="G380" s="41"/>
      <c r="H380" s="41"/>
      <c r="I380" s="41"/>
      <c r="J380" s="41"/>
      <c r="K380" s="41"/>
      <c r="L380" s="41"/>
      <c r="M380" s="41"/>
      <c r="N380" s="41"/>
      <c r="O380" s="41"/>
      <c r="P380" s="41"/>
      <c r="Q380" s="64"/>
      <c r="R380" s="41"/>
      <c r="S380" s="41"/>
      <c r="T380" s="41"/>
      <c r="U380" s="41"/>
      <c r="V380" s="41"/>
      <c r="W380" s="41"/>
      <c r="X380" s="41"/>
      <c r="Y380" s="41"/>
      <c r="Z380" s="41"/>
      <c r="AA380" s="41"/>
    </row>
    <row r="381" spans="1:27" ht="15.75" hidden="1" customHeight="1" x14ac:dyDescent="0.25">
      <c r="A381" s="51"/>
      <c r="B381" s="41"/>
      <c r="C381" s="41"/>
      <c r="D381" s="41"/>
      <c r="E381" s="41"/>
      <c r="F381" s="41"/>
      <c r="G381" s="41"/>
      <c r="H381" s="41"/>
      <c r="I381" s="41"/>
      <c r="J381" s="41"/>
      <c r="K381" s="41"/>
      <c r="L381" s="41"/>
      <c r="M381" s="41"/>
      <c r="N381" s="41"/>
      <c r="O381" s="41"/>
      <c r="P381" s="41"/>
      <c r="Q381" s="64"/>
      <c r="R381" s="41"/>
      <c r="S381" s="41"/>
      <c r="T381" s="41"/>
      <c r="U381" s="41"/>
      <c r="V381" s="41"/>
      <c r="W381" s="41"/>
      <c r="X381" s="41"/>
      <c r="Y381" s="41"/>
      <c r="Z381" s="41"/>
      <c r="AA381" s="41"/>
    </row>
    <row r="382" spans="1:27" ht="15.75" hidden="1" customHeight="1" x14ac:dyDescent="0.25">
      <c r="A382" s="51"/>
      <c r="B382" s="41"/>
      <c r="C382" s="41"/>
      <c r="D382" s="41"/>
      <c r="E382" s="41"/>
      <c r="F382" s="41"/>
      <c r="G382" s="41"/>
      <c r="H382" s="41"/>
      <c r="I382" s="41"/>
      <c r="J382" s="41"/>
      <c r="K382" s="41"/>
      <c r="L382" s="41"/>
      <c r="M382" s="41"/>
      <c r="N382" s="41"/>
      <c r="O382" s="41"/>
      <c r="P382" s="41"/>
      <c r="Q382" s="64"/>
      <c r="R382" s="41"/>
      <c r="S382" s="41"/>
      <c r="T382" s="41"/>
      <c r="U382" s="41"/>
      <c r="V382" s="41"/>
      <c r="W382" s="41"/>
      <c r="X382" s="41"/>
      <c r="Y382" s="41"/>
      <c r="Z382" s="41"/>
      <c r="AA382" s="41"/>
    </row>
    <row r="383" spans="1:27" ht="15.75" hidden="1" customHeight="1" x14ac:dyDescent="0.25">
      <c r="A383" s="51"/>
      <c r="B383" s="41"/>
      <c r="C383" s="41"/>
      <c r="D383" s="41"/>
      <c r="E383" s="41"/>
      <c r="F383" s="41"/>
      <c r="G383" s="41"/>
      <c r="H383" s="41"/>
      <c r="I383" s="41"/>
      <c r="J383" s="41"/>
      <c r="K383" s="41"/>
      <c r="L383" s="41"/>
      <c r="M383" s="41"/>
      <c r="N383" s="41"/>
      <c r="O383" s="41"/>
      <c r="P383" s="41"/>
      <c r="Q383" s="64"/>
      <c r="R383" s="41"/>
      <c r="S383" s="41"/>
      <c r="T383" s="41"/>
      <c r="U383" s="41"/>
      <c r="V383" s="41"/>
      <c r="W383" s="41"/>
      <c r="X383" s="41"/>
      <c r="Y383" s="41"/>
      <c r="Z383" s="41"/>
      <c r="AA383" s="41"/>
    </row>
    <row r="384" spans="1:27" ht="15.75" hidden="1" customHeight="1" x14ac:dyDescent="0.25">
      <c r="A384" s="51"/>
      <c r="B384" s="41"/>
      <c r="C384" s="41"/>
      <c r="D384" s="41"/>
      <c r="E384" s="41"/>
      <c r="F384" s="41"/>
      <c r="G384" s="41"/>
      <c r="H384" s="41"/>
      <c r="I384" s="41"/>
      <c r="J384" s="41"/>
      <c r="K384" s="41"/>
      <c r="L384" s="41"/>
      <c r="M384" s="41"/>
      <c r="N384" s="41"/>
      <c r="O384" s="41"/>
      <c r="P384" s="41"/>
      <c r="Q384" s="64"/>
      <c r="R384" s="41"/>
      <c r="S384" s="41"/>
      <c r="T384" s="41"/>
      <c r="U384" s="41"/>
      <c r="V384" s="41"/>
      <c r="W384" s="41"/>
      <c r="X384" s="41"/>
      <c r="Y384" s="41"/>
      <c r="Z384" s="41"/>
      <c r="AA384" s="41"/>
    </row>
    <row r="385" spans="1:27" ht="15.75" hidden="1" customHeight="1" x14ac:dyDescent="0.25">
      <c r="A385" s="51"/>
      <c r="B385" s="41"/>
      <c r="C385" s="41"/>
      <c r="D385" s="41"/>
      <c r="E385" s="41"/>
      <c r="F385" s="41"/>
      <c r="G385" s="41"/>
      <c r="H385" s="41"/>
      <c r="I385" s="41"/>
      <c r="J385" s="41"/>
      <c r="K385" s="41"/>
      <c r="L385" s="41"/>
      <c r="M385" s="41"/>
      <c r="N385" s="41"/>
      <c r="O385" s="41"/>
      <c r="P385" s="41"/>
      <c r="Q385" s="64"/>
      <c r="R385" s="41"/>
      <c r="S385" s="41"/>
      <c r="T385" s="41"/>
      <c r="U385" s="41"/>
      <c r="V385" s="41"/>
      <c r="W385" s="41"/>
      <c r="X385" s="41"/>
      <c r="Y385" s="41"/>
      <c r="Z385" s="41"/>
      <c r="AA385" s="41"/>
    </row>
    <row r="386" spans="1:27" ht="15.75" hidden="1" customHeight="1" x14ac:dyDescent="0.25">
      <c r="A386" s="51"/>
      <c r="B386" s="41"/>
      <c r="C386" s="41"/>
      <c r="D386" s="41"/>
      <c r="E386" s="41"/>
      <c r="F386" s="41"/>
      <c r="G386" s="41"/>
      <c r="H386" s="41"/>
      <c r="I386" s="41"/>
      <c r="J386" s="41"/>
      <c r="K386" s="41"/>
      <c r="L386" s="41"/>
      <c r="M386" s="41"/>
      <c r="N386" s="41"/>
      <c r="O386" s="41"/>
      <c r="P386" s="41"/>
      <c r="Q386" s="64"/>
      <c r="R386" s="41"/>
      <c r="S386" s="41"/>
      <c r="T386" s="41"/>
      <c r="U386" s="41"/>
      <c r="V386" s="41"/>
      <c r="W386" s="41"/>
      <c r="X386" s="41"/>
      <c r="Y386" s="41"/>
      <c r="Z386" s="41"/>
      <c r="AA386" s="41"/>
    </row>
    <row r="387" spans="1:27" ht="15.75" hidden="1" customHeight="1" x14ac:dyDescent="0.25">
      <c r="A387" s="51"/>
      <c r="B387" s="41"/>
      <c r="C387" s="41"/>
      <c r="D387" s="41"/>
      <c r="E387" s="41"/>
      <c r="F387" s="41"/>
      <c r="G387" s="41"/>
      <c r="H387" s="41"/>
      <c r="I387" s="41"/>
      <c r="J387" s="41"/>
      <c r="K387" s="41"/>
      <c r="L387" s="41"/>
      <c r="M387" s="41"/>
      <c r="N387" s="41"/>
      <c r="O387" s="41"/>
      <c r="P387" s="41"/>
      <c r="Q387" s="64"/>
      <c r="R387" s="41"/>
      <c r="S387" s="41"/>
      <c r="T387" s="41"/>
      <c r="U387" s="41"/>
      <c r="V387" s="41"/>
      <c r="W387" s="41"/>
      <c r="X387" s="41"/>
      <c r="Y387" s="41"/>
      <c r="Z387" s="41"/>
      <c r="AA387" s="41"/>
    </row>
    <row r="388" spans="1:27" ht="15.75" hidden="1" customHeight="1" x14ac:dyDescent="0.25">
      <c r="A388" s="51"/>
      <c r="B388" s="41"/>
      <c r="C388" s="41"/>
      <c r="D388" s="41"/>
      <c r="E388" s="41"/>
      <c r="F388" s="41"/>
      <c r="G388" s="41"/>
      <c r="H388" s="41"/>
      <c r="I388" s="41"/>
      <c r="J388" s="41"/>
      <c r="K388" s="41"/>
      <c r="L388" s="41"/>
      <c r="M388" s="41"/>
      <c r="N388" s="41"/>
      <c r="O388" s="41"/>
      <c r="P388" s="41"/>
      <c r="Q388" s="64"/>
      <c r="R388" s="41"/>
      <c r="S388" s="41"/>
      <c r="T388" s="41"/>
      <c r="U388" s="41"/>
      <c r="V388" s="41"/>
      <c r="W388" s="41"/>
      <c r="X388" s="41"/>
      <c r="Y388" s="41"/>
      <c r="Z388" s="41"/>
      <c r="AA388" s="41"/>
    </row>
    <row r="389" spans="1:27" ht="15.75" hidden="1" customHeight="1" x14ac:dyDescent="0.25">
      <c r="A389" s="51"/>
      <c r="B389" s="41"/>
      <c r="C389" s="41"/>
      <c r="D389" s="41"/>
      <c r="E389" s="41"/>
      <c r="F389" s="41"/>
      <c r="G389" s="41"/>
      <c r="H389" s="41"/>
      <c r="I389" s="41"/>
      <c r="J389" s="41"/>
      <c r="K389" s="41"/>
      <c r="L389" s="41"/>
      <c r="M389" s="41"/>
      <c r="N389" s="41"/>
      <c r="O389" s="41"/>
      <c r="P389" s="41"/>
      <c r="Q389" s="64"/>
      <c r="R389" s="41"/>
      <c r="S389" s="41"/>
      <c r="T389" s="41"/>
      <c r="U389" s="41"/>
      <c r="V389" s="41"/>
      <c r="W389" s="41"/>
      <c r="X389" s="41"/>
      <c r="Y389" s="41"/>
      <c r="Z389" s="41"/>
      <c r="AA389" s="41"/>
    </row>
    <row r="390" spans="1:27" ht="15.75" hidden="1" customHeight="1" x14ac:dyDescent="0.25">
      <c r="A390" s="51"/>
      <c r="B390" s="41"/>
      <c r="C390" s="41"/>
      <c r="D390" s="41"/>
      <c r="E390" s="41"/>
      <c r="F390" s="41"/>
      <c r="G390" s="41"/>
      <c r="H390" s="41"/>
      <c r="I390" s="41"/>
      <c r="J390" s="41"/>
      <c r="K390" s="41"/>
      <c r="L390" s="41"/>
      <c r="M390" s="41"/>
      <c r="N390" s="41"/>
      <c r="O390" s="41"/>
      <c r="P390" s="41"/>
      <c r="Q390" s="64"/>
      <c r="R390" s="41"/>
      <c r="S390" s="41"/>
      <c r="T390" s="41"/>
      <c r="U390" s="41"/>
      <c r="V390" s="41"/>
      <c r="W390" s="41"/>
      <c r="X390" s="41"/>
      <c r="Y390" s="41"/>
      <c r="Z390" s="41"/>
      <c r="AA390" s="41"/>
    </row>
    <row r="391" spans="1:27" ht="15.75" hidden="1" customHeight="1" x14ac:dyDescent="0.25">
      <c r="A391" s="51"/>
      <c r="B391" s="41"/>
      <c r="C391" s="41"/>
      <c r="D391" s="41"/>
      <c r="E391" s="41"/>
      <c r="F391" s="41"/>
      <c r="G391" s="41"/>
      <c r="H391" s="41"/>
      <c r="I391" s="41"/>
      <c r="J391" s="41"/>
      <c r="K391" s="41"/>
      <c r="L391" s="41"/>
      <c r="M391" s="41"/>
      <c r="N391" s="41"/>
      <c r="O391" s="41"/>
      <c r="P391" s="41"/>
      <c r="Q391" s="64"/>
      <c r="R391" s="41"/>
      <c r="S391" s="41"/>
      <c r="T391" s="41"/>
      <c r="U391" s="41"/>
      <c r="V391" s="41"/>
      <c r="W391" s="41"/>
      <c r="X391" s="41"/>
      <c r="Y391" s="41"/>
      <c r="Z391" s="41"/>
      <c r="AA391" s="41"/>
    </row>
    <row r="392" spans="1:27" ht="15.75" hidden="1" customHeight="1" x14ac:dyDescent="0.25">
      <c r="A392" s="51"/>
      <c r="B392" s="41"/>
      <c r="C392" s="41"/>
      <c r="D392" s="41"/>
      <c r="E392" s="41"/>
      <c r="F392" s="41"/>
      <c r="G392" s="41"/>
      <c r="H392" s="41"/>
      <c r="I392" s="41"/>
      <c r="J392" s="41"/>
      <c r="K392" s="41"/>
      <c r="L392" s="41"/>
      <c r="M392" s="41"/>
      <c r="N392" s="41"/>
      <c r="O392" s="41"/>
      <c r="P392" s="41"/>
      <c r="Q392" s="64"/>
      <c r="R392" s="41"/>
      <c r="S392" s="41"/>
      <c r="T392" s="41"/>
      <c r="U392" s="41"/>
      <c r="V392" s="41"/>
      <c r="W392" s="41"/>
      <c r="X392" s="41"/>
      <c r="Y392" s="41"/>
      <c r="Z392" s="41"/>
      <c r="AA392" s="41"/>
    </row>
    <row r="393" spans="1:27" ht="15.75" hidden="1" customHeight="1" x14ac:dyDescent="0.25">
      <c r="A393" s="51"/>
      <c r="B393" s="41"/>
      <c r="C393" s="41"/>
      <c r="D393" s="41"/>
      <c r="E393" s="41"/>
      <c r="F393" s="41"/>
      <c r="G393" s="41"/>
      <c r="H393" s="41"/>
      <c r="I393" s="41"/>
      <c r="J393" s="41"/>
      <c r="K393" s="41"/>
      <c r="L393" s="41"/>
      <c r="M393" s="41"/>
      <c r="N393" s="41"/>
      <c r="O393" s="41"/>
      <c r="P393" s="41"/>
      <c r="Q393" s="64"/>
      <c r="R393" s="41"/>
      <c r="S393" s="41"/>
      <c r="T393" s="41"/>
      <c r="U393" s="41"/>
      <c r="V393" s="41"/>
      <c r="W393" s="41"/>
      <c r="X393" s="41"/>
      <c r="Y393" s="41"/>
      <c r="Z393" s="41"/>
      <c r="AA393" s="41"/>
    </row>
    <row r="394" spans="1:27" ht="15.75" hidden="1" customHeight="1" x14ac:dyDescent="0.25">
      <c r="A394" s="51"/>
      <c r="B394" s="41"/>
      <c r="C394" s="41"/>
      <c r="D394" s="41"/>
      <c r="E394" s="41"/>
      <c r="F394" s="41"/>
      <c r="G394" s="41"/>
      <c r="H394" s="41"/>
      <c r="I394" s="41"/>
      <c r="J394" s="41"/>
      <c r="K394" s="41"/>
      <c r="L394" s="41"/>
      <c r="M394" s="41"/>
      <c r="N394" s="41"/>
      <c r="O394" s="41"/>
      <c r="P394" s="41"/>
      <c r="Q394" s="64"/>
      <c r="R394" s="41"/>
      <c r="S394" s="41"/>
      <c r="T394" s="41"/>
      <c r="U394" s="41"/>
      <c r="V394" s="41"/>
      <c r="W394" s="41"/>
      <c r="X394" s="41"/>
      <c r="Y394" s="41"/>
      <c r="Z394" s="41"/>
      <c r="AA394" s="41"/>
    </row>
    <row r="395" spans="1:27" ht="15.75" hidden="1" customHeight="1" x14ac:dyDescent="0.25">
      <c r="A395" s="51"/>
      <c r="B395" s="41"/>
      <c r="C395" s="41"/>
      <c r="D395" s="41"/>
      <c r="E395" s="41"/>
      <c r="F395" s="41"/>
      <c r="G395" s="41"/>
      <c r="H395" s="41"/>
      <c r="I395" s="41"/>
      <c r="J395" s="41"/>
      <c r="K395" s="41"/>
      <c r="L395" s="41"/>
      <c r="M395" s="41"/>
      <c r="N395" s="41"/>
      <c r="O395" s="41"/>
      <c r="P395" s="41"/>
      <c r="Q395" s="64"/>
      <c r="R395" s="41"/>
      <c r="S395" s="41"/>
      <c r="T395" s="41"/>
      <c r="U395" s="41"/>
      <c r="V395" s="41"/>
      <c r="W395" s="41"/>
      <c r="X395" s="41"/>
      <c r="Y395" s="41"/>
      <c r="Z395" s="41"/>
      <c r="AA395" s="41"/>
    </row>
    <row r="396" spans="1:27" ht="15.75" hidden="1" customHeight="1" x14ac:dyDescent="0.25">
      <c r="A396" s="51"/>
      <c r="B396" s="41"/>
      <c r="C396" s="41"/>
      <c r="D396" s="41"/>
      <c r="E396" s="41"/>
      <c r="F396" s="41"/>
      <c r="G396" s="41"/>
      <c r="H396" s="41"/>
      <c r="I396" s="41"/>
      <c r="J396" s="41"/>
      <c r="K396" s="41"/>
      <c r="L396" s="41"/>
      <c r="M396" s="41"/>
      <c r="N396" s="41"/>
      <c r="O396" s="41"/>
      <c r="P396" s="41"/>
      <c r="Q396" s="64"/>
      <c r="R396" s="41"/>
      <c r="S396" s="41"/>
      <c r="T396" s="41"/>
      <c r="U396" s="41"/>
      <c r="V396" s="41"/>
      <c r="W396" s="41"/>
      <c r="X396" s="41"/>
      <c r="Y396" s="41"/>
      <c r="Z396" s="41"/>
      <c r="AA396" s="41"/>
    </row>
    <row r="397" spans="1:27" ht="15.75" hidden="1" customHeight="1" x14ac:dyDescent="0.25">
      <c r="A397" s="51"/>
      <c r="B397" s="41"/>
      <c r="C397" s="41"/>
      <c r="D397" s="41"/>
      <c r="E397" s="41"/>
      <c r="F397" s="41"/>
      <c r="G397" s="41"/>
      <c r="H397" s="41"/>
      <c r="I397" s="41"/>
      <c r="J397" s="41"/>
      <c r="K397" s="41"/>
      <c r="L397" s="41"/>
      <c r="M397" s="41"/>
      <c r="N397" s="41"/>
      <c r="O397" s="41"/>
      <c r="P397" s="41"/>
      <c r="Q397" s="64"/>
      <c r="R397" s="41"/>
      <c r="S397" s="41"/>
      <c r="T397" s="41"/>
      <c r="U397" s="41"/>
      <c r="V397" s="41"/>
      <c r="W397" s="41"/>
      <c r="X397" s="41"/>
      <c r="Y397" s="41"/>
      <c r="Z397" s="41"/>
      <c r="AA397" s="41"/>
    </row>
    <row r="398" spans="1:27" ht="15.75" hidden="1" customHeight="1" x14ac:dyDescent="0.25">
      <c r="A398" s="51"/>
      <c r="B398" s="41"/>
      <c r="C398" s="41"/>
      <c r="D398" s="41"/>
      <c r="E398" s="41"/>
      <c r="F398" s="41"/>
      <c r="G398" s="41"/>
      <c r="H398" s="41"/>
      <c r="I398" s="41"/>
      <c r="J398" s="41"/>
      <c r="K398" s="41"/>
      <c r="L398" s="41"/>
      <c r="M398" s="41"/>
      <c r="N398" s="41"/>
      <c r="O398" s="41"/>
      <c r="P398" s="41"/>
      <c r="Q398" s="64"/>
      <c r="R398" s="41"/>
      <c r="S398" s="41"/>
      <c r="T398" s="41"/>
      <c r="U398" s="41"/>
      <c r="V398" s="41"/>
      <c r="W398" s="41"/>
      <c r="X398" s="41"/>
      <c r="Y398" s="41"/>
      <c r="Z398" s="41"/>
      <c r="AA398" s="41"/>
    </row>
    <row r="399" spans="1:27" ht="15.75" hidden="1" customHeight="1" x14ac:dyDescent="0.25">
      <c r="A399" s="51"/>
      <c r="B399" s="41"/>
      <c r="C399" s="41"/>
      <c r="D399" s="41"/>
      <c r="E399" s="41"/>
      <c r="F399" s="41"/>
      <c r="G399" s="41"/>
      <c r="H399" s="41"/>
      <c r="I399" s="41"/>
      <c r="J399" s="41"/>
      <c r="K399" s="41"/>
      <c r="L399" s="41"/>
      <c r="M399" s="41"/>
      <c r="N399" s="41"/>
      <c r="O399" s="41"/>
      <c r="P399" s="41"/>
      <c r="Q399" s="64"/>
      <c r="R399" s="41"/>
      <c r="S399" s="41"/>
      <c r="T399" s="41"/>
      <c r="U399" s="41"/>
      <c r="V399" s="41"/>
      <c r="W399" s="41"/>
      <c r="X399" s="41"/>
      <c r="Y399" s="41"/>
      <c r="Z399" s="41"/>
      <c r="AA399" s="41"/>
    </row>
    <row r="400" spans="1:27" ht="15.75" hidden="1" customHeight="1" x14ac:dyDescent="0.25">
      <c r="A400" s="51"/>
      <c r="B400" s="41"/>
      <c r="C400" s="41"/>
      <c r="D400" s="41"/>
      <c r="E400" s="41"/>
      <c r="F400" s="41"/>
      <c r="G400" s="41"/>
      <c r="H400" s="41"/>
      <c r="I400" s="41"/>
      <c r="J400" s="41"/>
      <c r="K400" s="41"/>
      <c r="L400" s="41"/>
      <c r="M400" s="41"/>
      <c r="N400" s="41"/>
      <c r="O400" s="41"/>
      <c r="P400" s="41"/>
      <c r="Q400" s="64"/>
      <c r="R400" s="41"/>
      <c r="S400" s="41"/>
      <c r="T400" s="41"/>
      <c r="U400" s="41"/>
      <c r="V400" s="41"/>
      <c r="W400" s="41"/>
      <c r="X400" s="41"/>
      <c r="Y400" s="41"/>
      <c r="Z400" s="41"/>
      <c r="AA400" s="41"/>
    </row>
    <row r="401" spans="1:27" ht="15.75" hidden="1" customHeight="1" x14ac:dyDescent="0.25">
      <c r="A401" s="51"/>
      <c r="B401" s="41"/>
      <c r="C401" s="41"/>
      <c r="D401" s="41"/>
      <c r="E401" s="41"/>
      <c r="F401" s="41"/>
      <c r="G401" s="41"/>
      <c r="H401" s="41"/>
      <c r="I401" s="41"/>
      <c r="J401" s="41"/>
      <c r="K401" s="41"/>
      <c r="L401" s="41"/>
      <c r="M401" s="41"/>
      <c r="N401" s="41"/>
      <c r="O401" s="41"/>
      <c r="P401" s="41"/>
      <c r="Q401" s="64"/>
      <c r="R401" s="41"/>
      <c r="S401" s="41"/>
      <c r="T401" s="41"/>
      <c r="U401" s="41"/>
      <c r="V401" s="41"/>
      <c r="W401" s="41"/>
      <c r="X401" s="41"/>
      <c r="Y401" s="41"/>
      <c r="Z401" s="41"/>
      <c r="AA401" s="41"/>
    </row>
    <row r="402" spans="1:27" ht="15.75" hidden="1" customHeight="1" x14ac:dyDescent="0.25">
      <c r="A402" s="51"/>
      <c r="B402" s="41"/>
      <c r="C402" s="41"/>
      <c r="D402" s="41"/>
      <c r="E402" s="41"/>
      <c r="F402" s="41"/>
      <c r="G402" s="41"/>
      <c r="H402" s="41"/>
      <c r="I402" s="41"/>
      <c r="J402" s="41"/>
      <c r="K402" s="41"/>
      <c r="L402" s="41"/>
      <c r="M402" s="41"/>
      <c r="N402" s="41"/>
      <c r="O402" s="41"/>
      <c r="P402" s="41"/>
      <c r="Q402" s="64"/>
      <c r="R402" s="41"/>
      <c r="S402" s="41"/>
      <c r="T402" s="41"/>
      <c r="U402" s="41"/>
      <c r="V402" s="41"/>
      <c r="W402" s="41"/>
      <c r="X402" s="41"/>
      <c r="Y402" s="41"/>
      <c r="Z402" s="41"/>
      <c r="AA402" s="41"/>
    </row>
    <row r="403" spans="1:27" ht="15.75" hidden="1" customHeight="1" x14ac:dyDescent="0.25">
      <c r="A403" s="51"/>
      <c r="B403" s="41"/>
      <c r="C403" s="41"/>
      <c r="D403" s="41"/>
      <c r="E403" s="41"/>
      <c r="F403" s="41"/>
      <c r="G403" s="41"/>
      <c r="H403" s="41"/>
      <c r="I403" s="41"/>
      <c r="J403" s="41"/>
      <c r="K403" s="41"/>
      <c r="L403" s="41"/>
      <c r="M403" s="41"/>
      <c r="N403" s="41"/>
      <c r="O403" s="41"/>
      <c r="P403" s="41"/>
      <c r="Q403" s="64"/>
      <c r="R403" s="41"/>
      <c r="S403" s="41"/>
      <c r="T403" s="41"/>
      <c r="U403" s="41"/>
      <c r="V403" s="41"/>
      <c r="W403" s="41"/>
      <c r="X403" s="41"/>
      <c r="Y403" s="41"/>
      <c r="Z403" s="41"/>
      <c r="AA403" s="41"/>
    </row>
    <row r="404" spans="1:27" ht="15.75" hidden="1" customHeight="1" x14ac:dyDescent="0.25">
      <c r="A404" s="51"/>
      <c r="B404" s="41"/>
      <c r="C404" s="41"/>
      <c r="D404" s="41"/>
      <c r="E404" s="41"/>
      <c r="F404" s="41"/>
      <c r="G404" s="41"/>
      <c r="H404" s="41"/>
      <c r="I404" s="41"/>
      <c r="J404" s="41"/>
      <c r="K404" s="41"/>
      <c r="L404" s="41"/>
      <c r="M404" s="41"/>
      <c r="N404" s="41"/>
      <c r="O404" s="41"/>
      <c r="P404" s="41"/>
      <c r="Q404" s="64"/>
      <c r="R404" s="41"/>
      <c r="S404" s="41"/>
      <c r="T404" s="41"/>
      <c r="U404" s="41"/>
      <c r="V404" s="41"/>
      <c r="W404" s="41"/>
      <c r="X404" s="41"/>
      <c r="Y404" s="41"/>
      <c r="Z404" s="41"/>
      <c r="AA404" s="41"/>
    </row>
    <row r="405" spans="1:27" ht="15.75" hidden="1" customHeight="1" x14ac:dyDescent="0.25">
      <c r="A405" s="51"/>
      <c r="B405" s="41"/>
      <c r="C405" s="41"/>
      <c r="D405" s="41"/>
      <c r="E405" s="41"/>
      <c r="F405" s="41"/>
      <c r="G405" s="41"/>
      <c r="H405" s="41"/>
      <c r="I405" s="41"/>
      <c r="J405" s="41"/>
      <c r="K405" s="41"/>
      <c r="L405" s="41"/>
      <c r="M405" s="41"/>
      <c r="N405" s="41"/>
      <c r="O405" s="41"/>
      <c r="P405" s="41"/>
      <c r="Q405" s="64"/>
      <c r="R405" s="41"/>
      <c r="S405" s="41"/>
      <c r="T405" s="41"/>
      <c r="U405" s="41"/>
      <c r="V405" s="41"/>
      <c r="W405" s="41"/>
      <c r="X405" s="41"/>
      <c r="Y405" s="41"/>
      <c r="Z405" s="41"/>
      <c r="AA405" s="41"/>
    </row>
    <row r="406" spans="1:27" ht="15.75" hidden="1" customHeight="1" x14ac:dyDescent="0.25">
      <c r="A406" s="51"/>
      <c r="B406" s="41"/>
      <c r="C406" s="41"/>
      <c r="D406" s="41"/>
      <c r="E406" s="41"/>
      <c r="F406" s="41"/>
      <c r="G406" s="41"/>
      <c r="H406" s="41"/>
      <c r="I406" s="41"/>
      <c r="J406" s="41"/>
      <c r="K406" s="41"/>
      <c r="L406" s="41"/>
      <c r="M406" s="41"/>
      <c r="N406" s="41"/>
      <c r="O406" s="41"/>
      <c r="P406" s="41"/>
      <c r="Q406" s="64"/>
      <c r="R406" s="41"/>
      <c r="S406" s="41"/>
      <c r="T406" s="41"/>
      <c r="U406" s="41"/>
      <c r="V406" s="41"/>
      <c r="W406" s="41"/>
      <c r="X406" s="41"/>
      <c r="Y406" s="41"/>
      <c r="Z406" s="41"/>
      <c r="AA406" s="41"/>
    </row>
    <row r="407" spans="1:27" ht="15.75" hidden="1" customHeight="1" x14ac:dyDescent="0.25">
      <c r="A407" s="51"/>
      <c r="B407" s="41"/>
      <c r="C407" s="41"/>
      <c r="D407" s="41"/>
      <c r="E407" s="41"/>
      <c r="F407" s="41"/>
      <c r="G407" s="41"/>
      <c r="H407" s="41"/>
      <c r="I407" s="41"/>
      <c r="J407" s="41"/>
      <c r="K407" s="41"/>
      <c r="L407" s="41"/>
      <c r="M407" s="41"/>
      <c r="N407" s="41"/>
      <c r="O407" s="41"/>
      <c r="P407" s="41"/>
      <c r="Q407" s="64"/>
      <c r="R407" s="41"/>
      <c r="S407" s="41"/>
      <c r="T407" s="41"/>
      <c r="U407" s="41"/>
      <c r="V407" s="41"/>
      <c r="W407" s="41"/>
      <c r="X407" s="41"/>
      <c r="Y407" s="41"/>
      <c r="Z407" s="41"/>
      <c r="AA407" s="41"/>
    </row>
    <row r="408" spans="1:27" ht="15.75" hidden="1" customHeight="1" x14ac:dyDescent="0.25">
      <c r="A408" s="51"/>
      <c r="B408" s="41"/>
      <c r="C408" s="41"/>
      <c r="D408" s="41"/>
      <c r="E408" s="41"/>
      <c r="F408" s="41"/>
      <c r="G408" s="41"/>
      <c r="H408" s="41"/>
      <c r="I408" s="41"/>
      <c r="J408" s="41"/>
      <c r="K408" s="41"/>
      <c r="L408" s="41"/>
      <c r="M408" s="41"/>
      <c r="N408" s="41"/>
      <c r="O408" s="41"/>
      <c r="P408" s="41"/>
      <c r="Q408" s="64"/>
      <c r="R408" s="41"/>
      <c r="S408" s="41"/>
      <c r="T408" s="41"/>
      <c r="U408" s="41"/>
      <c r="V408" s="41"/>
      <c r="W408" s="41"/>
      <c r="X408" s="41"/>
      <c r="Y408" s="41"/>
      <c r="Z408" s="41"/>
      <c r="AA408" s="41"/>
    </row>
    <row r="409" spans="1:27" ht="15.75" hidden="1" customHeight="1" x14ac:dyDescent="0.25">
      <c r="A409" s="51"/>
      <c r="B409" s="41"/>
      <c r="C409" s="41"/>
      <c r="D409" s="41"/>
      <c r="E409" s="41"/>
      <c r="F409" s="41"/>
      <c r="G409" s="41"/>
      <c r="H409" s="41"/>
      <c r="I409" s="41"/>
      <c r="J409" s="41"/>
      <c r="K409" s="41"/>
      <c r="L409" s="41"/>
      <c r="M409" s="41"/>
      <c r="N409" s="41"/>
      <c r="O409" s="41"/>
      <c r="P409" s="41"/>
      <c r="Q409" s="64"/>
      <c r="R409" s="41"/>
      <c r="S409" s="41"/>
      <c r="T409" s="41"/>
      <c r="U409" s="41"/>
      <c r="V409" s="41"/>
      <c r="W409" s="41"/>
      <c r="X409" s="41"/>
      <c r="Y409" s="41"/>
      <c r="Z409" s="41"/>
      <c r="AA409" s="41"/>
    </row>
    <row r="410" spans="1:27" ht="15.75" hidden="1" customHeight="1" x14ac:dyDescent="0.25">
      <c r="A410" s="51"/>
      <c r="B410" s="41"/>
      <c r="C410" s="41"/>
      <c r="D410" s="41"/>
      <c r="E410" s="41"/>
      <c r="F410" s="41"/>
      <c r="G410" s="41"/>
      <c r="H410" s="41"/>
      <c r="I410" s="41"/>
      <c r="J410" s="41"/>
      <c r="K410" s="41"/>
      <c r="L410" s="41"/>
      <c r="M410" s="41"/>
      <c r="N410" s="41"/>
      <c r="O410" s="41"/>
      <c r="P410" s="41"/>
      <c r="Q410" s="64"/>
      <c r="R410" s="41"/>
      <c r="S410" s="41"/>
      <c r="T410" s="41"/>
      <c r="U410" s="41"/>
      <c r="V410" s="41"/>
      <c r="W410" s="41"/>
      <c r="X410" s="41"/>
      <c r="Y410" s="41"/>
      <c r="Z410" s="41"/>
      <c r="AA410" s="41"/>
    </row>
    <row r="411" spans="1:27" ht="15.75" hidden="1" customHeight="1" x14ac:dyDescent="0.25">
      <c r="A411" s="51"/>
      <c r="B411" s="41"/>
      <c r="C411" s="41"/>
      <c r="D411" s="41"/>
      <c r="E411" s="41"/>
      <c r="F411" s="41"/>
      <c r="G411" s="41"/>
      <c r="H411" s="41"/>
      <c r="I411" s="41"/>
      <c r="J411" s="41"/>
      <c r="K411" s="41"/>
      <c r="L411" s="41"/>
      <c r="M411" s="41"/>
      <c r="N411" s="41"/>
      <c r="O411" s="41"/>
      <c r="P411" s="41"/>
      <c r="Q411" s="64"/>
      <c r="R411" s="41"/>
      <c r="S411" s="41"/>
      <c r="T411" s="41"/>
      <c r="U411" s="41"/>
      <c r="V411" s="41"/>
      <c r="W411" s="41"/>
      <c r="X411" s="41"/>
      <c r="Y411" s="41"/>
      <c r="Z411" s="41"/>
      <c r="AA411" s="41"/>
    </row>
    <row r="412" spans="1:27" ht="15.75" hidden="1" customHeight="1" x14ac:dyDescent="0.25">
      <c r="A412" s="51"/>
      <c r="B412" s="41"/>
      <c r="C412" s="41"/>
      <c r="D412" s="41"/>
      <c r="E412" s="41"/>
      <c r="F412" s="41"/>
      <c r="G412" s="41"/>
      <c r="H412" s="41"/>
      <c r="I412" s="41"/>
      <c r="J412" s="41"/>
      <c r="K412" s="41"/>
      <c r="L412" s="41"/>
      <c r="M412" s="41"/>
      <c r="N412" s="41"/>
      <c r="O412" s="41"/>
      <c r="P412" s="41"/>
      <c r="Q412" s="64"/>
      <c r="R412" s="41"/>
      <c r="S412" s="41"/>
      <c r="T412" s="41"/>
      <c r="U412" s="41"/>
      <c r="V412" s="41"/>
      <c r="W412" s="41"/>
      <c r="X412" s="41"/>
      <c r="Y412" s="41"/>
      <c r="Z412" s="41"/>
      <c r="AA412" s="41"/>
    </row>
    <row r="413" spans="1:27" ht="15.75" hidden="1" customHeight="1" x14ac:dyDescent="0.25">
      <c r="A413" s="51"/>
      <c r="B413" s="41"/>
      <c r="C413" s="41"/>
      <c r="D413" s="41"/>
      <c r="E413" s="41"/>
      <c r="F413" s="41"/>
      <c r="G413" s="41"/>
      <c r="H413" s="41"/>
      <c r="I413" s="41"/>
      <c r="J413" s="41"/>
      <c r="K413" s="41"/>
      <c r="L413" s="41"/>
      <c r="M413" s="41"/>
      <c r="N413" s="41"/>
      <c r="O413" s="41"/>
      <c r="P413" s="41"/>
      <c r="Q413" s="64"/>
      <c r="R413" s="41"/>
      <c r="S413" s="41"/>
      <c r="T413" s="41"/>
      <c r="U413" s="41"/>
      <c r="V413" s="41"/>
      <c r="W413" s="41"/>
      <c r="X413" s="41"/>
      <c r="Y413" s="41"/>
      <c r="Z413" s="41"/>
      <c r="AA413" s="41"/>
    </row>
    <row r="414" spans="1:27" ht="15.75" hidden="1" customHeight="1" x14ac:dyDescent="0.25">
      <c r="A414" s="51"/>
      <c r="B414" s="41"/>
      <c r="C414" s="41"/>
      <c r="D414" s="41"/>
      <c r="E414" s="41"/>
      <c r="F414" s="41"/>
      <c r="G414" s="41"/>
      <c r="H414" s="41"/>
      <c r="I414" s="41"/>
      <c r="J414" s="41"/>
      <c r="K414" s="41"/>
      <c r="L414" s="41"/>
      <c r="M414" s="41"/>
      <c r="N414" s="41"/>
      <c r="O414" s="41"/>
      <c r="P414" s="41"/>
      <c r="Q414" s="64"/>
      <c r="R414" s="41"/>
      <c r="S414" s="41"/>
      <c r="T414" s="41"/>
      <c r="U414" s="41"/>
      <c r="V414" s="41"/>
      <c r="W414" s="41"/>
      <c r="X414" s="41"/>
      <c r="Y414" s="41"/>
      <c r="Z414" s="41"/>
      <c r="AA414" s="41"/>
    </row>
    <row r="415" spans="1:27" ht="15.75" hidden="1" customHeight="1" x14ac:dyDescent="0.25">
      <c r="A415" s="51"/>
      <c r="B415" s="41"/>
      <c r="C415" s="41"/>
      <c r="D415" s="41"/>
      <c r="E415" s="41"/>
      <c r="F415" s="41"/>
      <c r="G415" s="41"/>
      <c r="H415" s="41"/>
      <c r="I415" s="41"/>
      <c r="J415" s="41"/>
      <c r="K415" s="41"/>
      <c r="L415" s="41"/>
      <c r="M415" s="41"/>
      <c r="N415" s="41"/>
      <c r="O415" s="41"/>
      <c r="P415" s="41"/>
      <c r="Q415" s="64"/>
      <c r="R415" s="41"/>
      <c r="S415" s="41"/>
      <c r="T415" s="41"/>
      <c r="U415" s="41"/>
      <c r="V415" s="41"/>
      <c r="W415" s="41"/>
      <c r="X415" s="41"/>
      <c r="Y415" s="41"/>
      <c r="Z415" s="41"/>
      <c r="AA415" s="41"/>
    </row>
    <row r="416" spans="1:27" ht="15.75" hidden="1" customHeight="1" x14ac:dyDescent="0.25">
      <c r="A416" s="51"/>
      <c r="B416" s="41"/>
      <c r="C416" s="41"/>
      <c r="D416" s="41"/>
      <c r="E416" s="41"/>
      <c r="F416" s="41"/>
      <c r="G416" s="41"/>
      <c r="H416" s="41"/>
      <c r="I416" s="41"/>
      <c r="J416" s="41"/>
      <c r="K416" s="41"/>
      <c r="L416" s="41"/>
      <c r="M416" s="41"/>
      <c r="N416" s="41"/>
      <c r="O416" s="41"/>
      <c r="P416" s="41"/>
      <c r="Q416" s="64"/>
      <c r="R416" s="41"/>
      <c r="S416" s="41"/>
      <c r="T416" s="41"/>
      <c r="U416" s="41"/>
      <c r="V416" s="41"/>
      <c r="W416" s="41"/>
      <c r="X416" s="41"/>
      <c r="Y416" s="41"/>
      <c r="Z416" s="41"/>
      <c r="AA416" s="41"/>
    </row>
    <row r="417" spans="1:27" ht="15.75" hidden="1" customHeight="1" x14ac:dyDescent="0.25">
      <c r="A417" s="51"/>
      <c r="B417" s="41"/>
      <c r="C417" s="41"/>
      <c r="D417" s="41"/>
      <c r="E417" s="41"/>
      <c r="F417" s="41"/>
      <c r="G417" s="41"/>
      <c r="H417" s="41"/>
      <c r="I417" s="41"/>
      <c r="J417" s="41"/>
      <c r="K417" s="41"/>
      <c r="L417" s="41"/>
      <c r="M417" s="41"/>
      <c r="N417" s="41"/>
      <c r="O417" s="41"/>
      <c r="P417" s="41"/>
      <c r="Q417" s="64"/>
      <c r="R417" s="41"/>
      <c r="S417" s="41"/>
      <c r="T417" s="41"/>
      <c r="U417" s="41"/>
      <c r="V417" s="41"/>
      <c r="W417" s="41"/>
      <c r="X417" s="41"/>
      <c r="Y417" s="41"/>
      <c r="Z417" s="41"/>
      <c r="AA417" s="41"/>
    </row>
    <row r="418" spans="1:27" ht="15.75" hidden="1" customHeight="1" x14ac:dyDescent="0.25">
      <c r="A418" s="51"/>
      <c r="B418" s="41"/>
      <c r="C418" s="41"/>
      <c r="D418" s="41"/>
      <c r="E418" s="41"/>
      <c r="F418" s="41"/>
      <c r="G418" s="41"/>
      <c r="H418" s="41"/>
      <c r="I418" s="41"/>
      <c r="J418" s="41"/>
      <c r="K418" s="41"/>
      <c r="L418" s="41"/>
      <c r="M418" s="41"/>
      <c r="N418" s="41"/>
      <c r="O418" s="41"/>
      <c r="P418" s="41"/>
      <c r="Q418" s="64"/>
      <c r="R418" s="41"/>
      <c r="S418" s="41"/>
      <c r="T418" s="41"/>
      <c r="U418" s="41"/>
      <c r="V418" s="41"/>
      <c r="W418" s="41"/>
      <c r="X418" s="41"/>
      <c r="Y418" s="41"/>
      <c r="Z418" s="41"/>
      <c r="AA418" s="41"/>
    </row>
    <row r="419" spans="1:27" ht="15.75" hidden="1" customHeight="1" x14ac:dyDescent="0.25">
      <c r="A419" s="51"/>
      <c r="B419" s="41"/>
      <c r="C419" s="41"/>
      <c r="D419" s="41"/>
      <c r="E419" s="41"/>
      <c r="F419" s="41"/>
      <c r="G419" s="41"/>
      <c r="H419" s="41"/>
      <c r="I419" s="41"/>
      <c r="J419" s="41"/>
      <c r="K419" s="41"/>
      <c r="L419" s="41"/>
      <c r="M419" s="41"/>
      <c r="N419" s="41"/>
      <c r="O419" s="41"/>
      <c r="P419" s="41"/>
      <c r="Q419" s="64"/>
      <c r="R419" s="41"/>
      <c r="S419" s="41"/>
      <c r="T419" s="41"/>
      <c r="U419" s="41"/>
      <c r="V419" s="41"/>
      <c r="W419" s="41"/>
      <c r="X419" s="41"/>
      <c r="Y419" s="41"/>
      <c r="Z419" s="41"/>
      <c r="AA419" s="41"/>
    </row>
    <row r="420" spans="1:27" ht="15.75" hidden="1" customHeight="1" x14ac:dyDescent="0.25">
      <c r="A420" s="51"/>
      <c r="B420" s="41"/>
      <c r="C420" s="41"/>
      <c r="D420" s="41"/>
      <c r="E420" s="41"/>
      <c r="F420" s="41"/>
      <c r="G420" s="41"/>
      <c r="H420" s="41"/>
      <c r="I420" s="41"/>
      <c r="J420" s="41"/>
      <c r="K420" s="41"/>
      <c r="L420" s="41"/>
      <c r="M420" s="41"/>
      <c r="N420" s="41"/>
      <c r="O420" s="41"/>
      <c r="P420" s="41"/>
      <c r="Q420" s="64"/>
      <c r="R420" s="41"/>
      <c r="S420" s="41"/>
      <c r="T420" s="41"/>
      <c r="U420" s="41"/>
      <c r="V420" s="41"/>
      <c r="W420" s="41"/>
      <c r="X420" s="41"/>
      <c r="Y420" s="41"/>
      <c r="Z420" s="41"/>
      <c r="AA420" s="41"/>
    </row>
    <row r="421" spans="1:27" ht="15.75" hidden="1" customHeight="1" x14ac:dyDescent="0.25">
      <c r="A421" s="51"/>
      <c r="B421" s="41"/>
      <c r="C421" s="41"/>
      <c r="D421" s="41"/>
      <c r="E421" s="41"/>
      <c r="F421" s="41"/>
      <c r="G421" s="41"/>
      <c r="H421" s="41"/>
      <c r="I421" s="41"/>
      <c r="J421" s="41"/>
      <c r="K421" s="41"/>
      <c r="L421" s="41"/>
      <c r="M421" s="41"/>
      <c r="N421" s="41"/>
      <c r="O421" s="41"/>
      <c r="P421" s="41"/>
      <c r="Q421" s="64"/>
      <c r="R421" s="41"/>
      <c r="S421" s="41"/>
      <c r="T421" s="41"/>
      <c r="U421" s="41"/>
      <c r="V421" s="41"/>
      <c r="W421" s="41"/>
      <c r="X421" s="41"/>
      <c r="Y421" s="41"/>
      <c r="Z421" s="41"/>
      <c r="AA421" s="41"/>
    </row>
    <row r="422" spans="1:27" ht="15.75" hidden="1" customHeight="1" x14ac:dyDescent="0.25">
      <c r="A422" s="51"/>
      <c r="B422" s="41"/>
      <c r="C422" s="41"/>
      <c r="D422" s="41"/>
      <c r="E422" s="41"/>
      <c r="F422" s="41"/>
      <c r="G422" s="41"/>
      <c r="H422" s="41"/>
      <c r="I422" s="41"/>
      <c r="J422" s="41"/>
      <c r="K422" s="41"/>
      <c r="L422" s="41"/>
      <c r="M422" s="41"/>
      <c r="N422" s="41"/>
      <c r="O422" s="41"/>
      <c r="P422" s="41"/>
      <c r="Q422" s="64"/>
      <c r="R422" s="41"/>
      <c r="S422" s="41"/>
      <c r="T422" s="41"/>
      <c r="U422" s="41"/>
      <c r="V422" s="41"/>
      <c r="W422" s="41"/>
      <c r="X422" s="41"/>
      <c r="Y422" s="41"/>
      <c r="Z422" s="41"/>
      <c r="AA422" s="41"/>
    </row>
    <row r="423" spans="1:27" ht="15.75" hidden="1" customHeight="1" x14ac:dyDescent="0.25">
      <c r="A423" s="51"/>
      <c r="B423" s="41"/>
      <c r="C423" s="41"/>
      <c r="D423" s="41"/>
      <c r="E423" s="41"/>
      <c r="F423" s="41"/>
      <c r="G423" s="41"/>
      <c r="H423" s="41"/>
      <c r="I423" s="41"/>
      <c r="J423" s="41"/>
      <c r="K423" s="41"/>
      <c r="L423" s="41"/>
      <c r="M423" s="41"/>
      <c r="N423" s="41"/>
      <c r="O423" s="41"/>
      <c r="P423" s="41"/>
      <c r="Q423" s="64"/>
      <c r="R423" s="41"/>
      <c r="S423" s="41"/>
      <c r="T423" s="41"/>
      <c r="U423" s="41"/>
      <c r="V423" s="41"/>
      <c r="W423" s="41"/>
      <c r="X423" s="41"/>
      <c r="Y423" s="41"/>
      <c r="Z423" s="41"/>
      <c r="AA423" s="41"/>
    </row>
    <row r="424" spans="1:27" ht="15.75" hidden="1" customHeight="1" x14ac:dyDescent="0.25">
      <c r="A424" s="51"/>
      <c r="B424" s="41"/>
      <c r="C424" s="41"/>
      <c r="D424" s="41"/>
      <c r="E424" s="41"/>
      <c r="F424" s="41"/>
      <c r="G424" s="41"/>
      <c r="H424" s="41"/>
      <c r="I424" s="41"/>
      <c r="J424" s="41"/>
      <c r="K424" s="41"/>
      <c r="L424" s="41"/>
      <c r="M424" s="41"/>
      <c r="N424" s="41"/>
      <c r="O424" s="41"/>
      <c r="P424" s="41"/>
      <c r="Q424" s="64"/>
      <c r="R424" s="41"/>
      <c r="S424" s="41"/>
      <c r="T424" s="41"/>
      <c r="U424" s="41"/>
      <c r="V424" s="41"/>
      <c r="W424" s="41"/>
      <c r="X424" s="41"/>
      <c r="Y424" s="41"/>
      <c r="Z424" s="41"/>
      <c r="AA424" s="41"/>
    </row>
    <row r="425" spans="1:27" ht="15.75" hidden="1" customHeight="1" x14ac:dyDescent="0.25">
      <c r="A425" s="51"/>
      <c r="B425" s="41"/>
      <c r="C425" s="41"/>
      <c r="D425" s="41"/>
      <c r="E425" s="41"/>
      <c r="F425" s="41"/>
      <c r="G425" s="41"/>
      <c r="H425" s="41"/>
      <c r="I425" s="41"/>
      <c r="J425" s="41"/>
      <c r="K425" s="41"/>
      <c r="L425" s="41"/>
      <c r="M425" s="41"/>
      <c r="N425" s="41"/>
      <c r="O425" s="41"/>
      <c r="P425" s="41"/>
      <c r="Q425" s="64"/>
      <c r="R425" s="41"/>
      <c r="S425" s="41"/>
      <c r="T425" s="41"/>
      <c r="U425" s="41"/>
      <c r="V425" s="41"/>
      <c r="W425" s="41"/>
      <c r="X425" s="41"/>
      <c r="Y425" s="41"/>
      <c r="Z425" s="41"/>
      <c r="AA425" s="41"/>
    </row>
    <row r="426" spans="1:27" ht="15.75" hidden="1" customHeight="1" x14ac:dyDescent="0.25">
      <c r="A426" s="51"/>
      <c r="B426" s="41"/>
      <c r="C426" s="41"/>
      <c r="D426" s="41"/>
      <c r="E426" s="41"/>
      <c r="F426" s="41"/>
      <c r="G426" s="41"/>
      <c r="H426" s="41"/>
      <c r="I426" s="41"/>
      <c r="J426" s="41"/>
      <c r="K426" s="41"/>
      <c r="L426" s="41"/>
      <c r="M426" s="41"/>
      <c r="N426" s="41"/>
      <c r="O426" s="41"/>
      <c r="P426" s="41"/>
      <c r="Q426" s="64"/>
      <c r="R426" s="41"/>
      <c r="S426" s="41"/>
      <c r="T426" s="41"/>
      <c r="U426" s="41"/>
      <c r="V426" s="41"/>
      <c r="W426" s="41"/>
      <c r="X426" s="41"/>
      <c r="Y426" s="41"/>
      <c r="Z426" s="41"/>
      <c r="AA426" s="41"/>
    </row>
    <row r="427" spans="1:27" ht="15.75" hidden="1" customHeight="1" x14ac:dyDescent="0.25">
      <c r="A427" s="51"/>
      <c r="B427" s="41"/>
      <c r="C427" s="41"/>
      <c r="D427" s="41"/>
      <c r="E427" s="41"/>
      <c r="F427" s="41"/>
      <c r="G427" s="41"/>
      <c r="H427" s="41"/>
      <c r="I427" s="41"/>
      <c r="J427" s="41"/>
      <c r="K427" s="41"/>
      <c r="L427" s="41"/>
      <c r="M427" s="41"/>
      <c r="N427" s="41"/>
      <c r="O427" s="41"/>
      <c r="P427" s="41"/>
      <c r="Q427" s="64"/>
      <c r="R427" s="41"/>
      <c r="S427" s="41"/>
      <c r="T427" s="41"/>
      <c r="U427" s="41"/>
      <c r="V427" s="41"/>
      <c r="W427" s="41"/>
      <c r="X427" s="41"/>
      <c r="Y427" s="41"/>
      <c r="Z427" s="41"/>
      <c r="AA427" s="41"/>
    </row>
    <row r="428" spans="1:27" ht="15.75" hidden="1" customHeight="1" x14ac:dyDescent="0.25">
      <c r="A428" s="51"/>
      <c r="B428" s="41"/>
      <c r="C428" s="41"/>
      <c r="D428" s="41"/>
      <c r="E428" s="41"/>
      <c r="F428" s="41"/>
      <c r="G428" s="41"/>
      <c r="H428" s="41"/>
      <c r="I428" s="41"/>
      <c r="J428" s="41"/>
      <c r="K428" s="41"/>
      <c r="L428" s="41"/>
      <c r="M428" s="41"/>
      <c r="N428" s="41"/>
      <c r="O428" s="41"/>
      <c r="P428" s="41"/>
      <c r="Q428" s="64"/>
      <c r="R428" s="41"/>
      <c r="S428" s="41"/>
      <c r="T428" s="41"/>
      <c r="U428" s="41"/>
      <c r="V428" s="41"/>
      <c r="W428" s="41"/>
      <c r="X428" s="41"/>
      <c r="Y428" s="41"/>
      <c r="Z428" s="41"/>
      <c r="AA428" s="41"/>
    </row>
    <row r="429" spans="1:27" ht="15.75" hidden="1" customHeight="1" x14ac:dyDescent="0.25">
      <c r="A429" s="51"/>
      <c r="B429" s="41"/>
      <c r="C429" s="41"/>
      <c r="D429" s="41"/>
      <c r="E429" s="41"/>
      <c r="F429" s="41"/>
      <c r="G429" s="41"/>
      <c r="H429" s="41"/>
      <c r="I429" s="41"/>
      <c r="J429" s="41"/>
      <c r="K429" s="41"/>
      <c r="L429" s="41"/>
      <c r="M429" s="41"/>
      <c r="N429" s="41"/>
      <c r="O429" s="41"/>
      <c r="P429" s="41"/>
      <c r="Q429" s="64"/>
      <c r="R429" s="41"/>
      <c r="S429" s="41"/>
      <c r="T429" s="41"/>
      <c r="U429" s="41"/>
      <c r="V429" s="41"/>
      <c r="W429" s="41"/>
      <c r="X429" s="41"/>
      <c r="Y429" s="41"/>
      <c r="Z429" s="41"/>
      <c r="AA429" s="41"/>
    </row>
    <row r="430" spans="1:27" ht="15.75" hidden="1" customHeight="1" x14ac:dyDescent="0.25">
      <c r="A430" s="51"/>
      <c r="B430" s="41"/>
      <c r="C430" s="41"/>
      <c r="D430" s="41"/>
      <c r="E430" s="41"/>
      <c r="F430" s="41"/>
      <c r="G430" s="41"/>
      <c r="H430" s="41"/>
      <c r="I430" s="41"/>
      <c r="J430" s="41"/>
      <c r="K430" s="41"/>
      <c r="L430" s="41"/>
      <c r="M430" s="41"/>
      <c r="N430" s="41"/>
      <c r="O430" s="41"/>
      <c r="P430" s="41"/>
      <c r="Q430" s="64"/>
      <c r="R430" s="41"/>
      <c r="S430" s="41"/>
      <c r="T430" s="41"/>
      <c r="U430" s="41"/>
      <c r="V430" s="41"/>
      <c r="W430" s="41"/>
      <c r="X430" s="41"/>
      <c r="Y430" s="41"/>
      <c r="Z430" s="41"/>
      <c r="AA430" s="41"/>
    </row>
    <row r="431" spans="1:27" ht="15.75" hidden="1" customHeight="1" x14ac:dyDescent="0.25">
      <c r="A431" s="51"/>
      <c r="B431" s="41"/>
      <c r="C431" s="41"/>
      <c r="D431" s="41"/>
      <c r="E431" s="41"/>
      <c r="F431" s="41"/>
      <c r="G431" s="41"/>
      <c r="H431" s="41"/>
      <c r="I431" s="41"/>
      <c r="J431" s="41"/>
      <c r="K431" s="41"/>
      <c r="L431" s="41"/>
      <c r="M431" s="41"/>
      <c r="N431" s="41"/>
      <c r="O431" s="41"/>
      <c r="P431" s="41"/>
      <c r="Q431" s="64"/>
      <c r="R431" s="41"/>
      <c r="S431" s="41"/>
      <c r="T431" s="41"/>
      <c r="U431" s="41"/>
      <c r="V431" s="41"/>
      <c r="W431" s="41"/>
      <c r="X431" s="41"/>
      <c r="Y431" s="41"/>
      <c r="Z431" s="41"/>
      <c r="AA431" s="41"/>
    </row>
    <row r="432" spans="1:27" ht="15.75" hidden="1" customHeight="1" x14ac:dyDescent="0.25">
      <c r="A432" s="51"/>
      <c r="B432" s="41"/>
      <c r="C432" s="41"/>
      <c r="D432" s="41"/>
      <c r="E432" s="41"/>
      <c r="F432" s="41"/>
      <c r="G432" s="41"/>
      <c r="H432" s="41"/>
      <c r="I432" s="41"/>
      <c r="J432" s="41"/>
      <c r="K432" s="41"/>
      <c r="L432" s="41"/>
      <c r="M432" s="41"/>
      <c r="N432" s="41"/>
      <c r="O432" s="41"/>
      <c r="P432" s="41"/>
      <c r="Q432" s="64"/>
      <c r="R432" s="41"/>
      <c r="S432" s="41"/>
      <c r="T432" s="41"/>
      <c r="U432" s="41"/>
      <c r="V432" s="41"/>
      <c r="W432" s="41"/>
      <c r="X432" s="41"/>
      <c r="Y432" s="41"/>
      <c r="Z432" s="41"/>
      <c r="AA432" s="41"/>
    </row>
    <row r="433" spans="1:27" ht="15.75" hidden="1" customHeight="1" x14ac:dyDescent="0.25">
      <c r="A433" s="51"/>
      <c r="B433" s="41"/>
      <c r="C433" s="41"/>
      <c r="D433" s="41"/>
      <c r="E433" s="41"/>
      <c r="F433" s="41"/>
      <c r="G433" s="41"/>
      <c r="H433" s="41"/>
      <c r="I433" s="41"/>
      <c r="J433" s="41"/>
      <c r="K433" s="41"/>
      <c r="L433" s="41"/>
      <c r="M433" s="41"/>
      <c r="N433" s="41"/>
      <c r="O433" s="41"/>
      <c r="P433" s="41"/>
      <c r="Q433" s="64"/>
      <c r="R433" s="41"/>
      <c r="S433" s="41"/>
      <c r="T433" s="41"/>
      <c r="U433" s="41"/>
      <c r="V433" s="41"/>
      <c r="W433" s="41"/>
      <c r="X433" s="41"/>
      <c r="Y433" s="41"/>
      <c r="Z433" s="41"/>
      <c r="AA433" s="41"/>
    </row>
    <row r="434" spans="1:27" ht="15.75" hidden="1" customHeight="1" x14ac:dyDescent="0.25">
      <c r="A434" s="51"/>
      <c r="B434" s="41"/>
      <c r="C434" s="41"/>
      <c r="D434" s="41"/>
      <c r="E434" s="41"/>
      <c r="F434" s="41"/>
      <c r="G434" s="41"/>
      <c r="H434" s="41"/>
      <c r="I434" s="41"/>
      <c r="J434" s="41"/>
      <c r="K434" s="41"/>
      <c r="L434" s="41"/>
      <c r="M434" s="41"/>
      <c r="N434" s="41"/>
      <c r="O434" s="41"/>
      <c r="P434" s="41"/>
      <c r="Q434" s="64"/>
      <c r="R434" s="41"/>
      <c r="S434" s="41"/>
      <c r="T434" s="41"/>
      <c r="U434" s="41"/>
      <c r="V434" s="41"/>
      <c r="W434" s="41"/>
      <c r="X434" s="41"/>
      <c r="Y434" s="41"/>
      <c r="Z434" s="41"/>
      <c r="AA434" s="41"/>
    </row>
    <row r="435" spans="1:27" ht="15.75" hidden="1" customHeight="1" x14ac:dyDescent="0.25">
      <c r="A435" s="51"/>
      <c r="B435" s="41"/>
      <c r="C435" s="41"/>
      <c r="D435" s="41"/>
      <c r="E435" s="41"/>
      <c r="F435" s="41"/>
      <c r="G435" s="41"/>
      <c r="H435" s="41"/>
      <c r="I435" s="41"/>
      <c r="J435" s="41"/>
      <c r="K435" s="41"/>
      <c r="L435" s="41"/>
      <c r="M435" s="41"/>
      <c r="N435" s="41"/>
      <c r="O435" s="41"/>
      <c r="P435" s="41"/>
      <c r="Q435" s="64"/>
      <c r="R435" s="41"/>
      <c r="S435" s="41"/>
      <c r="T435" s="41"/>
      <c r="U435" s="41"/>
      <c r="V435" s="41"/>
      <c r="W435" s="41"/>
      <c r="X435" s="41"/>
      <c r="Y435" s="41"/>
      <c r="Z435" s="41"/>
      <c r="AA435" s="41"/>
    </row>
    <row r="436" spans="1:27" ht="15.75" hidden="1" customHeight="1" x14ac:dyDescent="0.25">
      <c r="A436" s="51"/>
      <c r="B436" s="41"/>
      <c r="C436" s="41"/>
      <c r="D436" s="41"/>
      <c r="E436" s="41"/>
      <c r="F436" s="41"/>
      <c r="G436" s="41"/>
      <c r="H436" s="41"/>
      <c r="I436" s="41"/>
      <c r="J436" s="41"/>
      <c r="K436" s="41"/>
      <c r="L436" s="41"/>
      <c r="M436" s="41"/>
      <c r="N436" s="41"/>
      <c r="O436" s="41"/>
      <c r="P436" s="41"/>
      <c r="Q436" s="64"/>
      <c r="R436" s="41"/>
      <c r="S436" s="41"/>
      <c r="T436" s="41"/>
      <c r="U436" s="41"/>
      <c r="V436" s="41"/>
      <c r="W436" s="41"/>
      <c r="X436" s="41"/>
      <c r="Y436" s="41"/>
      <c r="Z436" s="41"/>
      <c r="AA436" s="41"/>
    </row>
    <row r="437" spans="1:27" ht="15.75" hidden="1" customHeight="1" x14ac:dyDescent="0.25">
      <c r="A437" s="51"/>
      <c r="B437" s="41"/>
      <c r="C437" s="41"/>
      <c r="D437" s="41"/>
      <c r="E437" s="41"/>
      <c r="F437" s="41"/>
      <c r="G437" s="41"/>
      <c r="H437" s="41"/>
      <c r="I437" s="41"/>
      <c r="J437" s="41"/>
      <c r="K437" s="41"/>
      <c r="L437" s="41"/>
      <c r="M437" s="41"/>
      <c r="N437" s="41"/>
      <c r="O437" s="41"/>
      <c r="P437" s="41"/>
      <c r="Q437" s="64"/>
      <c r="R437" s="41"/>
      <c r="S437" s="41"/>
      <c r="T437" s="41"/>
      <c r="U437" s="41"/>
      <c r="V437" s="41"/>
      <c r="W437" s="41"/>
      <c r="X437" s="41"/>
      <c r="Y437" s="41"/>
      <c r="Z437" s="41"/>
      <c r="AA437" s="41"/>
    </row>
    <row r="438" spans="1:27" ht="15.75" hidden="1" customHeight="1" x14ac:dyDescent="0.25">
      <c r="A438" s="51"/>
      <c r="B438" s="41"/>
      <c r="C438" s="41"/>
      <c r="D438" s="41"/>
      <c r="E438" s="41"/>
      <c r="F438" s="41"/>
      <c r="G438" s="41"/>
      <c r="H438" s="41"/>
      <c r="I438" s="41"/>
      <c r="J438" s="41"/>
      <c r="K438" s="41"/>
      <c r="L438" s="41"/>
      <c r="M438" s="41"/>
      <c r="N438" s="41"/>
      <c r="O438" s="41"/>
      <c r="P438" s="41"/>
      <c r="Q438" s="64"/>
      <c r="R438" s="41"/>
      <c r="S438" s="41"/>
      <c r="T438" s="41"/>
      <c r="U438" s="41"/>
      <c r="V438" s="41"/>
      <c r="W438" s="41"/>
      <c r="X438" s="41"/>
      <c r="Y438" s="41"/>
      <c r="Z438" s="41"/>
      <c r="AA438" s="41"/>
    </row>
    <row r="439" spans="1:27" ht="15.75" hidden="1" customHeight="1" x14ac:dyDescent="0.25">
      <c r="A439" s="51"/>
      <c r="B439" s="41"/>
      <c r="C439" s="41"/>
      <c r="D439" s="41"/>
      <c r="E439" s="41"/>
      <c r="F439" s="41"/>
      <c r="G439" s="41"/>
      <c r="H439" s="41"/>
      <c r="I439" s="41"/>
      <c r="J439" s="41"/>
      <c r="K439" s="41"/>
      <c r="L439" s="41"/>
      <c r="M439" s="41"/>
      <c r="N439" s="41"/>
      <c r="O439" s="41"/>
      <c r="P439" s="41"/>
      <c r="Q439" s="64"/>
      <c r="R439" s="41"/>
      <c r="S439" s="41"/>
      <c r="T439" s="41"/>
      <c r="U439" s="41"/>
      <c r="V439" s="41"/>
      <c r="W439" s="41"/>
      <c r="X439" s="41"/>
      <c r="Y439" s="41"/>
      <c r="Z439" s="41"/>
      <c r="AA439" s="41"/>
    </row>
    <row r="440" spans="1:27" ht="15.75" hidden="1" customHeight="1" x14ac:dyDescent="0.25">
      <c r="A440" s="51"/>
      <c r="B440" s="41"/>
      <c r="C440" s="41"/>
      <c r="D440" s="41"/>
      <c r="E440" s="41"/>
      <c r="F440" s="41"/>
      <c r="G440" s="41"/>
      <c r="H440" s="41"/>
      <c r="I440" s="41"/>
      <c r="J440" s="41"/>
      <c r="K440" s="41"/>
      <c r="L440" s="41"/>
      <c r="M440" s="41"/>
      <c r="N440" s="41"/>
      <c r="O440" s="41"/>
      <c r="P440" s="41"/>
      <c r="Q440" s="64"/>
      <c r="R440" s="41"/>
      <c r="S440" s="41"/>
      <c r="T440" s="41"/>
      <c r="U440" s="41"/>
      <c r="V440" s="41"/>
      <c r="W440" s="41"/>
      <c r="X440" s="41"/>
      <c r="Y440" s="41"/>
      <c r="Z440" s="41"/>
      <c r="AA440" s="41"/>
    </row>
    <row r="441" spans="1:27" ht="15.75" hidden="1" customHeight="1" x14ac:dyDescent="0.25">
      <c r="A441" s="51"/>
      <c r="B441" s="41"/>
      <c r="C441" s="41"/>
      <c r="D441" s="41"/>
      <c r="E441" s="41"/>
      <c r="F441" s="41"/>
      <c r="G441" s="41"/>
      <c r="H441" s="41"/>
      <c r="I441" s="41"/>
      <c r="J441" s="41"/>
      <c r="K441" s="41"/>
      <c r="L441" s="41"/>
      <c r="M441" s="41"/>
      <c r="N441" s="41"/>
      <c r="O441" s="41"/>
      <c r="P441" s="41"/>
      <c r="Q441" s="64"/>
      <c r="R441" s="41"/>
      <c r="S441" s="41"/>
      <c r="T441" s="41"/>
      <c r="U441" s="41"/>
      <c r="V441" s="41"/>
      <c r="W441" s="41"/>
      <c r="X441" s="41"/>
      <c r="Y441" s="41"/>
      <c r="Z441" s="41"/>
      <c r="AA441" s="41"/>
    </row>
    <row r="442" spans="1:27" ht="15.75" hidden="1" customHeight="1" x14ac:dyDescent="0.25">
      <c r="A442" s="51"/>
      <c r="B442" s="41"/>
      <c r="C442" s="41"/>
      <c r="D442" s="41"/>
      <c r="E442" s="41"/>
      <c r="F442" s="41"/>
      <c r="G442" s="41"/>
      <c r="H442" s="41"/>
      <c r="I442" s="41"/>
      <c r="J442" s="41"/>
      <c r="K442" s="41"/>
      <c r="L442" s="41"/>
      <c r="M442" s="41"/>
      <c r="N442" s="41"/>
      <c r="O442" s="41"/>
      <c r="P442" s="41"/>
      <c r="Q442" s="64"/>
      <c r="R442" s="41"/>
      <c r="S442" s="41"/>
      <c r="T442" s="41"/>
      <c r="U442" s="41"/>
      <c r="V442" s="41"/>
      <c r="W442" s="41"/>
      <c r="X442" s="41"/>
      <c r="Y442" s="41"/>
      <c r="Z442" s="41"/>
      <c r="AA442" s="41"/>
    </row>
    <row r="443" spans="1:27" ht="15.75" hidden="1" customHeight="1" x14ac:dyDescent="0.25">
      <c r="A443" s="51"/>
      <c r="B443" s="41"/>
      <c r="C443" s="41"/>
      <c r="D443" s="41"/>
      <c r="E443" s="41"/>
      <c r="F443" s="41"/>
      <c r="G443" s="41"/>
      <c r="H443" s="41"/>
      <c r="I443" s="41"/>
      <c r="J443" s="41"/>
      <c r="K443" s="41"/>
      <c r="L443" s="41"/>
      <c r="M443" s="41"/>
      <c r="N443" s="41"/>
      <c r="O443" s="41"/>
      <c r="P443" s="41"/>
      <c r="Q443" s="64"/>
      <c r="R443" s="41"/>
      <c r="S443" s="41"/>
      <c r="T443" s="41"/>
      <c r="U443" s="41"/>
      <c r="V443" s="41"/>
      <c r="W443" s="41"/>
      <c r="X443" s="41"/>
      <c r="Y443" s="41"/>
      <c r="Z443" s="41"/>
      <c r="AA443" s="41"/>
    </row>
    <row r="444" spans="1:27" ht="15.75" hidden="1" customHeight="1" x14ac:dyDescent="0.25">
      <c r="A444" s="51"/>
      <c r="B444" s="41"/>
      <c r="C444" s="41"/>
      <c r="D444" s="41"/>
      <c r="E444" s="41"/>
      <c r="F444" s="41"/>
      <c r="G444" s="41"/>
      <c r="H444" s="41"/>
      <c r="I444" s="41"/>
      <c r="J444" s="41"/>
      <c r="K444" s="41"/>
      <c r="L444" s="41"/>
      <c r="M444" s="41"/>
      <c r="N444" s="41"/>
      <c r="O444" s="41"/>
      <c r="P444" s="41"/>
      <c r="Q444" s="64"/>
      <c r="R444" s="41"/>
      <c r="S444" s="41"/>
      <c r="T444" s="41"/>
      <c r="U444" s="41"/>
      <c r="V444" s="41"/>
      <c r="W444" s="41"/>
      <c r="X444" s="41"/>
      <c r="Y444" s="41"/>
      <c r="Z444" s="41"/>
      <c r="AA444" s="41"/>
    </row>
    <row r="445" spans="1:27" ht="15.75" hidden="1" customHeight="1" x14ac:dyDescent="0.25">
      <c r="A445" s="51"/>
      <c r="B445" s="41"/>
      <c r="C445" s="41"/>
      <c r="D445" s="41"/>
      <c r="E445" s="41"/>
      <c r="F445" s="41"/>
      <c r="G445" s="41"/>
      <c r="H445" s="41"/>
      <c r="I445" s="41"/>
      <c r="J445" s="41"/>
      <c r="K445" s="41"/>
      <c r="L445" s="41"/>
      <c r="M445" s="41"/>
      <c r="N445" s="41"/>
      <c r="O445" s="41"/>
      <c r="P445" s="41"/>
      <c r="Q445" s="64"/>
      <c r="R445" s="41"/>
      <c r="S445" s="41"/>
      <c r="T445" s="41"/>
      <c r="U445" s="41"/>
      <c r="V445" s="41"/>
      <c r="W445" s="41"/>
      <c r="X445" s="41"/>
      <c r="Y445" s="41"/>
      <c r="Z445" s="41"/>
      <c r="AA445" s="41"/>
    </row>
    <row r="446" spans="1:27" ht="15.75" hidden="1" customHeight="1" x14ac:dyDescent="0.25">
      <c r="A446" s="51"/>
      <c r="B446" s="41"/>
      <c r="C446" s="41"/>
      <c r="D446" s="41"/>
      <c r="E446" s="41"/>
      <c r="F446" s="41"/>
      <c r="G446" s="41"/>
      <c r="H446" s="41"/>
      <c r="I446" s="41"/>
      <c r="J446" s="41"/>
      <c r="K446" s="41"/>
      <c r="L446" s="41"/>
      <c r="M446" s="41"/>
      <c r="N446" s="41"/>
      <c r="O446" s="41"/>
      <c r="P446" s="41"/>
      <c r="Q446" s="64"/>
      <c r="R446" s="41"/>
      <c r="S446" s="41"/>
      <c r="T446" s="41"/>
      <c r="U446" s="41"/>
      <c r="V446" s="41"/>
      <c r="W446" s="41"/>
      <c r="X446" s="41"/>
      <c r="Y446" s="41"/>
      <c r="Z446" s="41"/>
      <c r="AA446" s="41"/>
    </row>
    <row r="447" spans="1:27" ht="15.75" hidden="1" customHeight="1" x14ac:dyDescent="0.25">
      <c r="A447" s="51"/>
      <c r="B447" s="41"/>
      <c r="C447" s="41"/>
      <c r="D447" s="41"/>
      <c r="E447" s="41"/>
      <c r="F447" s="41"/>
      <c r="G447" s="41"/>
      <c r="H447" s="41"/>
      <c r="I447" s="41"/>
      <c r="J447" s="41"/>
      <c r="K447" s="41"/>
      <c r="L447" s="41"/>
      <c r="M447" s="41"/>
      <c r="N447" s="41"/>
      <c r="O447" s="41"/>
      <c r="P447" s="41"/>
      <c r="Q447" s="64"/>
      <c r="R447" s="41"/>
      <c r="S447" s="41"/>
      <c r="T447" s="41"/>
      <c r="U447" s="41"/>
      <c r="V447" s="41"/>
      <c r="W447" s="41"/>
      <c r="X447" s="41"/>
      <c r="Y447" s="41"/>
      <c r="Z447" s="41"/>
      <c r="AA447" s="41"/>
    </row>
    <row r="448" spans="1:27" ht="15.75" hidden="1" customHeight="1" x14ac:dyDescent="0.25">
      <c r="A448" s="51"/>
      <c r="B448" s="41"/>
      <c r="C448" s="41"/>
      <c r="D448" s="41"/>
      <c r="E448" s="41"/>
      <c r="F448" s="41"/>
      <c r="G448" s="41"/>
      <c r="H448" s="41"/>
      <c r="I448" s="41"/>
      <c r="J448" s="41"/>
      <c r="K448" s="41"/>
      <c r="L448" s="41"/>
      <c r="M448" s="41"/>
      <c r="N448" s="41"/>
      <c r="O448" s="41"/>
      <c r="P448" s="41"/>
      <c r="Q448" s="64"/>
      <c r="R448" s="41"/>
      <c r="S448" s="41"/>
      <c r="T448" s="41"/>
      <c r="U448" s="41"/>
      <c r="V448" s="41"/>
      <c r="W448" s="41"/>
      <c r="X448" s="41"/>
      <c r="Y448" s="41"/>
      <c r="Z448" s="41"/>
      <c r="AA448" s="41"/>
    </row>
    <row r="449" spans="1:27" ht="15.75" hidden="1" customHeight="1" x14ac:dyDescent="0.25">
      <c r="A449" s="51"/>
      <c r="B449" s="41"/>
      <c r="C449" s="41"/>
      <c r="D449" s="41"/>
      <c r="E449" s="41"/>
      <c r="F449" s="41"/>
      <c r="G449" s="41"/>
      <c r="H449" s="41"/>
      <c r="I449" s="41"/>
      <c r="J449" s="41"/>
      <c r="K449" s="41"/>
      <c r="L449" s="41"/>
      <c r="M449" s="41"/>
      <c r="N449" s="41"/>
      <c r="O449" s="41"/>
      <c r="P449" s="41"/>
      <c r="Q449" s="64"/>
      <c r="R449" s="41"/>
      <c r="S449" s="41"/>
      <c r="T449" s="41"/>
      <c r="U449" s="41"/>
      <c r="V449" s="41"/>
      <c r="W449" s="41"/>
      <c r="X449" s="41"/>
      <c r="Y449" s="41"/>
      <c r="Z449" s="41"/>
      <c r="AA449" s="41"/>
    </row>
    <row r="450" spans="1:27" ht="15.75" hidden="1" customHeight="1" x14ac:dyDescent="0.25">
      <c r="A450" s="51"/>
      <c r="B450" s="41"/>
      <c r="C450" s="41"/>
      <c r="D450" s="41"/>
      <c r="E450" s="41"/>
      <c r="F450" s="41"/>
      <c r="G450" s="41"/>
      <c r="H450" s="41"/>
      <c r="I450" s="41"/>
      <c r="J450" s="41"/>
      <c r="K450" s="41"/>
      <c r="L450" s="41"/>
      <c r="M450" s="41"/>
      <c r="N450" s="41"/>
      <c r="O450" s="41"/>
      <c r="P450" s="41"/>
      <c r="Q450" s="64"/>
      <c r="R450" s="41"/>
      <c r="S450" s="41"/>
      <c r="T450" s="41"/>
      <c r="U450" s="41"/>
      <c r="V450" s="41"/>
      <c r="W450" s="41"/>
      <c r="X450" s="41"/>
      <c r="Y450" s="41"/>
      <c r="Z450" s="41"/>
      <c r="AA450" s="41"/>
    </row>
    <row r="451" spans="1:27" ht="15.75" hidden="1" customHeight="1" x14ac:dyDescent="0.25">
      <c r="A451" s="51"/>
      <c r="B451" s="41"/>
      <c r="C451" s="41"/>
      <c r="D451" s="41"/>
      <c r="E451" s="41"/>
      <c r="F451" s="41"/>
      <c r="G451" s="41"/>
      <c r="H451" s="41"/>
      <c r="I451" s="41"/>
      <c r="J451" s="41"/>
      <c r="K451" s="41"/>
      <c r="L451" s="41"/>
      <c r="M451" s="41"/>
      <c r="N451" s="41"/>
      <c r="O451" s="41"/>
      <c r="P451" s="41"/>
      <c r="Q451" s="64"/>
      <c r="R451" s="41"/>
      <c r="S451" s="41"/>
      <c r="T451" s="41"/>
      <c r="U451" s="41"/>
      <c r="V451" s="41"/>
      <c r="W451" s="41"/>
      <c r="X451" s="41"/>
      <c r="Y451" s="41"/>
      <c r="Z451" s="41"/>
      <c r="AA451" s="41"/>
    </row>
    <row r="452" spans="1:27" ht="15.75" hidden="1" customHeight="1" x14ac:dyDescent="0.25">
      <c r="A452" s="51"/>
      <c r="B452" s="41"/>
      <c r="C452" s="41"/>
      <c r="D452" s="41"/>
      <c r="E452" s="41"/>
      <c r="F452" s="41"/>
      <c r="G452" s="41"/>
      <c r="H452" s="41"/>
      <c r="I452" s="41"/>
      <c r="J452" s="41"/>
      <c r="K452" s="41"/>
      <c r="L452" s="41"/>
      <c r="M452" s="41"/>
      <c r="N452" s="41"/>
      <c r="O452" s="41"/>
      <c r="P452" s="41"/>
      <c r="Q452" s="64"/>
      <c r="R452" s="41"/>
      <c r="S452" s="41"/>
      <c r="T452" s="41"/>
      <c r="U452" s="41"/>
      <c r="V452" s="41"/>
      <c r="W452" s="41"/>
      <c r="X452" s="41"/>
      <c r="Y452" s="41"/>
      <c r="Z452" s="41"/>
      <c r="AA452" s="41"/>
    </row>
    <row r="453" spans="1:27" ht="15.75" hidden="1" customHeight="1" x14ac:dyDescent="0.25">
      <c r="A453" s="51"/>
      <c r="B453" s="41"/>
      <c r="C453" s="41"/>
      <c r="D453" s="41"/>
      <c r="E453" s="41"/>
      <c r="F453" s="41"/>
      <c r="G453" s="41"/>
      <c r="H453" s="41"/>
      <c r="I453" s="41"/>
      <c r="J453" s="41"/>
      <c r="K453" s="41"/>
      <c r="L453" s="41"/>
      <c r="M453" s="41"/>
      <c r="N453" s="41"/>
      <c r="O453" s="41"/>
      <c r="P453" s="41"/>
      <c r="Q453" s="64"/>
      <c r="R453" s="41"/>
      <c r="S453" s="41"/>
      <c r="T453" s="41"/>
      <c r="U453" s="41"/>
      <c r="V453" s="41"/>
      <c r="W453" s="41"/>
      <c r="X453" s="41"/>
      <c r="Y453" s="41"/>
      <c r="Z453" s="41"/>
      <c r="AA453" s="41"/>
    </row>
    <row r="454" spans="1:27" ht="15.75" hidden="1" customHeight="1" x14ac:dyDescent="0.25">
      <c r="A454" s="51"/>
      <c r="B454" s="41"/>
      <c r="C454" s="41"/>
      <c r="D454" s="41"/>
      <c r="E454" s="41"/>
      <c r="F454" s="41"/>
      <c r="G454" s="41"/>
      <c r="H454" s="41"/>
      <c r="I454" s="41"/>
      <c r="J454" s="41"/>
      <c r="K454" s="41"/>
      <c r="L454" s="41"/>
      <c r="M454" s="41"/>
      <c r="N454" s="41"/>
      <c r="O454" s="41"/>
      <c r="P454" s="41"/>
      <c r="Q454" s="64"/>
      <c r="R454" s="41"/>
      <c r="S454" s="41"/>
      <c r="T454" s="41"/>
      <c r="U454" s="41"/>
      <c r="V454" s="41"/>
      <c r="W454" s="41"/>
      <c r="X454" s="41"/>
      <c r="Y454" s="41"/>
      <c r="Z454" s="41"/>
      <c r="AA454" s="41"/>
    </row>
    <row r="455" spans="1:27" ht="15.75" hidden="1" customHeight="1" x14ac:dyDescent="0.25">
      <c r="A455" s="51"/>
      <c r="B455" s="41"/>
      <c r="C455" s="41"/>
      <c r="D455" s="41"/>
      <c r="E455" s="41"/>
      <c r="F455" s="41"/>
      <c r="G455" s="41"/>
      <c r="H455" s="41"/>
      <c r="I455" s="41"/>
      <c r="J455" s="41"/>
      <c r="K455" s="41"/>
      <c r="L455" s="41"/>
      <c r="M455" s="41"/>
      <c r="N455" s="41"/>
      <c r="O455" s="41"/>
      <c r="P455" s="41"/>
      <c r="Q455" s="64"/>
      <c r="R455" s="41"/>
      <c r="S455" s="41"/>
      <c r="T455" s="41"/>
      <c r="U455" s="41"/>
      <c r="V455" s="41"/>
      <c r="W455" s="41"/>
      <c r="X455" s="41"/>
      <c r="Y455" s="41"/>
      <c r="Z455" s="41"/>
      <c r="AA455" s="41"/>
    </row>
    <row r="456" spans="1:27" ht="15.75" hidden="1" customHeight="1" x14ac:dyDescent="0.25">
      <c r="A456" s="51"/>
      <c r="B456" s="41"/>
      <c r="C456" s="41"/>
      <c r="D456" s="41"/>
      <c r="E456" s="41"/>
      <c r="F456" s="41"/>
      <c r="G456" s="41"/>
      <c r="H456" s="41"/>
      <c r="I456" s="41"/>
      <c r="J456" s="41"/>
      <c r="K456" s="41"/>
      <c r="L456" s="41"/>
      <c r="M456" s="41"/>
      <c r="N456" s="41"/>
      <c r="O456" s="41"/>
      <c r="P456" s="41"/>
      <c r="Q456" s="64"/>
      <c r="R456" s="41"/>
      <c r="S456" s="41"/>
      <c r="T456" s="41"/>
      <c r="U456" s="41"/>
      <c r="V456" s="41"/>
      <c r="W456" s="41"/>
      <c r="X456" s="41"/>
      <c r="Y456" s="41"/>
      <c r="Z456" s="41"/>
      <c r="AA456" s="41"/>
    </row>
    <row r="457" spans="1:27" ht="15.75" hidden="1" customHeight="1" x14ac:dyDescent="0.25">
      <c r="A457" s="51"/>
      <c r="B457" s="41"/>
      <c r="C457" s="41"/>
      <c r="D457" s="41"/>
      <c r="E457" s="41"/>
      <c r="F457" s="41"/>
      <c r="G457" s="41"/>
      <c r="H457" s="41"/>
      <c r="I457" s="41"/>
      <c r="J457" s="41"/>
      <c r="K457" s="41"/>
      <c r="L457" s="41"/>
      <c r="M457" s="41"/>
      <c r="N457" s="41"/>
      <c r="O457" s="41"/>
      <c r="P457" s="41"/>
      <c r="Q457" s="64"/>
      <c r="R457" s="41"/>
      <c r="S457" s="41"/>
      <c r="T457" s="41"/>
      <c r="U457" s="41"/>
      <c r="V457" s="41"/>
      <c r="W457" s="41"/>
      <c r="X457" s="41"/>
      <c r="Y457" s="41"/>
      <c r="Z457" s="41"/>
      <c r="AA457" s="41"/>
    </row>
    <row r="458" spans="1:27" ht="15.75" hidden="1" customHeight="1" x14ac:dyDescent="0.25">
      <c r="A458" s="51"/>
      <c r="B458" s="41"/>
      <c r="C458" s="41"/>
      <c r="D458" s="41"/>
      <c r="E458" s="41"/>
      <c r="F458" s="41"/>
      <c r="G458" s="41"/>
      <c r="H458" s="41"/>
      <c r="I458" s="41"/>
      <c r="J458" s="41"/>
      <c r="K458" s="41"/>
      <c r="L458" s="41"/>
      <c r="M458" s="41"/>
      <c r="N458" s="41"/>
      <c r="O458" s="41"/>
      <c r="P458" s="41"/>
      <c r="Q458" s="64"/>
      <c r="R458" s="41"/>
      <c r="S458" s="41"/>
      <c r="T458" s="41"/>
      <c r="U458" s="41"/>
      <c r="V458" s="41"/>
      <c r="W458" s="41"/>
      <c r="X458" s="41"/>
      <c r="Y458" s="41"/>
      <c r="Z458" s="41"/>
      <c r="AA458" s="41"/>
    </row>
    <row r="459" spans="1:27" ht="15.75" hidden="1" customHeight="1" x14ac:dyDescent="0.25">
      <c r="A459" s="51"/>
      <c r="B459" s="41"/>
      <c r="C459" s="41"/>
      <c r="D459" s="41"/>
      <c r="E459" s="41"/>
      <c r="F459" s="41"/>
      <c r="G459" s="41"/>
      <c r="H459" s="41"/>
      <c r="I459" s="41"/>
      <c r="J459" s="41"/>
      <c r="K459" s="41"/>
      <c r="L459" s="41"/>
      <c r="M459" s="41"/>
      <c r="N459" s="41"/>
      <c r="O459" s="41"/>
      <c r="P459" s="41"/>
      <c r="Q459" s="64"/>
      <c r="R459" s="41"/>
      <c r="S459" s="41"/>
      <c r="T459" s="41"/>
      <c r="U459" s="41"/>
      <c r="V459" s="41"/>
      <c r="W459" s="41"/>
      <c r="X459" s="41"/>
      <c r="Y459" s="41"/>
      <c r="Z459" s="41"/>
      <c r="AA459" s="41"/>
    </row>
    <row r="460" spans="1:27" ht="15.75" hidden="1" customHeight="1" x14ac:dyDescent="0.25">
      <c r="A460" s="51"/>
      <c r="B460" s="41"/>
      <c r="C460" s="41"/>
      <c r="D460" s="41"/>
      <c r="E460" s="41"/>
      <c r="F460" s="41"/>
      <c r="G460" s="41"/>
      <c r="H460" s="41"/>
      <c r="I460" s="41"/>
      <c r="J460" s="41"/>
      <c r="K460" s="41"/>
      <c r="L460" s="41"/>
      <c r="M460" s="41"/>
      <c r="N460" s="41"/>
      <c r="O460" s="41"/>
      <c r="P460" s="41"/>
      <c r="Q460" s="64"/>
      <c r="R460" s="41"/>
      <c r="S460" s="41"/>
      <c r="T460" s="41"/>
      <c r="U460" s="41"/>
      <c r="V460" s="41"/>
      <c r="W460" s="41"/>
      <c r="X460" s="41"/>
      <c r="Y460" s="41"/>
      <c r="Z460" s="41"/>
      <c r="AA460" s="41"/>
    </row>
    <row r="461" spans="1:27" ht="15.75" hidden="1" customHeight="1" x14ac:dyDescent="0.25">
      <c r="A461" s="51"/>
      <c r="B461" s="41"/>
      <c r="C461" s="41"/>
      <c r="D461" s="41"/>
      <c r="E461" s="41"/>
      <c r="F461" s="41"/>
      <c r="G461" s="41"/>
      <c r="H461" s="41"/>
      <c r="I461" s="41"/>
      <c r="J461" s="41"/>
      <c r="K461" s="41"/>
      <c r="L461" s="41"/>
      <c r="M461" s="41"/>
      <c r="N461" s="41"/>
      <c r="O461" s="41"/>
      <c r="P461" s="41"/>
      <c r="Q461" s="64"/>
      <c r="R461" s="41"/>
      <c r="S461" s="41"/>
      <c r="T461" s="41"/>
      <c r="U461" s="41"/>
      <c r="V461" s="41"/>
      <c r="W461" s="41"/>
      <c r="X461" s="41"/>
      <c r="Y461" s="41"/>
      <c r="Z461" s="41"/>
      <c r="AA461" s="41"/>
    </row>
    <row r="462" spans="1:27" ht="15.75" hidden="1" customHeight="1" x14ac:dyDescent="0.25">
      <c r="A462" s="51"/>
      <c r="B462" s="41"/>
      <c r="C462" s="41"/>
      <c r="D462" s="41"/>
      <c r="E462" s="41"/>
      <c r="F462" s="41"/>
      <c r="G462" s="41"/>
      <c r="H462" s="41"/>
      <c r="I462" s="41"/>
      <c r="J462" s="41"/>
      <c r="K462" s="41"/>
      <c r="L462" s="41"/>
      <c r="M462" s="41"/>
      <c r="N462" s="41"/>
      <c r="O462" s="41"/>
      <c r="P462" s="41"/>
      <c r="Q462" s="64"/>
      <c r="R462" s="41"/>
      <c r="S462" s="41"/>
      <c r="T462" s="41"/>
      <c r="U462" s="41"/>
      <c r="V462" s="41"/>
      <c r="W462" s="41"/>
      <c r="X462" s="41"/>
      <c r="Y462" s="41"/>
      <c r="Z462" s="41"/>
      <c r="AA462" s="41"/>
    </row>
    <row r="463" spans="1:27" ht="15.75" hidden="1" customHeight="1" x14ac:dyDescent="0.25">
      <c r="A463" s="51"/>
      <c r="B463" s="41"/>
      <c r="C463" s="41"/>
      <c r="D463" s="41"/>
      <c r="E463" s="41"/>
      <c r="F463" s="41"/>
      <c r="G463" s="41"/>
      <c r="H463" s="41"/>
      <c r="I463" s="41"/>
      <c r="J463" s="41"/>
      <c r="K463" s="41"/>
      <c r="L463" s="41"/>
      <c r="M463" s="41"/>
      <c r="N463" s="41"/>
      <c r="O463" s="41"/>
      <c r="P463" s="41"/>
      <c r="Q463" s="64"/>
      <c r="R463" s="41"/>
      <c r="S463" s="41"/>
      <c r="T463" s="41"/>
      <c r="U463" s="41"/>
      <c r="V463" s="41"/>
      <c r="W463" s="41"/>
      <c r="X463" s="41"/>
      <c r="Y463" s="41"/>
      <c r="Z463" s="41"/>
      <c r="AA463" s="41"/>
    </row>
    <row r="464" spans="1:27" ht="15.75" hidden="1" customHeight="1" x14ac:dyDescent="0.25">
      <c r="A464" s="51"/>
      <c r="B464" s="41"/>
      <c r="C464" s="41"/>
      <c r="D464" s="41"/>
      <c r="E464" s="41"/>
      <c r="F464" s="41"/>
      <c r="G464" s="41"/>
      <c r="H464" s="41"/>
      <c r="I464" s="41"/>
      <c r="J464" s="41"/>
      <c r="K464" s="41"/>
      <c r="L464" s="41"/>
      <c r="M464" s="41"/>
      <c r="N464" s="41"/>
      <c r="O464" s="41"/>
      <c r="P464" s="41"/>
      <c r="Q464" s="64"/>
      <c r="R464" s="41"/>
      <c r="S464" s="41"/>
      <c r="T464" s="41"/>
      <c r="U464" s="41"/>
      <c r="V464" s="41"/>
      <c r="W464" s="41"/>
      <c r="X464" s="41"/>
      <c r="Y464" s="41"/>
      <c r="Z464" s="41"/>
      <c r="AA464" s="41"/>
    </row>
    <row r="465" spans="1:27" ht="15.75" hidden="1" customHeight="1" x14ac:dyDescent="0.25">
      <c r="A465" s="51"/>
      <c r="B465" s="41"/>
      <c r="C465" s="41"/>
      <c r="D465" s="41"/>
      <c r="E465" s="41"/>
      <c r="F465" s="41"/>
      <c r="G465" s="41"/>
      <c r="H465" s="41"/>
      <c r="I465" s="41"/>
      <c r="J465" s="41"/>
      <c r="K465" s="41"/>
      <c r="L465" s="41"/>
      <c r="M465" s="41"/>
      <c r="N465" s="41"/>
      <c r="O465" s="41"/>
      <c r="P465" s="41"/>
      <c r="Q465" s="64"/>
      <c r="R465" s="41"/>
      <c r="S465" s="41"/>
      <c r="T465" s="41"/>
      <c r="U465" s="41"/>
      <c r="V465" s="41"/>
      <c r="W465" s="41"/>
      <c r="X465" s="41"/>
      <c r="Y465" s="41"/>
      <c r="Z465" s="41"/>
      <c r="AA465" s="41"/>
    </row>
    <row r="466" spans="1:27" ht="15.75" hidden="1" customHeight="1" x14ac:dyDescent="0.25">
      <c r="A466" s="51"/>
      <c r="B466" s="41"/>
      <c r="C466" s="41"/>
      <c r="D466" s="41"/>
      <c r="E466" s="41"/>
      <c r="F466" s="41"/>
      <c r="G466" s="41"/>
      <c r="H466" s="41"/>
      <c r="I466" s="41"/>
      <c r="J466" s="41"/>
      <c r="K466" s="41"/>
      <c r="L466" s="41"/>
      <c r="M466" s="41"/>
      <c r="N466" s="41"/>
      <c r="O466" s="41"/>
      <c r="P466" s="41"/>
      <c r="Q466" s="64"/>
      <c r="R466" s="41"/>
      <c r="S466" s="41"/>
      <c r="T466" s="41"/>
      <c r="U466" s="41"/>
      <c r="V466" s="41"/>
      <c r="W466" s="41"/>
      <c r="X466" s="41"/>
      <c r="Y466" s="41"/>
      <c r="Z466" s="41"/>
      <c r="AA466" s="41"/>
    </row>
    <row r="467" spans="1:27" ht="15.75" hidden="1" customHeight="1" x14ac:dyDescent="0.25">
      <c r="A467" s="51"/>
      <c r="B467" s="41"/>
      <c r="C467" s="41"/>
      <c r="D467" s="41"/>
      <c r="E467" s="41"/>
      <c r="F467" s="41"/>
      <c r="G467" s="41"/>
      <c r="H467" s="41"/>
      <c r="I467" s="41"/>
      <c r="J467" s="41"/>
      <c r="K467" s="41"/>
      <c r="L467" s="41"/>
      <c r="M467" s="41"/>
      <c r="N467" s="41"/>
      <c r="O467" s="41"/>
      <c r="P467" s="41"/>
      <c r="Q467" s="64"/>
      <c r="R467" s="41"/>
      <c r="S467" s="41"/>
      <c r="T467" s="41"/>
      <c r="U467" s="41"/>
      <c r="V467" s="41"/>
      <c r="W467" s="41"/>
      <c r="X467" s="41"/>
      <c r="Y467" s="41"/>
      <c r="Z467" s="41"/>
      <c r="AA467" s="41"/>
    </row>
    <row r="468" spans="1:27" ht="15.75" hidden="1" customHeight="1" x14ac:dyDescent="0.25">
      <c r="A468" s="51"/>
      <c r="B468" s="41"/>
      <c r="C468" s="41"/>
      <c r="D468" s="41"/>
      <c r="E468" s="41"/>
      <c r="F468" s="41"/>
      <c r="G468" s="41"/>
      <c r="H468" s="41"/>
      <c r="I468" s="41"/>
      <c r="J468" s="41"/>
      <c r="K468" s="41"/>
      <c r="L468" s="41"/>
      <c r="M468" s="41"/>
      <c r="N468" s="41"/>
      <c r="O468" s="41"/>
      <c r="P468" s="41"/>
      <c r="Q468" s="64"/>
      <c r="R468" s="41"/>
      <c r="S468" s="41"/>
      <c r="T468" s="41"/>
      <c r="U468" s="41"/>
      <c r="V468" s="41"/>
      <c r="W468" s="41"/>
      <c r="X468" s="41"/>
      <c r="Y468" s="41"/>
      <c r="Z468" s="41"/>
      <c r="AA468" s="41"/>
    </row>
    <row r="469" spans="1:27" ht="15.75" hidden="1" customHeight="1" x14ac:dyDescent="0.25">
      <c r="A469" s="51"/>
      <c r="B469" s="41"/>
      <c r="C469" s="41"/>
      <c r="D469" s="41"/>
      <c r="E469" s="41"/>
      <c r="F469" s="41"/>
      <c r="G469" s="41"/>
      <c r="H469" s="41"/>
      <c r="I469" s="41"/>
      <c r="J469" s="41"/>
      <c r="K469" s="41"/>
      <c r="L469" s="41"/>
      <c r="M469" s="41"/>
      <c r="N469" s="41"/>
      <c r="O469" s="41"/>
      <c r="P469" s="41"/>
      <c r="Q469" s="64"/>
      <c r="R469" s="41"/>
      <c r="S469" s="41"/>
      <c r="T469" s="41"/>
      <c r="U469" s="41"/>
      <c r="V469" s="41"/>
      <c r="W469" s="41"/>
      <c r="X469" s="41"/>
      <c r="Y469" s="41"/>
      <c r="Z469" s="41"/>
      <c r="AA469" s="41"/>
    </row>
    <row r="470" spans="1:27" ht="15.75" hidden="1" customHeight="1" x14ac:dyDescent="0.25">
      <c r="A470" s="51"/>
      <c r="B470" s="41"/>
      <c r="C470" s="41"/>
      <c r="D470" s="41"/>
      <c r="E470" s="41"/>
      <c r="F470" s="41"/>
      <c r="G470" s="41"/>
      <c r="H470" s="41"/>
      <c r="I470" s="41"/>
      <c r="J470" s="41"/>
      <c r="K470" s="41"/>
      <c r="L470" s="41"/>
      <c r="M470" s="41"/>
      <c r="N470" s="41"/>
      <c r="O470" s="41"/>
      <c r="P470" s="41"/>
      <c r="Q470" s="64"/>
      <c r="R470" s="41"/>
      <c r="S470" s="41"/>
      <c r="T470" s="41"/>
      <c r="U470" s="41"/>
      <c r="V470" s="41"/>
      <c r="W470" s="41"/>
      <c r="X470" s="41"/>
      <c r="Y470" s="41"/>
      <c r="Z470" s="41"/>
      <c r="AA470" s="41"/>
    </row>
    <row r="471" spans="1:27" ht="15.75" hidden="1" customHeight="1" x14ac:dyDescent="0.25">
      <c r="A471" s="51"/>
      <c r="B471" s="41"/>
      <c r="C471" s="41"/>
      <c r="D471" s="41"/>
      <c r="E471" s="41"/>
      <c r="F471" s="41"/>
      <c r="G471" s="41"/>
      <c r="H471" s="41"/>
      <c r="I471" s="41"/>
      <c r="J471" s="41"/>
      <c r="K471" s="41"/>
      <c r="L471" s="41"/>
      <c r="M471" s="41"/>
      <c r="N471" s="41"/>
      <c r="O471" s="41"/>
      <c r="P471" s="41"/>
      <c r="Q471" s="64"/>
      <c r="R471" s="41"/>
      <c r="S471" s="41"/>
      <c r="T471" s="41"/>
      <c r="U471" s="41"/>
      <c r="V471" s="41"/>
      <c r="W471" s="41"/>
      <c r="X471" s="41"/>
      <c r="Y471" s="41"/>
      <c r="Z471" s="41"/>
      <c r="AA471" s="41"/>
    </row>
    <row r="472" spans="1:27" ht="15.75" hidden="1" customHeight="1" x14ac:dyDescent="0.25">
      <c r="A472" s="51"/>
      <c r="B472" s="41"/>
      <c r="C472" s="41"/>
      <c r="D472" s="41"/>
      <c r="E472" s="41"/>
      <c r="F472" s="41"/>
      <c r="G472" s="41"/>
      <c r="H472" s="41"/>
      <c r="I472" s="41"/>
      <c r="J472" s="41"/>
      <c r="K472" s="41"/>
      <c r="L472" s="41"/>
      <c r="M472" s="41"/>
      <c r="N472" s="41"/>
      <c r="O472" s="41"/>
      <c r="P472" s="41"/>
      <c r="Q472" s="64"/>
      <c r="R472" s="41"/>
      <c r="S472" s="41"/>
      <c r="T472" s="41"/>
      <c r="U472" s="41"/>
      <c r="V472" s="41"/>
      <c r="W472" s="41"/>
      <c r="X472" s="41"/>
      <c r="Y472" s="41"/>
      <c r="Z472" s="41"/>
      <c r="AA472" s="41"/>
    </row>
    <row r="473" spans="1:27" ht="15.75" hidden="1" customHeight="1" x14ac:dyDescent="0.25">
      <c r="A473" s="51"/>
      <c r="B473" s="41"/>
      <c r="C473" s="41"/>
      <c r="D473" s="41"/>
      <c r="E473" s="41"/>
      <c r="F473" s="41"/>
      <c r="G473" s="41"/>
      <c r="H473" s="41"/>
      <c r="I473" s="41"/>
      <c r="J473" s="41"/>
      <c r="K473" s="41"/>
      <c r="L473" s="41"/>
      <c r="M473" s="41"/>
      <c r="N473" s="41"/>
      <c r="O473" s="41"/>
      <c r="P473" s="41"/>
      <c r="Q473" s="64"/>
      <c r="R473" s="41"/>
      <c r="S473" s="41"/>
      <c r="T473" s="41"/>
      <c r="U473" s="41"/>
      <c r="V473" s="41"/>
      <c r="W473" s="41"/>
      <c r="X473" s="41"/>
      <c r="Y473" s="41"/>
      <c r="Z473" s="41"/>
      <c r="AA473" s="41"/>
    </row>
    <row r="474" spans="1:27" ht="15.75" hidden="1" customHeight="1" x14ac:dyDescent="0.25">
      <c r="A474" s="51"/>
      <c r="B474" s="41"/>
      <c r="C474" s="41"/>
      <c r="D474" s="41"/>
      <c r="E474" s="41"/>
      <c r="F474" s="41"/>
      <c r="G474" s="41"/>
      <c r="H474" s="41"/>
      <c r="I474" s="41"/>
      <c r="J474" s="41"/>
      <c r="K474" s="41"/>
      <c r="L474" s="41"/>
      <c r="M474" s="41"/>
      <c r="N474" s="41"/>
      <c r="O474" s="41"/>
      <c r="P474" s="41"/>
      <c r="Q474" s="64"/>
      <c r="R474" s="41"/>
      <c r="S474" s="41"/>
      <c r="T474" s="41"/>
      <c r="U474" s="41"/>
      <c r="V474" s="41"/>
      <c r="W474" s="41"/>
      <c r="X474" s="41"/>
      <c r="Y474" s="41"/>
      <c r="Z474" s="41"/>
      <c r="AA474" s="41"/>
    </row>
    <row r="475" spans="1:27" ht="15.75" hidden="1" customHeight="1" x14ac:dyDescent="0.25">
      <c r="A475" s="51"/>
      <c r="B475" s="41"/>
      <c r="C475" s="41"/>
      <c r="D475" s="41"/>
      <c r="E475" s="41"/>
      <c r="F475" s="41"/>
      <c r="G475" s="41"/>
      <c r="H475" s="41"/>
      <c r="I475" s="41"/>
      <c r="J475" s="41"/>
      <c r="K475" s="41"/>
      <c r="L475" s="41"/>
      <c r="M475" s="41"/>
      <c r="N475" s="41"/>
      <c r="O475" s="41"/>
      <c r="P475" s="41"/>
      <c r="Q475" s="64"/>
      <c r="R475" s="41"/>
      <c r="S475" s="41"/>
      <c r="T475" s="41"/>
      <c r="U475" s="41"/>
      <c r="V475" s="41"/>
      <c r="W475" s="41"/>
      <c r="X475" s="41"/>
      <c r="Y475" s="41"/>
      <c r="Z475" s="41"/>
      <c r="AA475" s="41"/>
    </row>
    <row r="476" spans="1:27" ht="15.75" hidden="1" customHeight="1" x14ac:dyDescent="0.25">
      <c r="A476" s="51"/>
      <c r="B476" s="41"/>
      <c r="C476" s="41"/>
      <c r="D476" s="41"/>
      <c r="E476" s="41"/>
      <c r="F476" s="41"/>
      <c r="G476" s="41"/>
      <c r="H476" s="41"/>
      <c r="I476" s="41"/>
      <c r="J476" s="41"/>
      <c r="K476" s="41"/>
      <c r="L476" s="41"/>
      <c r="M476" s="41"/>
      <c r="N476" s="41"/>
      <c r="O476" s="41"/>
      <c r="P476" s="41"/>
      <c r="Q476" s="64"/>
      <c r="R476" s="41"/>
      <c r="S476" s="41"/>
      <c r="T476" s="41"/>
      <c r="U476" s="41"/>
      <c r="V476" s="41"/>
      <c r="W476" s="41"/>
      <c r="X476" s="41"/>
      <c r="Y476" s="41"/>
      <c r="Z476" s="41"/>
      <c r="AA476" s="41"/>
    </row>
    <row r="477" spans="1:27" ht="15.75" hidden="1" customHeight="1" x14ac:dyDescent="0.25">
      <c r="A477" s="51"/>
      <c r="B477" s="41"/>
      <c r="C477" s="41"/>
      <c r="D477" s="41"/>
      <c r="E477" s="41"/>
      <c r="F477" s="41"/>
      <c r="G477" s="41"/>
      <c r="H477" s="41"/>
      <c r="I477" s="41"/>
      <c r="J477" s="41"/>
      <c r="K477" s="41"/>
      <c r="L477" s="41"/>
      <c r="M477" s="41"/>
      <c r="N477" s="41"/>
      <c r="O477" s="41"/>
      <c r="P477" s="41"/>
      <c r="Q477" s="64"/>
      <c r="R477" s="41"/>
      <c r="S477" s="41"/>
      <c r="T477" s="41"/>
      <c r="U477" s="41"/>
      <c r="V477" s="41"/>
      <c r="W477" s="41"/>
      <c r="X477" s="41"/>
      <c r="Y477" s="41"/>
      <c r="Z477" s="41"/>
      <c r="AA477" s="41"/>
    </row>
    <row r="478" spans="1:27" ht="15.75" hidden="1" customHeight="1" x14ac:dyDescent="0.25">
      <c r="A478" s="51"/>
      <c r="B478" s="41"/>
      <c r="C478" s="41"/>
      <c r="D478" s="41"/>
      <c r="E478" s="41"/>
      <c r="F478" s="41"/>
      <c r="G478" s="41"/>
      <c r="H478" s="41"/>
      <c r="I478" s="41"/>
      <c r="J478" s="41"/>
      <c r="K478" s="41"/>
      <c r="L478" s="41"/>
      <c r="M478" s="41"/>
      <c r="N478" s="41"/>
      <c r="O478" s="41"/>
      <c r="P478" s="41"/>
      <c r="Q478" s="64"/>
      <c r="R478" s="41"/>
      <c r="S478" s="41"/>
      <c r="T478" s="41"/>
      <c r="U478" s="41"/>
      <c r="V478" s="41"/>
      <c r="W478" s="41"/>
      <c r="X478" s="41"/>
      <c r="Y478" s="41"/>
      <c r="Z478" s="41"/>
      <c r="AA478" s="41"/>
    </row>
    <row r="479" spans="1:27" ht="15.75" hidden="1" customHeight="1" x14ac:dyDescent="0.25">
      <c r="A479" s="51"/>
      <c r="B479" s="41"/>
      <c r="C479" s="41"/>
      <c r="D479" s="41"/>
      <c r="E479" s="41"/>
      <c r="F479" s="41"/>
      <c r="G479" s="41"/>
      <c r="H479" s="41"/>
      <c r="I479" s="41"/>
      <c r="J479" s="41"/>
      <c r="K479" s="41"/>
      <c r="L479" s="41"/>
      <c r="M479" s="41"/>
      <c r="N479" s="41"/>
      <c r="O479" s="41"/>
      <c r="P479" s="41"/>
      <c r="Q479" s="64"/>
      <c r="R479" s="41"/>
      <c r="S479" s="41"/>
      <c r="T479" s="41"/>
      <c r="U479" s="41"/>
      <c r="V479" s="41"/>
      <c r="W479" s="41"/>
      <c r="X479" s="41"/>
      <c r="Y479" s="41"/>
      <c r="Z479" s="41"/>
      <c r="AA479" s="41"/>
    </row>
    <row r="480" spans="1:27" ht="15.75" hidden="1" customHeight="1" x14ac:dyDescent="0.25">
      <c r="A480" s="51"/>
      <c r="B480" s="41"/>
      <c r="C480" s="41"/>
      <c r="D480" s="41"/>
      <c r="E480" s="41"/>
      <c r="F480" s="41"/>
      <c r="G480" s="41"/>
      <c r="H480" s="41"/>
      <c r="I480" s="41"/>
      <c r="J480" s="41"/>
      <c r="K480" s="41"/>
      <c r="L480" s="41"/>
      <c r="M480" s="41"/>
      <c r="N480" s="41"/>
      <c r="O480" s="41"/>
      <c r="P480" s="41"/>
      <c r="Q480" s="64"/>
      <c r="R480" s="41"/>
      <c r="S480" s="41"/>
      <c r="T480" s="41"/>
      <c r="U480" s="41"/>
      <c r="V480" s="41"/>
      <c r="W480" s="41"/>
      <c r="X480" s="41"/>
      <c r="Y480" s="41"/>
      <c r="Z480" s="41"/>
      <c r="AA480" s="41"/>
    </row>
    <row r="481" spans="1:27" ht="15.75" hidden="1" customHeight="1" x14ac:dyDescent="0.25">
      <c r="A481" s="51"/>
      <c r="B481" s="41"/>
      <c r="C481" s="41"/>
      <c r="D481" s="41"/>
      <c r="E481" s="41"/>
      <c r="F481" s="41"/>
      <c r="G481" s="41"/>
      <c r="H481" s="41"/>
      <c r="I481" s="41"/>
      <c r="J481" s="41"/>
      <c r="K481" s="41"/>
      <c r="L481" s="41"/>
      <c r="M481" s="41"/>
      <c r="N481" s="41"/>
      <c r="O481" s="41"/>
      <c r="P481" s="41"/>
      <c r="Q481" s="64"/>
      <c r="R481" s="41"/>
      <c r="S481" s="41"/>
      <c r="T481" s="41"/>
      <c r="U481" s="41"/>
      <c r="V481" s="41"/>
      <c r="W481" s="41"/>
      <c r="X481" s="41"/>
      <c r="Y481" s="41"/>
      <c r="Z481" s="41"/>
      <c r="AA481" s="41"/>
    </row>
    <row r="482" spans="1:27" ht="15.75" hidden="1" customHeight="1" x14ac:dyDescent="0.25">
      <c r="A482" s="51"/>
      <c r="B482" s="41"/>
      <c r="C482" s="41"/>
      <c r="D482" s="41"/>
      <c r="E482" s="41"/>
      <c r="F482" s="41"/>
      <c r="G482" s="41"/>
      <c r="H482" s="41"/>
      <c r="I482" s="41"/>
      <c r="J482" s="41"/>
      <c r="K482" s="41"/>
      <c r="L482" s="41"/>
      <c r="M482" s="41"/>
      <c r="N482" s="41"/>
      <c r="O482" s="41"/>
      <c r="P482" s="41"/>
      <c r="Q482" s="64"/>
      <c r="R482" s="41"/>
      <c r="S482" s="41"/>
      <c r="T482" s="41"/>
      <c r="U482" s="41"/>
      <c r="V482" s="41"/>
      <c r="W482" s="41"/>
      <c r="X482" s="41"/>
      <c r="Y482" s="41"/>
      <c r="Z482" s="41"/>
      <c r="AA482" s="41"/>
    </row>
    <row r="483" spans="1:27" ht="15.75" hidden="1" customHeight="1" x14ac:dyDescent="0.25">
      <c r="A483" s="51"/>
      <c r="B483" s="41"/>
      <c r="C483" s="41"/>
      <c r="D483" s="41"/>
      <c r="E483" s="41"/>
      <c r="F483" s="41"/>
      <c r="G483" s="41"/>
      <c r="H483" s="41"/>
      <c r="I483" s="41"/>
      <c r="J483" s="41"/>
      <c r="K483" s="41"/>
      <c r="L483" s="41"/>
      <c r="M483" s="41"/>
      <c r="N483" s="41"/>
      <c r="O483" s="41"/>
      <c r="P483" s="41"/>
      <c r="Q483" s="64"/>
      <c r="R483" s="41"/>
      <c r="S483" s="41"/>
      <c r="T483" s="41"/>
      <c r="U483" s="41"/>
      <c r="V483" s="41"/>
      <c r="W483" s="41"/>
      <c r="X483" s="41"/>
      <c r="Y483" s="41"/>
      <c r="Z483" s="41"/>
      <c r="AA483" s="41"/>
    </row>
    <row r="484" spans="1:27" ht="15.75" hidden="1" customHeight="1" x14ac:dyDescent="0.25">
      <c r="A484" s="51"/>
      <c r="B484" s="41"/>
      <c r="C484" s="41"/>
      <c r="D484" s="41"/>
      <c r="E484" s="41"/>
      <c r="F484" s="41"/>
      <c r="G484" s="41"/>
      <c r="H484" s="41"/>
      <c r="I484" s="41"/>
      <c r="J484" s="41"/>
      <c r="K484" s="41"/>
      <c r="L484" s="41"/>
      <c r="M484" s="41"/>
      <c r="N484" s="41"/>
      <c r="O484" s="41"/>
      <c r="P484" s="41"/>
      <c r="Q484" s="64"/>
      <c r="R484" s="41"/>
      <c r="S484" s="41"/>
      <c r="T484" s="41"/>
      <c r="U484" s="41"/>
      <c r="V484" s="41"/>
      <c r="W484" s="41"/>
      <c r="X484" s="41"/>
      <c r="Y484" s="41"/>
      <c r="Z484" s="41"/>
      <c r="AA484" s="41"/>
    </row>
    <row r="485" spans="1:27" ht="15.75" hidden="1" customHeight="1" x14ac:dyDescent="0.25">
      <c r="A485" s="51"/>
      <c r="B485" s="41"/>
      <c r="C485" s="41"/>
      <c r="D485" s="41"/>
      <c r="E485" s="41"/>
      <c r="F485" s="41"/>
      <c r="G485" s="41"/>
      <c r="H485" s="41"/>
      <c r="I485" s="41"/>
      <c r="J485" s="41"/>
      <c r="K485" s="41"/>
      <c r="L485" s="41"/>
      <c r="M485" s="41"/>
      <c r="N485" s="41"/>
      <c r="O485" s="41"/>
      <c r="P485" s="41"/>
      <c r="Q485" s="64"/>
      <c r="R485" s="41"/>
      <c r="S485" s="41"/>
      <c r="T485" s="41"/>
      <c r="U485" s="41"/>
      <c r="V485" s="41"/>
      <c r="W485" s="41"/>
      <c r="X485" s="41"/>
      <c r="Y485" s="41"/>
      <c r="Z485" s="41"/>
      <c r="AA485" s="41"/>
    </row>
    <row r="486" spans="1:27" ht="15.75" hidden="1" customHeight="1" x14ac:dyDescent="0.25">
      <c r="A486" s="51"/>
      <c r="B486" s="41"/>
      <c r="C486" s="41"/>
      <c r="D486" s="41"/>
      <c r="E486" s="41"/>
      <c r="F486" s="41"/>
      <c r="G486" s="41"/>
      <c r="H486" s="41"/>
      <c r="I486" s="41"/>
      <c r="J486" s="41"/>
      <c r="K486" s="41"/>
      <c r="L486" s="41"/>
      <c r="M486" s="41"/>
      <c r="N486" s="41"/>
      <c r="O486" s="41"/>
      <c r="P486" s="41"/>
      <c r="Q486" s="64"/>
      <c r="R486" s="41"/>
      <c r="S486" s="41"/>
      <c r="T486" s="41"/>
      <c r="U486" s="41"/>
      <c r="V486" s="41"/>
      <c r="W486" s="41"/>
      <c r="X486" s="41"/>
      <c r="Y486" s="41"/>
      <c r="Z486" s="41"/>
      <c r="AA486" s="41"/>
    </row>
    <row r="487" spans="1:27" ht="15.75" hidden="1" customHeight="1" x14ac:dyDescent="0.25">
      <c r="A487" s="51"/>
      <c r="B487" s="41"/>
      <c r="C487" s="41"/>
      <c r="D487" s="41"/>
      <c r="E487" s="41"/>
      <c r="F487" s="41"/>
      <c r="G487" s="41"/>
      <c r="H487" s="41"/>
      <c r="I487" s="41"/>
      <c r="J487" s="41"/>
      <c r="K487" s="41"/>
      <c r="L487" s="41"/>
      <c r="M487" s="41"/>
      <c r="N487" s="41"/>
      <c r="O487" s="41"/>
      <c r="P487" s="41"/>
      <c r="Q487" s="64"/>
      <c r="R487" s="41"/>
      <c r="S487" s="41"/>
      <c r="T487" s="41"/>
      <c r="U487" s="41"/>
      <c r="V487" s="41"/>
      <c r="W487" s="41"/>
      <c r="X487" s="41"/>
      <c r="Y487" s="41"/>
      <c r="Z487" s="41"/>
      <c r="AA487" s="41"/>
    </row>
    <row r="488" spans="1:27" ht="15.75" hidden="1" customHeight="1" x14ac:dyDescent="0.25">
      <c r="A488" s="51"/>
      <c r="B488" s="41"/>
      <c r="C488" s="41"/>
      <c r="D488" s="41"/>
      <c r="E488" s="41"/>
      <c r="F488" s="41"/>
      <c r="G488" s="41"/>
      <c r="H488" s="41"/>
      <c r="I488" s="41"/>
      <c r="J488" s="41"/>
      <c r="K488" s="41"/>
      <c r="L488" s="41"/>
      <c r="M488" s="41"/>
      <c r="N488" s="41"/>
      <c r="O488" s="41"/>
      <c r="P488" s="41"/>
      <c r="Q488" s="64"/>
      <c r="R488" s="41"/>
      <c r="S488" s="41"/>
      <c r="T488" s="41"/>
      <c r="U488" s="41"/>
      <c r="V488" s="41"/>
      <c r="W488" s="41"/>
      <c r="X488" s="41"/>
      <c r="Y488" s="41"/>
      <c r="Z488" s="41"/>
      <c r="AA488" s="41"/>
    </row>
    <row r="489" spans="1:27" ht="15.75" hidden="1" customHeight="1" x14ac:dyDescent="0.25">
      <c r="A489" s="51"/>
      <c r="B489" s="41"/>
      <c r="C489" s="41"/>
      <c r="D489" s="41"/>
      <c r="E489" s="41"/>
      <c r="F489" s="41"/>
      <c r="G489" s="41"/>
      <c r="H489" s="41"/>
      <c r="I489" s="41"/>
      <c r="J489" s="41"/>
      <c r="K489" s="41"/>
      <c r="L489" s="41"/>
      <c r="M489" s="41"/>
      <c r="N489" s="41"/>
      <c r="O489" s="41"/>
      <c r="P489" s="41"/>
      <c r="Q489" s="64"/>
      <c r="R489" s="41"/>
      <c r="S489" s="41"/>
      <c r="T489" s="41"/>
      <c r="U489" s="41"/>
      <c r="V489" s="41"/>
      <c r="W489" s="41"/>
      <c r="X489" s="41"/>
      <c r="Y489" s="41"/>
      <c r="Z489" s="41"/>
      <c r="AA489" s="41"/>
    </row>
    <row r="490" spans="1:27" ht="15.75" hidden="1" customHeight="1" x14ac:dyDescent="0.25">
      <c r="A490" s="51"/>
      <c r="B490" s="41"/>
      <c r="C490" s="41"/>
      <c r="D490" s="41"/>
      <c r="E490" s="41"/>
      <c r="F490" s="41"/>
      <c r="G490" s="41"/>
      <c r="H490" s="41"/>
      <c r="I490" s="41"/>
      <c r="J490" s="41"/>
      <c r="K490" s="41"/>
      <c r="L490" s="41"/>
      <c r="M490" s="41"/>
      <c r="N490" s="41"/>
      <c r="O490" s="41"/>
      <c r="P490" s="41"/>
      <c r="Q490" s="64"/>
      <c r="R490" s="41"/>
      <c r="S490" s="41"/>
      <c r="T490" s="41"/>
      <c r="U490" s="41"/>
      <c r="V490" s="41"/>
      <c r="W490" s="41"/>
      <c r="X490" s="41"/>
      <c r="Y490" s="41"/>
      <c r="Z490" s="41"/>
      <c r="AA490" s="41"/>
    </row>
    <row r="491" spans="1:27" ht="15.75" hidden="1" customHeight="1" x14ac:dyDescent="0.25">
      <c r="A491" s="51"/>
      <c r="B491" s="41"/>
      <c r="C491" s="41"/>
      <c r="D491" s="41"/>
      <c r="E491" s="41"/>
      <c r="F491" s="41"/>
      <c r="G491" s="41"/>
      <c r="H491" s="41"/>
      <c r="I491" s="41"/>
      <c r="J491" s="41"/>
      <c r="K491" s="41"/>
      <c r="L491" s="41"/>
      <c r="M491" s="41"/>
      <c r="N491" s="41"/>
      <c r="O491" s="41"/>
      <c r="P491" s="41"/>
      <c r="Q491" s="64"/>
      <c r="R491" s="41"/>
      <c r="S491" s="41"/>
      <c r="T491" s="41"/>
      <c r="U491" s="41"/>
      <c r="V491" s="41"/>
      <c r="W491" s="41"/>
      <c r="X491" s="41"/>
      <c r="Y491" s="41"/>
      <c r="Z491" s="41"/>
      <c r="AA491" s="41"/>
    </row>
    <row r="492" spans="1:27" ht="15.75" hidden="1" customHeight="1" x14ac:dyDescent="0.25">
      <c r="A492" s="51"/>
      <c r="B492" s="41"/>
      <c r="C492" s="41"/>
      <c r="D492" s="41"/>
      <c r="E492" s="41"/>
      <c r="F492" s="41"/>
      <c r="G492" s="41"/>
      <c r="H492" s="41"/>
      <c r="I492" s="41"/>
      <c r="J492" s="41"/>
      <c r="K492" s="41"/>
      <c r="L492" s="41"/>
      <c r="M492" s="41"/>
      <c r="N492" s="41"/>
      <c r="O492" s="41"/>
      <c r="P492" s="41"/>
      <c r="Q492" s="64"/>
      <c r="R492" s="41"/>
      <c r="S492" s="41"/>
      <c r="T492" s="41"/>
      <c r="U492" s="41"/>
      <c r="V492" s="41"/>
      <c r="W492" s="41"/>
      <c r="X492" s="41"/>
      <c r="Y492" s="41"/>
      <c r="Z492" s="41"/>
      <c r="AA492" s="41"/>
    </row>
    <row r="493" spans="1:27" ht="15.75" hidden="1" customHeight="1" x14ac:dyDescent="0.25">
      <c r="A493" s="51"/>
      <c r="B493" s="41"/>
      <c r="C493" s="41"/>
      <c r="D493" s="41"/>
      <c r="E493" s="41"/>
      <c r="F493" s="41"/>
      <c r="G493" s="41"/>
      <c r="H493" s="41"/>
      <c r="I493" s="41"/>
      <c r="J493" s="41"/>
      <c r="K493" s="41"/>
      <c r="L493" s="41"/>
      <c r="M493" s="41"/>
      <c r="N493" s="41"/>
      <c r="O493" s="41"/>
      <c r="P493" s="41"/>
      <c r="Q493" s="64"/>
      <c r="R493" s="41"/>
      <c r="S493" s="41"/>
      <c r="T493" s="41"/>
      <c r="U493" s="41"/>
      <c r="V493" s="41"/>
      <c r="W493" s="41"/>
      <c r="X493" s="41"/>
      <c r="Y493" s="41"/>
      <c r="Z493" s="41"/>
      <c r="AA493" s="41"/>
    </row>
    <row r="494" spans="1:27" ht="15.75" hidden="1" customHeight="1" x14ac:dyDescent="0.25">
      <c r="A494" s="51"/>
      <c r="B494" s="41"/>
      <c r="C494" s="41"/>
      <c r="D494" s="41"/>
      <c r="E494" s="41"/>
      <c r="F494" s="41"/>
      <c r="G494" s="41"/>
      <c r="H494" s="41"/>
      <c r="I494" s="41"/>
      <c r="J494" s="41"/>
      <c r="K494" s="41"/>
      <c r="L494" s="41"/>
      <c r="M494" s="41"/>
      <c r="N494" s="41"/>
      <c r="O494" s="41"/>
      <c r="P494" s="41"/>
      <c r="Q494" s="64"/>
      <c r="R494" s="41"/>
      <c r="S494" s="41"/>
      <c r="T494" s="41"/>
      <c r="U494" s="41"/>
      <c r="V494" s="41"/>
      <c r="W494" s="41"/>
      <c r="X494" s="41"/>
      <c r="Y494" s="41"/>
      <c r="Z494" s="41"/>
      <c r="AA494" s="41"/>
    </row>
    <row r="495" spans="1:27" ht="15.75" hidden="1" customHeight="1" x14ac:dyDescent="0.25">
      <c r="A495" s="51"/>
      <c r="B495" s="41"/>
      <c r="C495" s="41"/>
      <c r="D495" s="41"/>
      <c r="E495" s="41"/>
      <c r="F495" s="41"/>
      <c r="G495" s="41"/>
      <c r="H495" s="41"/>
      <c r="I495" s="41"/>
      <c r="J495" s="41"/>
      <c r="K495" s="41"/>
      <c r="L495" s="41"/>
      <c r="M495" s="41"/>
      <c r="N495" s="41"/>
      <c r="O495" s="41"/>
      <c r="P495" s="41"/>
      <c r="Q495" s="64"/>
      <c r="R495" s="41"/>
      <c r="S495" s="41"/>
      <c r="T495" s="41"/>
      <c r="U495" s="41"/>
      <c r="V495" s="41"/>
      <c r="W495" s="41"/>
      <c r="X495" s="41"/>
      <c r="Y495" s="41"/>
      <c r="Z495" s="41"/>
      <c r="AA495" s="41"/>
    </row>
    <row r="496" spans="1:27" ht="15.75" hidden="1" customHeight="1" x14ac:dyDescent="0.25">
      <c r="A496" s="51"/>
      <c r="B496" s="41"/>
      <c r="C496" s="41"/>
      <c r="D496" s="41"/>
      <c r="E496" s="41"/>
      <c r="F496" s="41"/>
      <c r="G496" s="41"/>
      <c r="H496" s="41"/>
      <c r="I496" s="41"/>
      <c r="J496" s="41"/>
      <c r="K496" s="41"/>
      <c r="L496" s="41"/>
      <c r="M496" s="41"/>
      <c r="N496" s="41"/>
      <c r="O496" s="41"/>
      <c r="P496" s="41"/>
      <c r="Q496" s="64"/>
      <c r="R496" s="41"/>
      <c r="S496" s="41"/>
      <c r="T496" s="41"/>
      <c r="U496" s="41"/>
      <c r="V496" s="41"/>
      <c r="W496" s="41"/>
      <c r="X496" s="41"/>
      <c r="Y496" s="41"/>
      <c r="Z496" s="41"/>
      <c r="AA496" s="41"/>
    </row>
    <row r="497" spans="1:27" ht="15.75" hidden="1" customHeight="1" x14ac:dyDescent="0.25">
      <c r="A497" s="51"/>
      <c r="B497" s="41"/>
      <c r="C497" s="41"/>
      <c r="D497" s="41"/>
      <c r="E497" s="41"/>
      <c r="F497" s="41"/>
      <c r="G497" s="41"/>
      <c r="H497" s="41"/>
      <c r="I497" s="41"/>
      <c r="J497" s="41"/>
      <c r="K497" s="41"/>
      <c r="L497" s="41"/>
      <c r="M497" s="41"/>
      <c r="N497" s="41"/>
      <c r="O497" s="41"/>
      <c r="P497" s="41"/>
      <c r="Q497" s="64"/>
      <c r="R497" s="41"/>
      <c r="S497" s="41"/>
      <c r="T497" s="41"/>
      <c r="U497" s="41"/>
      <c r="V497" s="41"/>
      <c r="W497" s="41"/>
      <c r="X497" s="41"/>
      <c r="Y497" s="41"/>
      <c r="Z497" s="41"/>
      <c r="AA497" s="41"/>
    </row>
    <row r="498" spans="1:27" ht="15.75" hidden="1" customHeight="1" x14ac:dyDescent="0.25">
      <c r="A498" s="51"/>
      <c r="B498" s="41"/>
      <c r="C498" s="41"/>
      <c r="D498" s="41"/>
      <c r="E498" s="41"/>
      <c r="F498" s="41"/>
      <c r="G498" s="41"/>
      <c r="H498" s="41"/>
      <c r="I498" s="41"/>
      <c r="J498" s="41"/>
      <c r="K498" s="41"/>
      <c r="L498" s="41"/>
      <c r="M498" s="41"/>
      <c r="N498" s="41"/>
      <c r="O498" s="41"/>
      <c r="P498" s="41"/>
      <c r="Q498" s="64"/>
      <c r="R498" s="41"/>
      <c r="S498" s="41"/>
      <c r="T498" s="41"/>
      <c r="U498" s="41"/>
      <c r="V498" s="41"/>
      <c r="W498" s="41"/>
      <c r="X498" s="41"/>
      <c r="Y498" s="41"/>
      <c r="Z498" s="41"/>
      <c r="AA498" s="41"/>
    </row>
    <row r="499" spans="1:27" ht="15.75" hidden="1" customHeight="1" x14ac:dyDescent="0.25">
      <c r="A499" s="51"/>
      <c r="B499" s="41"/>
      <c r="C499" s="41"/>
      <c r="D499" s="41"/>
      <c r="E499" s="41"/>
      <c r="F499" s="41"/>
      <c r="G499" s="41"/>
      <c r="H499" s="41"/>
      <c r="I499" s="41"/>
      <c r="J499" s="41"/>
      <c r="K499" s="41"/>
      <c r="L499" s="41"/>
      <c r="M499" s="41"/>
      <c r="N499" s="41"/>
      <c r="O499" s="41"/>
      <c r="P499" s="41"/>
      <c r="Q499" s="64"/>
      <c r="R499" s="41"/>
      <c r="S499" s="41"/>
      <c r="T499" s="41"/>
      <c r="U499" s="41"/>
      <c r="V499" s="41"/>
      <c r="W499" s="41"/>
      <c r="X499" s="41"/>
      <c r="Y499" s="41"/>
      <c r="Z499" s="41"/>
      <c r="AA499" s="41"/>
    </row>
    <row r="500" spans="1:27" ht="15.75" hidden="1" customHeight="1" x14ac:dyDescent="0.25">
      <c r="A500" s="51"/>
      <c r="B500" s="41"/>
      <c r="C500" s="41"/>
      <c r="D500" s="41"/>
      <c r="E500" s="41"/>
      <c r="F500" s="41"/>
      <c r="G500" s="41"/>
      <c r="H500" s="41"/>
      <c r="I500" s="41"/>
      <c r="J500" s="41"/>
      <c r="K500" s="41"/>
      <c r="L500" s="41"/>
      <c r="M500" s="41"/>
      <c r="N500" s="41"/>
      <c r="O500" s="41"/>
      <c r="P500" s="41"/>
      <c r="Q500" s="64"/>
      <c r="R500" s="41"/>
      <c r="S500" s="41"/>
      <c r="T500" s="41"/>
      <c r="U500" s="41"/>
      <c r="V500" s="41"/>
      <c r="W500" s="41"/>
      <c r="X500" s="41"/>
      <c r="Y500" s="41"/>
      <c r="Z500" s="41"/>
      <c r="AA500" s="41"/>
    </row>
    <row r="501" spans="1:27" ht="15.75" hidden="1" customHeight="1" x14ac:dyDescent="0.25">
      <c r="A501" s="51"/>
      <c r="B501" s="41"/>
      <c r="C501" s="41"/>
      <c r="D501" s="41"/>
      <c r="E501" s="41"/>
      <c r="F501" s="41"/>
      <c r="G501" s="41"/>
      <c r="H501" s="41"/>
      <c r="I501" s="41"/>
      <c r="J501" s="41"/>
      <c r="K501" s="41"/>
      <c r="L501" s="41"/>
      <c r="M501" s="41"/>
      <c r="N501" s="41"/>
      <c r="O501" s="41"/>
      <c r="P501" s="41"/>
      <c r="Q501" s="64"/>
      <c r="R501" s="41"/>
      <c r="S501" s="41"/>
      <c r="T501" s="41"/>
      <c r="U501" s="41"/>
      <c r="V501" s="41"/>
      <c r="W501" s="41"/>
      <c r="X501" s="41"/>
      <c r="Y501" s="41"/>
      <c r="Z501" s="41"/>
      <c r="AA501" s="41"/>
    </row>
    <row r="502" spans="1:27" ht="15.75" hidden="1" customHeight="1" x14ac:dyDescent="0.25">
      <c r="A502" s="51"/>
      <c r="B502" s="41"/>
      <c r="C502" s="41"/>
      <c r="D502" s="41"/>
      <c r="E502" s="41"/>
      <c r="F502" s="41"/>
      <c r="G502" s="41"/>
      <c r="H502" s="41"/>
      <c r="I502" s="41"/>
      <c r="J502" s="41"/>
      <c r="K502" s="41"/>
      <c r="L502" s="41"/>
      <c r="M502" s="41"/>
      <c r="N502" s="41"/>
      <c r="O502" s="41"/>
      <c r="P502" s="41"/>
      <c r="Q502" s="64"/>
      <c r="R502" s="41"/>
      <c r="S502" s="41"/>
      <c r="T502" s="41"/>
      <c r="U502" s="41"/>
      <c r="V502" s="41"/>
      <c r="W502" s="41"/>
      <c r="X502" s="41"/>
      <c r="Y502" s="41"/>
      <c r="Z502" s="41"/>
      <c r="AA502" s="41"/>
    </row>
    <row r="503" spans="1:27" ht="15.75" hidden="1" customHeight="1" x14ac:dyDescent="0.25">
      <c r="A503" s="51"/>
      <c r="B503" s="41"/>
      <c r="C503" s="41"/>
      <c r="D503" s="41"/>
      <c r="E503" s="41"/>
      <c r="F503" s="41"/>
      <c r="G503" s="41"/>
      <c r="H503" s="41"/>
      <c r="I503" s="41"/>
      <c r="J503" s="41"/>
      <c r="K503" s="41"/>
      <c r="L503" s="41"/>
      <c r="M503" s="41"/>
      <c r="N503" s="41"/>
      <c r="O503" s="41"/>
      <c r="P503" s="41"/>
      <c r="Q503" s="64"/>
      <c r="R503" s="41"/>
      <c r="S503" s="41"/>
      <c r="T503" s="41"/>
      <c r="U503" s="41"/>
      <c r="V503" s="41"/>
      <c r="W503" s="41"/>
      <c r="X503" s="41"/>
      <c r="Y503" s="41"/>
      <c r="Z503" s="41"/>
      <c r="AA503" s="41"/>
    </row>
    <row r="504" spans="1:27" ht="15.75" hidden="1" customHeight="1" x14ac:dyDescent="0.25">
      <c r="A504" s="51"/>
      <c r="B504" s="41"/>
      <c r="C504" s="41"/>
      <c r="D504" s="41"/>
      <c r="E504" s="41"/>
      <c r="F504" s="41"/>
      <c r="G504" s="41"/>
      <c r="H504" s="41"/>
      <c r="I504" s="41"/>
      <c r="J504" s="41"/>
      <c r="K504" s="41"/>
      <c r="L504" s="41"/>
      <c r="M504" s="41"/>
      <c r="N504" s="41"/>
      <c r="O504" s="41"/>
      <c r="P504" s="41"/>
      <c r="Q504" s="64"/>
      <c r="R504" s="41"/>
      <c r="S504" s="41"/>
      <c r="T504" s="41"/>
      <c r="U504" s="41"/>
      <c r="V504" s="41"/>
      <c r="W504" s="41"/>
      <c r="X504" s="41"/>
      <c r="Y504" s="41"/>
      <c r="Z504" s="41"/>
      <c r="AA504" s="41"/>
    </row>
    <row r="505" spans="1:27" ht="15.75" hidden="1" customHeight="1" x14ac:dyDescent="0.25">
      <c r="A505" s="51"/>
      <c r="B505" s="41"/>
      <c r="C505" s="41"/>
      <c r="D505" s="41"/>
      <c r="E505" s="41"/>
      <c r="F505" s="41"/>
      <c r="G505" s="41"/>
      <c r="H505" s="41"/>
      <c r="I505" s="41"/>
      <c r="J505" s="41"/>
      <c r="K505" s="41"/>
      <c r="L505" s="41"/>
      <c r="M505" s="41"/>
      <c r="N505" s="41"/>
      <c r="O505" s="41"/>
      <c r="P505" s="41"/>
      <c r="Q505" s="64"/>
      <c r="R505" s="41"/>
      <c r="S505" s="41"/>
      <c r="T505" s="41"/>
      <c r="U505" s="41"/>
      <c r="V505" s="41"/>
      <c r="W505" s="41"/>
      <c r="X505" s="41"/>
      <c r="Y505" s="41"/>
      <c r="Z505" s="41"/>
      <c r="AA505" s="41"/>
    </row>
    <row r="506" spans="1:27" ht="15.75" hidden="1" customHeight="1" x14ac:dyDescent="0.25">
      <c r="A506" s="51"/>
      <c r="B506" s="41"/>
      <c r="C506" s="41"/>
      <c r="D506" s="41"/>
      <c r="E506" s="41"/>
      <c r="F506" s="41"/>
      <c r="G506" s="41"/>
      <c r="H506" s="41"/>
      <c r="I506" s="41"/>
      <c r="J506" s="41"/>
      <c r="K506" s="41"/>
      <c r="L506" s="41"/>
      <c r="M506" s="41"/>
      <c r="N506" s="41"/>
      <c r="O506" s="41"/>
      <c r="P506" s="41"/>
      <c r="Q506" s="64"/>
      <c r="R506" s="41"/>
      <c r="S506" s="41"/>
      <c r="T506" s="41"/>
      <c r="U506" s="41"/>
      <c r="V506" s="41"/>
      <c r="W506" s="41"/>
      <c r="X506" s="41"/>
      <c r="Y506" s="41"/>
      <c r="Z506" s="41"/>
      <c r="AA506" s="41"/>
    </row>
    <row r="507" spans="1:27" ht="15.75" hidden="1" customHeight="1" x14ac:dyDescent="0.25">
      <c r="A507" s="51"/>
      <c r="B507" s="41"/>
      <c r="C507" s="41"/>
      <c r="D507" s="41"/>
      <c r="E507" s="41"/>
      <c r="F507" s="41"/>
      <c r="G507" s="41"/>
      <c r="H507" s="41"/>
      <c r="I507" s="41"/>
      <c r="J507" s="41"/>
      <c r="K507" s="41"/>
      <c r="L507" s="41"/>
      <c r="M507" s="41"/>
      <c r="N507" s="41"/>
      <c r="O507" s="41"/>
      <c r="P507" s="41"/>
      <c r="Q507" s="64"/>
      <c r="R507" s="41"/>
      <c r="S507" s="41"/>
      <c r="T507" s="41"/>
      <c r="U507" s="41"/>
      <c r="V507" s="41"/>
      <c r="W507" s="41"/>
      <c r="X507" s="41"/>
      <c r="Y507" s="41"/>
      <c r="Z507" s="41"/>
      <c r="AA507" s="41"/>
    </row>
    <row r="508" spans="1:27" ht="15.75" hidden="1" customHeight="1" x14ac:dyDescent="0.25">
      <c r="A508" s="51"/>
      <c r="B508" s="41"/>
      <c r="C508" s="41"/>
      <c r="D508" s="41"/>
      <c r="E508" s="41"/>
      <c r="F508" s="41"/>
      <c r="G508" s="41"/>
      <c r="H508" s="41"/>
      <c r="I508" s="41"/>
      <c r="J508" s="41"/>
      <c r="K508" s="41"/>
      <c r="L508" s="41"/>
      <c r="M508" s="41"/>
      <c r="N508" s="41"/>
      <c r="O508" s="41"/>
      <c r="P508" s="41"/>
      <c r="Q508" s="64"/>
      <c r="R508" s="41"/>
      <c r="S508" s="41"/>
      <c r="T508" s="41"/>
      <c r="U508" s="41"/>
      <c r="V508" s="41"/>
      <c r="W508" s="41"/>
      <c r="X508" s="41"/>
      <c r="Y508" s="41"/>
      <c r="Z508" s="41"/>
      <c r="AA508" s="41"/>
    </row>
    <row r="509" spans="1:27" ht="15.75" hidden="1" customHeight="1" x14ac:dyDescent="0.25">
      <c r="A509" s="51"/>
      <c r="B509" s="41"/>
      <c r="C509" s="41"/>
      <c r="D509" s="41"/>
      <c r="E509" s="41"/>
      <c r="F509" s="41"/>
      <c r="G509" s="41"/>
      <c r="H509" s="41"/>
      <c r="I509" s="41"/>
      <c r="J509" s="41"/>
      <c r="K509" s="41"/>
      <c r="L509" s="41"/>
      <c r="M509" s="41"/>
      <c r="N509" s="41"/>
      <c r="O509" s="41"/>
      <c r="P509" s="41"/>
      <c r="Q509" s="64"/>
      <c r="R509" s="41"/>
      <c r="S509" s="41"/>
      <c r="T509" s="41"/>
      <c r="U509" s="41"/>
      <c r="V509" s="41"/>
      <c r="W509" s="41"/>
      <c r="X509" s="41"/>
      <c r="Y509" s="41"/>
      <c r="Z509" s="41"/>
      <c r="AA509" s="41"/>
    </row>
    <row r="510" spans="1:27" ht="15.75" hidden="1" customHeight="1" x14ac:dyDescent="0.25">
      <c r="A510" s="51"/>
      <c r="B510" s="41"/>
      <c r="C510" s="41"/>
      <c r="D510" s="41"/>
      <c r="E510" s="41"/>
      <c r="F510" s="41"/>
      <c r="G510" s="41"/>
      <c r="H510" s="41"/>
      <c r="I510" s="41"/>
      <c r="J510" s="41"/>
      <c r="K510" s="41"/>
      <c r="L510" s="41"/>
      <c r="M510" s="41"/>
      <c r="N510" s="41"/>
      <c r="O510" s="41"/>
      <c r="P510" s="41"/>
      <c r="Q510" s="64"/>
      <c r="R510" s="41"/>
      <c r="S510" s="41"/>
      <c r="T510" s="41"/>
      <c r="U510" s="41"/>
      <c r="V510" s="41"/>
      <c r="W510" s="41"/>
      <c r="X510" s="41"/>
      <c r="Y510" s="41"/>
      <c r="Z510" s="41"/>
      <c r="AA510" s="41"/>
    </row>
    <row r="511" spans="1:27" ht="15.75" hidden="1" customHeight="1" x14ac:dyDescent="0.25">
      <c r="A511" s="51"/>
      <c r="B511" s="41"/>
      <c r="C511" s="41"/>
      <c r="D511" s="41"/>
      <c r="E511" s="41"/>
      <c r="F511" s="41"/>
      <c r="G511" s="41"/>
      <c r="H511" s="41"/>
      <c r="I511" s="41"/>
      <c r="J511" s="41"/>
      <c r="K511" s="41"/>
      <c r="L511" s="41"/>
      <c r="M511" s="41"/>
      <c r="N511" s="41"/>
      <c r="O511" s="41"/>
      <c r="P511" s="41"/>
      <c r="Q511" s="64"/>
      <c r="R511" s="41"/>
      <c r="S511" s="41"/>
      <c r="T511" s="41"/>
      <c r="U511" s="41"/>
      <c r="V511" s="41"/>
      <c r="W511" s="41"/>
      <c r="X511" s="41"/>
      <c r="Y511" s="41"/>
      <c r="Z511" s="41"/>
      <c r="AA511" s="41"/>
    </row>
    <row r="512" spans="1:27" ht="15.75" hidden="1" customHeight="1" x14ac:dyDescent="0.25">
      <c r="A512" s="51"/>
      <c r="B512" s="41"/>
      <c r="C512" s="41"/>
      <c r="D512" s="41"/>
      <c r="E512" s="41"/>
      <c r="F512" s="41"/>
      <c r="G512" s="41"/>
      <c r="H512" s="41"/>
      <c r="I512" s="41"/>
      <c r="J512" s="41"/>
      <c r="K512" s="41"/>
      <c r="L512" s="41"/>
      <c r="M512" s="41"/>
      <c r="N512" s="41"/>
      <c r="O512" s="41"/>
      <c r="P512" s="41"/>
      <c r="Q512" s="64"/>
      <c r="R512" s="41"/>
      <c r="S512" s="41"/>
      <c r="T512" s="41"/>
      <c r="U512" s="41"/>
      <c r="V512" s="41"/>
      <c r="W512" s="41"/>
      <c r="X512" s="41"/>
      <c r="Y512" s="41"/>
      <c r="Z512" s="41"/>
      <c r="AA512" s="41"/>
    </row>
    <row r="513" spans="1:27" ht="15.75" hidden="1" customHeight="1" x14ac:dyDescent="0.25">
      <c r="A513" s="51"/>
      <c r="B513" s="41"/>
      <c r="C513" s="41"/>
      <c r="D513" s="41"/>
      <c r="E513" s="41"/>
      <c r="F513" s="41"/>
      <c r="G513" s="41"/>
      <c r="H513" s="41"/>
      <c r="I513" s="41"/>
      <c r="J513" s="41"/>
      <c r="K513" s="41"/>
      <c r="L513" s="41"/>
      <c r="M513" s="41"/>
      <c r="N513" s="41"/>
      <c r="O513" s="41"/>
      <c r="P513" s="41"/>
      <c r="Q513" s="64"/>
      <c r="R513" s="41"/>
      <c r="S513" s="41"/>
      <c r="T513" s="41"/>
      <c r="U513" s="41"/>
      <c r="V513" s="41"/>
      <c r="W513" s="41"/>
      <c r="X513" s="41"/>
      <c r="Y513" s="41"/>
      <c r="Z513" s="41"/>
      <c r="AA513" s="41"/>
    </row>
    <row r="514" spans="1:27" ht="15.75" hidden="1" customHeight="1" x14ac:dyDescent="0.25">
      <c r="A514" s="51"/>
      <c r="B514" s="41"/>
      <c r="C514" s="41"/>
      <c r="D514" s="41"/>
      <c r="E514" s="41"/>
      <c r="F514" s="41"/>
      <c r="G514" s="41"/>
      <c r="H514" s="41"/>
      <c r="I514" s="41"/>
      <c r="J514" s="41"/>
      <c r="K514" s="41"/>
      <c r="L514" s="41"/>
      <c r="M514" s="41"/>
      <c r="N514" s="41"/>
      <c r="O514" s="41"/>
      <c r="P514" s="41"/>
      <c r="Q514" s="64"/>
      <c r="R514" s="41"/>
      <c r="S514" s="41"/>
      <c r="T514" s="41"/>
      <c r="U514" s="41"/>
      <c r="V514" s="41"/>
      <c r="W514" s="41"/>
      <c r="X514" s="41"/>
      <c r="Y514" s="41"/>
      <c r="Z514" s="41"/>
      <c r="AA514" s="41"/>
    </row>
    <row r="515" spans="1:27" ht="15.75" hidden="1" customHeight="1" x14ac:dyDescent="0.25">
      <c r="A515" s="51"/>
      <c r="B515" s="41"/>
      <c r="C515" s="41"/>
      <c r="D515" s="41"/>
      <c r="E515" s="41"/>
      <c r="F515" s="41"/>
      <c r="G515" s="41"/>
      <c r="H515" s="41"/>
      <c r="I515" s="41"/>
      <c r="J515" s="41"/>
      <c r="K515" s="41"/>
      <c r="L515" s="41"/>
      <c r="M515" s="41"/>
      <c r="N515" s="41"/>
      <c r="O515" s="41"/>
      <c r="P515" s="41"/>
      <c r="Q515" s="64"/>
      <c r="R515" s="41"/>
      <c r="S515" s="41"/>
      <c r="T515" s="41"/>
      <c r="U515" s="41"/>
      <c r="V515" s="41"/>
      <c r="W515" s="41"/>
      <c r="X515" s="41"/>
      <c r="Y515" s="41"/>
      <c r="Z515" s="41"/>
      <c r="AA515" s="41"/>
    </row>
    <row r="516" spans="1:27" ht="15.75" hidden="1" customHeight="1" x14ac:dyDescent="0.25">
      <c r="A516" s="51"/>
      <c r="B516" s="41"/>
      <c r="C516" s="41"/>
      <c r="D516" s="41"/>
      <c r="E516" s="41"/>
      <c r="F516" s="41"/>
      <c r="G516" s="41"/>
      <c r="H516" s="41"/>
      <c r="I516" s="41"/>
      <c r="J516" s="41"/>
      <c r="K516" s="41"/>
      <c r="L516" s="41"/>
      <c r="M516" s="41"/>
      <c r="N516" s="41"/>
      <c r="O516" s="41"/>
      <c r="P516" s="41"/>
      <c r="Q516" s="64"/>
      <c r="R516" s="41"/>
      <c r="S516" s="41"/>
      <c r="T516" s="41"/>
      <c r="U516" s="41"/>
      <c r="V516" s="41"/>
      <c r="W516" s="41"/>
      <c r="X516" s="41"/>
      <c r="Y516" s="41"/>
      <c r="Z516" s="41"/>
      <c r="AA516" s="41"/>
    </row>
    <row r="517" spans="1:27" ht="15.75" hidden="1" customHeight="1" x14ac:dyDescent="0.25">
      <c r="A517" s="51"/>
      <c r="B517" s="41"/>
      <c r="C517" s="41"/>
      <c r="D517" s="41"/>
      <c r="E517" s="41"/>
      <c r="F517" s="41"/>
      <c r="G517" s="41"/>
      <c r="H517" s="41"/>
      <c r="I517" s="41"/>
      <c r="J517" s="41"/>
      <c r="K517" s="41"/>
      <c r="L517" s="41"/>
      <c r="M517" s="41"/>
      <c r="N517" s="41"/>
      <c r="O517" s="41"/>
      <c r="P517" s="41"/>
      <c r="Q517" s="64"/>
      <c r="R517" s="41"/>
      <c r="S517" s="41"/>
      <c r="T517" s="41"/>
      <c r="U517" s="41"/>
      <c r="V517" s="41"/>
      <c r="W517" s="41"/>
      <c r="X517" s="41"/>
      <c r="Y517" s="41"/>
      <c r="Z517" s="41"/>
      <c r="AA517" s="41"/>
    </row>
    <row r="518" spans="1:27" ht="15.75" hidden="1" customHeight="1" x14ac:dyDescent="0.25">
      <c r="A518" s="51"/>
      <c r="B518" s="41"/>
      <c r="C518" s="41"/>
      <c r="D518" s="41"/>
      <c r="E518" s="41"/>
      <c r="F518" s="41"/>
      <c r="G518" s="41"/>
      <c r="H518" s="41"/>
      <c r="I518" s="41"/>
      <c r="J518" s="41"/>
      <c r="K518" s="41"/>
      <c r="L518" s="41"/>
      <c r="M518" s="41"/>
      <c r="N518" s="41"/>
      <c r="O518" s="41"/>
      <c r="P518" s="41"/>
      <c r="Q518" s="64"/>
      <c r="R518" s="41"/>
      <c r="S518" s="41"/>
      <c r="T518" s="41"/>
      <c r="U518" s="41"/>
      <c r="V518" s="41"/>
      <c r="W518" s="41"/>
      <c r="X518" s="41"/>
      <c r="Y518" s="41"/>
      <c r="Z518" s="41"/>
      <c r="AA518" s="41"/>
    </row>
    <row r="519" spans="1:27" ht="15.75" hidden="1" customHeight="1" x14ac:dyDescent="0.25">
      <c r="A519" s="51"/>
      <c r="B519" s="41"/>
      <c r="C519" s="41"/>
      <c r="D519" s="41"/>
      <c r="E519" s="41"/>
      <c r="F519" s="41"/>
      <c r="G519" s="41"/>
      <c r="H519" s="41"/>
      <c r="I519" s="41"/>
      <c r="J519" s="41"/>
      <c r="K519" s="41"/>
      <c r="L519" s="41"/>
      <c r="M519" s="41"/>
      <c r="N519" s="41"/>
      <c r="O519" s="41"/>
      <c r="P519" s="41"/>
      <c r="Q519" s="64"/>
      <c r="R519" s="41"/>
      <c r="S519" s="41"/>
      <c r="T519" s="41"/>
      <c r="U519" s="41"/>
      <c r="V519" s="41"/>
      <c r="W519" s="41"/>
      <c r="X519" s="41"/>
      <c r="Y519" s="41"/>
      <c r="Z519" s="41"/>
      <c r="AA519" s="41"/>
    </row>
    <row r="520" spans="1:27" ht="15.75" hidden="1" customHeight="1" x14ac:dyDescent="0.25">
      <c r="A520" s="51"/>
      <c r="B520" s="41"/>
      <c r="C520" s="41"/>
      <c r="D520" s="41"/>
      <c r="E520" s="41"/>
      <c r="F520" s="41"/>
      <c r="G520" s="41"/>
      <c r="H520" s="41"/>
      <c r="I520" s="41"/>
      <c r="J520" s="41"/>
      <c r="K520" s="41"/>
      <c r="L520" s="41"/>
      <c r="M520" s="41"/>
      <c r="N520" s="41"/>
      <c r="O520" s="41"/>
      <c r="P520" s="41"/>
      <c r="Q520" s="64"/>
      <c r="R520" s="41"/>
      <c r="S520" s="41"/>
      <c r="T520" s="41"/>
      <c r="U520" s="41"/>
      <c r="V520" s="41"/>
      <c r="W520" s="41"/>
      <c r="X520" s="41"/>
      <c r="Y520" s="41"/>
      <c r="Z520" s="41"/>
      <c r="AA520" s="41"/>
    </row>
    <row r="521" spans="1:27" ht="15.75" hidden="1" customHeight="1" x14ac:dyDescent="0.25">
      <c r="A521" s="51"/>
      <c r="B521" s="41"/>
      <c r="C521" s="41"/>
      <c r="D521" s="41"/>
      <c r="E521" s="41"/>
      <c r="F521" s="41"/>
      <c r="G521" s="41"/>
      <c r="H521" s="41"/>
      <c r="I521" s="41"/>
      <c r="J521" s="41"/>
      <c r="K521" s="41"/>
      <c r="L521" s="41"/>
      <c r="M521" s="41"/>
      <c r="N521" s="41"/>
      <c r="O521" s="41"/>
      <c r="P521" s="41"/>
      <c r="Q521" s="64"/>
      <c r="R521" s="41"/>
      <c r="S521" s="41"/>
      <c r="T521" s="41"/>
      <c r="U521" s="41"/>
      <c r="V521" s="41"/>
      <c r="W521" s="41"/>
      <c r="X521" s="41"/>
      <c r="Y521" s="41"/>
      <c r="Z521" s="41"/>
      <c r="AA521" s="41"/>
    </row>
    <row r="522" spans="1:27" ht="15.75" hidden="1" customHeight="1" x14ac:dyDescent="0.25">
      <c r="A522" s="51"/>
      <c r="B522" s="41"/>
      <c r="C522" s="41"/>
      <c r="D522" s="41"/>
      <c r="E522" s="41"/>
      <c r="F522" s="41"/>
      <c r="G522" s="41"/>
      <c r="H522" s="41"/>
      <c r="I522" s="41"/>
      <c r="J522" s="41"/>
      <c r="K522" s="41"/>
      <c r="L522" s="41"/>
      <c r="M522" s="41"/>
      <c r="N522" s="41"/>
      <c r="O522" s="41"/>
      <c r="P522" s="41"/>
      <c r="Q522" s="64"/>
      <c r="R522" s="41"/>
      <c r="S522" s="41"/>
      <c r="T522" s="41"/>
      <c r="U522" s="41"/>
      <c r="V522" s="41"/>
      <c r="W522" s="41"/>
      <c r="X522" s="41"/>
      <c r="Y522" s="41"/>
      <c r="Z522" s="41"/>
      <c r="AA522" s="41"/>
    </row>
    <row r="523" spans="1:27" ht="15.75" hidden="1" customHeight="1" x14ac:dyDescent="0.25">
      <c r="A523" s="51"/>
      <c r="B523" s="41"/>
      <c r="C523" s="41"/>
      <c r="D523" s="41"/>
      <c r="E523" s="41"/>
      <c r="F523" s="41"/>
      <c r="G523" s="41"/>
      <c r="H523" s="41"/>
      <c r="I523" s="41"/>
      <c r="J523" s="41"/>
      <c r="K523" s="41"/>
      <c r="L523" s="41"/>
      <c r="M523" s="41"/>
      <c r="N523" s="41"/>
      <c r="O523" s="41"/>
      <c r="P523" s="41"/>
      <c r="Q523" s="64"/>
      <c r="R523" s="41"/>
      <c r="S523" s="41"/>
      <c r="T523" s="41"/>
      <c r="U523" s="41"/>
      <c r="V523" s="41"/>
      <c r="W523" s="41"/>
      <c r="X523" s="41"/>
      <c r="Y523" s="41"/>
      <c r="Z523" s="41"/>
      <c r="AA523" s="41"/>
    </row>
    <row r="524" spans="1:27" ht="15.75" hidden="1" customHeight="1" x14ac:dyDescent="0.25">
      <c r="A524" s="51"/>
      <c r="B524" s="41"/>
      <c r="C524" s="41"/>
      <c r="D524" s="41"/>
      <c r="E524" s="41"/>
      <c r="F524" s="41"/>
      <c r="G524" s="41"/>
      <c r="H524" s="41"/>
      <c r="I524" s="41"/>
      <c r="J524" s="41"/>
      <c r="K524" s="41"/>
      <c r="L524" s="41"/>
      <c r="M524" s="41"/>
      <c r="N524" s="41"/>
      <c r="O524" s="41"/>
      <c r="P524" s="41"/>
      <c r="Q524" s="64"/>
      <c r="R524" s="41"/>
      <c r="S524" s="41"/>
      <c r="T524" s="41"/>
      <c r="U524" s="41"/>
      <c r="V524" s="41"/>
      <c r="W524" s="41"/>
      <c r="X524" s="41"/>
      <c r="Y524" s="41"/>
      <c r="Z524" s="41"/>
      <c r="AA524" s="41"/>
    </row>
    <row r="525" spans="1:27" ht="15.75" hidden="1" customHeight="1" x14ac:dyDescent="0.25">
      <c r="A525" s="51"/>
      <c r="B525" s="41"/>
      <c r="C525" s="41"/>
      <c r="D525" s="41"/>
      <c r="E525" s="41"/>
      <c r="F525" s="41"/>
      <c r="G525" s="41"/>
      <c r="H525" s="41"/>
      <c r="I525" s="41"/>
      <c r="J525" s="41"/>
      <c r="K525" s="41"/>
      <c r="L525" s="41"/>
      <c r="M525" s="41"/>
      <c r="N525" s="41"/>
      <c r="O525" s="41"/>
      <c r="P525" s="41"/>
      <c r="Q525" s="64"/>
      <c r="R525" s="41"/>
      <c r="S525" s="41"/>
      <c r="T525" s="41"/>
      <c r="U525" s="41"/>
      <c r="V525" s="41"/>
      <c r="W525" s="41"/>
      <c r="X525" s="41"/>
      <c r="Y525" s="41"/>
      <c r="Z525" s="41"/>
      <c r="AA525" s="41"/>
    </row>
    <row r="526" spans="1:27" ht="15.75" hidden="1" customHeight="1" x14ac:dyDescent="0.25">
      <c r="A526" s="51"/>
      <c r="B526" s="41"/>
      <c r="C526" s="41"/>
      <c r="D526" s="41"/>
      <c r="E526" s="41"/>
      <c r="F526" s="41"/>
      <c r="G526" s="41"/>
      <c r="H526" s="41"/>
      <c r="I526" s="41"/>
      <c r="J526" s="41"/>
      <c r="K526" s="41"/>
      <c r="L526" s="41"/>
      <c r="M526" s="41"/>
      <c r="N526" s="41"/>
      <c r="O526" s="41"/>
      <c r="P526" s="41"/>
      <c r="Q526" s="64"/>
      <c r="R526" s="41"/>
      <c r="S526" s="41"/>
      <c r="T526" s="41"/>
      <c r="U526" s="41"/>
      <c r="V526" s="41"/>
      <c r="W526" s="41"/>
      <c r="X526" s="41"/>
      <c r="Y526" s="41"/>
      <c r="Z526" s="41"/>
      <c r="AA526" s="41"/>
    </row>
    <row r="527" spans="1:27" ht="15.75" hidden="1" customHeight="1" x14ac:dyDescent="0.25">
      <c r="A527" s="51"/>
      <c r="B527" s="41"/>
      <c r="C527" s="41"/>
      <c r="D527" s="41"/>
      <c r="E527" s="41"/>
      <c r="F527" s="41"/>
      <c r="G527" s="41"/>
      <c r="H527" s="41"/>
      <c r="I527" s="41"/>
      <c r="J527" s="41"/>
      <c r="K527" s="41"/>
      <c r="L527" s="41"/>
      <c r="M527" s="41"/>
      <c r="N527" s="41"/>
      <c r="O527" s="41"/>
      <c r="P527" s="41"/>
      <c r="Q527" s="64"/>
      <c r="R527" s="41"/>
      <c r="S527" s="41"/>
      <c r="T527" s="41"/>
      <c r="U527" s="41"/>
      <c r="V527" s="41"/>
      <c r="W527" s="41"/>
      <c r="X527" s="41"/>
      <c r="Y527" s="41"/>
      <c r="Z527" s="41"/>
      <c r="AA527" s="41"/>
    </row>
    <row r="528" spans="1:27" ht="15.75" hidden="1" customHeight="1" x14ac:dyDescent="0.25">
      <c r="A528" s="51"/>
      <c r="B528" s="41"/>
      <c r="C528" s="41"/>
      <c r="D528" s="41"/>
      <c r="E528" s="41"/>
      <c r="F528" s="41"/>
      <c r="G528" s="41"/>
      <c r="H528" s="41"/>
      <c r="I528" s="41"/>
      <c r="J528" s="41"/>
      <c r="K528" s="41"/>
      <c r="L528" s="41"/>
      <c r="M528" s="41"/>
      <c r="N528" s="41"/>
      <c r="O528" s="41"/>
      <c r="P528" s="41"/>
      <c r="Q528" s="64"/>
      <c r="R528" s="41"/>
      <c r="S528" s="41"/>
      <c r="T528" s="41"/>
      <c r="U528" s="41"/>
      <c r="V528" s="41"/>
      <c r="W528" s="41"/>
      <c r="X528" s="41"/>
      <c r="Y528" s="41"/>
      <c r="Z528" s="41"/>
      <c r="AA528" s="41"/>
    </row>
    <row r="529" spans="1:27" ht="15.75" hidden="1" customHeight="1" x14ac:dyDescent="0.25">
      <c r="A529" s="51"/>
      <c r="B529" s="41"/>
      <c r="C529" s="41"/>
      <c r="D529" s="41"/>
      <c r="E529" s="41"/>
      <c r="F529" s="41"/>
      <c r="G529" s="41"/>
      <c r="H529" s="41"/>
      <c r="I529" s="41"/>
      <c r="J529" s="41"/>
      <c r="K529" s="41"/>
      <c r="L529" s="41"/>
      <c r="M529" s="41"/>
      <c r="N529" s="41"/>
      <c r="O529" s="41"/>
      <c r="P529" s="41"/>
      <c r="Q529" s="64"/>
      <c r="R529" s="41"/>
      <c r="S529" s="41"/>
      <c r="T529" s="41"/>
      <c r="U529" s="41"/>
      <c r="V529" s="41"/>
      <c r="W529" s="41"/>
      <c r="X529" s="41"/>
      <c r="Y529" s="41"/>
      <c r="Z529" s="41"/>
      <c r="AA529" s="41"/>
    </row>
    <row r="530" spans="1:27" ht="15.75" hidden="1" customHeight="1" x14ac:dyDescent="0.25">
      <c r="A530" s="51"/>
      <c r="B530" s="41"/>
      <c r="C530" s="41"/>
      <c r="D530" s="41"/>
      <c r="E530" s="41"/>
      <c r="F530" s="41"/>
      <c r="G530" s="41"/>
      <c r="H530" s="41"/>
      <c r="I530" s="41"/>
      <c r="J530" s="41"/>
      <c r="K530" s="41"/>
      <c r="L530" s="41"/>
      <c r="M530" s="41"/>
      <c r="N530" s="41"/>
      <c r="O530" s="41"/>
      <c r="P530" s="41"/>
      <c r="Q530" s="64"/>
      <c r="R530" s="41"/>
      <c r="S530" s="41"/>
      <c r="T530" s="41"/>
      <c r="U530" s="41"/>
      <c r="V530" s="41"/>
      <c r="W530" s="41"/>
      <c r="X530" s="41"/>
      <c r="Y530" s="41"/>
      <c r="Z530" s="41"/>
      <c r="AA530" s="41"/>
    </row>
    <row r="531" spans="1:27" ht="15.75" hidden="1" customHeight="1" x14ac:dyDescent="0.25">
      <c r="A531" s="51"/>
      <c r="B531" s="41"/>
      <c r="C531" s="41"/>
      <c r="D531" s="41"/>
      <c r="E531" s="41"/>
      <c r="F531" s="41"/>
      <c r="G531" s="41"/>
      <c r="H531" s="41"/>
      <c r="I531" s="41"/>
      <c r="J531" s="41"/>
      <c r="K531" s="41"/>
      <c r="L531" s="41"/>
      <c r="M531" s="41"/>
      <c r="N531" s="41"/>
      <c r="O531" s="41"/>
      <c r="P531" s="41"/>
      <c r="Q531" s="64"/>
      <c r="R531" s="41"/>
      <c r="S531" s="41"/>
      <c r="T531" s="41"/>
      <c r="U531" s="41"/>
      <c r="V531" s="41"/>
      <c r="W531" s="41"/>
      <c r="X531" s="41"/>
      <c r="Y531" s="41"/>
      <c r="Z531" s="41"/>
      <c r="AA531" s="41"/>
    </row>
    <row r="532" spans="1:27" ht="15.75" hidden="1" customHeight="1" x14ac:dyDescent="0.25">
      <c r="A532" s="51"/>
      <c r="B532" s="41"/>
      <c r="C532" s="41"/>
      <c r="D532" s="41"/>
      <c r="E532" s="41"/>
      <c r="F532" s="41"/>
      <c r="G532" s="41"/>
      <c r="H532" s="41"/>
      <c r="I532" s="41"/>
      <c r="J532" s="41"/>
      <c r="K532" s="41"/>
      <c r="L532" s="41"/>
      <c r="M532" s="41"/>
      <c r="N532" s="41"/>
      <c r="O532" s="41"/>
      <c r="P532" s="41"/>
      <c r="Q532" s="64"/>
      <c r="R532" s="41"/>
      <c r="S532" s="41"/>
      <c r="T532" s="41"/>
      <c r="U532" s="41"/>
      <c r="V532" s="41"/>
      <c r="W532" s="41"/>
      <c r="X532" s="41"/>
      <c r="Y532" s="41"/>
      <c r="Z532" s="41"/>
      <c r="AA532" s="41"/>
    </row>
    <row r="533" spans="1:27" ht="15.75" hidden="1" customHeight="1" x14ac:dyDescent="0.25">
      <c r="A533" s="51"/>
      <c r="B533" s="41"/>
      <c r="C533" s="41"/>
      <c r="D533" s="41"/>
      <c r="E533" s="41"/>
      <c r="F533" s="41"/>
      <c r="G533" s="41"/>
      <c r="H533" s="41"/>
      <c r="I533" s="41"/>
      <c r="J533" s="41"/>
      <c r="K533" s="41"/>
      <c r="L533" s="41"/>
      <c r="M533" s="41"/>
      <c r="N533" s="41"/>
      <c r="O533" s="41"/>
      <c r="P533" s="41"/>
      <c r="Q533" s="64"/>
      <c r="R533" s="41"/>
      <c r="S533" s="41"/>
      <c r="T533" s="41"/>
      <c r="U533" s="41"/>
      <c r="V533" s="41"/>
      <c r="W533" s="41"/>
      <c r="X533" s="41"/>
      <c r="Y533" s="41"/>
      <c r="Z533" s="41"/>
      <c r="AA533" s="41"/>
    </row>
    <row r="534" spans="1:27" ht="15.75" hidden="1" customHeight="1" x14ac:dyDescent="0.25">
      <c r="A534" s="51"/>
      <c r="B534" s="41"/>
      <c r="C534" s="41"/>
      <c r="D534" s="41"/>
      <c r="E534" s="41"/>
      <c r="F534" s="41"/>
      <c r="G534" s="41"/>
      <c r="H534" s="41"/>
      <c r="I534" s="41"/>
      <c r="J534" s="41"/>
      <c r="K534" s="41"/>
      <c r="L534" s="41"/>
      <c r="M534" s="41"/>
      <c r="N534" s="41"/>
      <c r="O534" s="41"/>
      <c r="P534" s="41"/>
      <c r="Q534" s="64"/>
      <c r="R534" s="41"/>
      <c r="S534" s="41"/>
      <c r="T534" s="41"/>
      <c r="U534" s="41"/>
      <c r="V534" s="41"/>
      <c r="W534" s="41"/>
      <c r="X534" s="41"/>
      <c r="Y534" s="41"/>
      <c r="Z534" s="41"/>
      <c r="AA534" s="41"/>
    </row>
    <row r="535" spans="1:27" ht="15.75" hidden="1" customHeight="1" x14ac:dyDescent="0.25">
      <c r="A535" s="51"/>
      <c r="B535" s="41"/>
      <c r="C535" s="41"/>
      <c r="D535" s="41"/>
      <c r="E535" s="41"/>
      <c r="F535" s="41"/>
      <c r="G535" s="41"/>
      <c r="H535" s="41"/>
      <c r="I535" s="41"/>
      <c r="J535" s="41"/>
      <c r="K535" s="41"/>
      <c r="L535" s="41"/>
      <c r="M535" s="41"/>
      <c r="N535" s="41"/>
      <c r="O535" s="41"/>
      <c r="P535" s="41"/>
      <c r="Q535" s="64"/>
      <c r="R535" s="41"/>
      <c r="S535" s="41"/>
      <c r="T535" s="41"/>
      <c r="U535" s="41"/>
      <c r="V535" s="41"/>
      <c r="W535" s="41"/>
      <c r="X535" s="41"/>
      <c r="Y535" s="41"/>
      <c r="Z535" s="41"/>
      <c r="AA535" s="41"/>
    </row>
    <row r="536" spans="1:27" ht="15.75" hidden="1" customHeight="1" x14ac:dyDescent="0.25">
      <c r="A536" s="51"/>
      <c r="B536" s="41"/>
      <c r="C536" s="41"/>
      <c r="D536" s="41"/>
      <c r="E536" s="41"/>
      <c r="F536" s="41"/>
      <c r="G536" s="41"/>
      <c r="H536" s="41"/>
      <c r="I536" s="41"/>
      <c r="J536" s="41"/>
      <c r="K536" s="41"/>
      <c r="L536" s="41"/>
      <c r="M536" s="41"/>
      <c r="N536" s="41"/>
      <c r="O536" s="41"/>
      <c r="P536" s="41"/>
      <c r="Q536" s="64"/>
      <c r="R536" s="41"/>
      <c r="S536" s="41"/>
      <c r="T536" s="41"/>
      <c r="U536" s="41"/>
      <c r="V536" s="41"/>
      <c r="W536" s="41"/>
      <c r="X536" s="41"/>
      <c r="Y536" s="41"/>
      <c r="Z536" s="41"/>
      <c r="AA536" s="41"/>
    </row>
    <row r="537" spans="1:27" ht="15.75" hidden="1" customHeight="1" x14ac:dyDescent="0.25">
      <c r="A537" s="51"/>
      <c r="B537" s="41"/>
      <c r="C537" s="41"/>
      <c r="D537" s="41"/>
      <c r="E537" s="41"/>
      <c r="F537" s="41"/>
      <c r="G537" s="41"/>
      <c r="H537" s="41"/>
      <c r="I537" s="41"/>
      <c r="J537" s="41"/>
      <c r="K537" s="41"/>
      <c r="L537" s="41"/>
      <c r="M537" s="41"/>
      <c r="N537" s="41"/>
      <c r="O537" s="41"/>
      <c r="P537" s="41"/>
      <c r="Q537" s="64"/>
      <c r="R537" s="41"/>
      <c r="S537" s="41"/>
      <c r="T537" s="41"/>
      <c r="U537" s="41"/>
      <c r="V537" s="41"/>
      <c r="W537" s="41"/>
      <c r="X537" s="41"/>
      <c r="Y537" s="41"/>
      <c r="Z537" s="41"/>
      <c r="AA537" s="41"/>
    </row>
    <row r="538" spans="1:27" ht="15.75" hidden="1" customHeight="1" x14ac:dyDescent="0.25">
      <c r="A538" s="51"/>
      <c r="B538" s="41"/>
      <c r="C538" s="41"/>
      <c r="D538" s="41"/>
      <c r="E538" s="41"/>
      <c r="F538" s="41"/>
      <c r="G538" s="41"/>
      <c r="H538" s="41"/>
      <c r="I538" s="41"/>
      <c r="J538" s="41"/>
      <c r="K538" s="41"/>
      <c r="L538" s="41"/>
      <c r="M538" s="41"/>
      <c r="N538" s="41"/>
      <c r="O538" s="41"/>
      <c r="P538" s="41"/>
      <c r="Q538" s="64"/>
      <c r="R538" s="41"/>
      <c r="S538" s="41"/>
      <c r="T538" s="41"/>
      <c r="U538" s="41"/>
      <c r="V538" s="41"/>
      <c r="W538" s="41"/>
      <c r="X538" s="41"/>
      <c r="Y538" s="41"/>
      <c r="Z538" s="41"/>
      <c r="AA538" s="41"/>
    </row>
    <row r="539" spans="1:27" ht="15.75" hidden="1" customHeight="1" x14ac:dyDescent="0.25">
      <c r="A539" s="51"/>
      <c r="B539" s="41"/>
      <c r="C539" s="41"/>
      <c r="D539" s="41"/>
      <c r="E539" s="41"/>
      <c r="F539" s="41"/>
      <c r="G539" s="41"/>
      <c r="H539" s="41"/>
      <c r="I539" s="41"/>
      <c r="J539" s="41"/>
      <c r="K539" s="41"/>
      <c r="L539" s="41"/>
      <c r="M539" s="41"/>
      <c r="N539" s="41"/>
      <c r="O539" s="41"/>
      <c r="P539" s="41"/>
      <c r="Q539" s="64"/>
      <c r="R539" s="41"/>
      <c r="S539" s="41"/>
      <c r="T539" s="41"/>
      <c r="U539" s="41"/>
      <c r="V539" s="41"/>
      <c r="W539" s="41"/>
      <c r="X539" s="41"/>
      <c r="Y539" s="41"/>
      <c r="Z539" s="41"/>
      <c r="AA539" s="41"/>
    </row>
    <row r="540" spans="1:27" ht="15.75" hidden="1" customHeight="1" x14ac:dyDescent="0.25">
      <c r="A540" s="51"/>
      <c r="B540" s="41"/>
      <c r="C540" s="41"/>
      <c r="D540" s="41"/>
      <c r="E540" s="41"/>
      <c r="F540" s="41"/>
      <c r="G540" s="41"/>
      <c r="H540" s="41"/>
      <c r="I540" s="41"/>
      <c r="J540" s="41"/>
      <c r="K540" s="41"/>
      <c r="L540" s="41"/>
      <c r="M540" s="41"/>
      <c r="N540" s="41"/>
      <c r="O540" s="41"/>
      <c r="P540" s="41"/>
      <c r="Q540" s="64"/>
      <c r="R540" s="41"/>
      <c r="S540" s="41"/>
      <c r="T540" s="41"/>
      <c r="U540" s="41"/>
      <c r="V540" s="41"/>
      <c r="W540" s="41"/>
      <c r="X540" s="41"/>
      <c r="Y540" s="41"/>
      <c r="Z540" s="41"/>
      <c r="AA540" s="41"/>
    </row>
    <row r="541" spans="1:27" ht="15.75" hidden="1" customHeight="1" x14ac:dyDescent="0.25">
      <c r="A541" s="51"/>
      <c r="B541" s="41"/>
      <c r="C541" s="41"/>
      <c r="D541" s="41"/>
      <c r="E541" s="41"/>
      <c r="F541" s="41"/>
      <c r="G541" s="41"/>
      <c r="H541" s="41"/>
      <c r="I541" s="41"/>
      <c r="J541" s="41"/>
      <c r="K541" s="41"/>
      <c r="L541" s="41"/>
      <c r="M541" s="41"/>
      <c r="N541" s="41"/>
      <c r="O541" s="41"/>
      <c r="P541" s="41"/>
      <c r="Q541" s="64"/>
      <c r="R541" s="41"/>
      <c r="S541" s="41"/>
      <c r="T541" s="41"/>
      <c r="U541" s="41"/>
      <c r="V541" s="41"/>
      <c r="W541" s="41"/>
      <c r="X541" s="41"/>
      <c r="Y541" s="41"/>
      <c r="Z541" s="41"/>
      <c r="AA541" s="41"/>
    </row>
    <row r="542" spans="1:27" ht="15.75" hidden="1" customHeight="1" x14ac:dyDescent="0.25">
      <c r="A542" s="51"/>
      <c r="B542" s="41"/>
      <c r="C542" s="41"/>
      <c r="D542" s="41"/>
      <c r="E542" s="41"/>
      <c r="F542" s="41"/>
      <c r="G542" s="41"/>
      <c r="H542" s="41"/>
      <c r="I542" s="41"/>
      <c r="J542" s="41"/>
      <c r="K542" s="41"/>
      <c r="L542" s="41"/>
      <c r="M542" s="41"/>
      <c r="N542" s="41"/>
      <c r="O542" s="41"/>
      <c r="P542" s="41"/>
      <c r="Q542" s="64"/>
      <c r="R542" s="41"/>
      <c r="S542" s="41"/>
      <c r="T542" s="41"/>
      <c r="U542" s="41"/>
      <c r="V542" s="41"/>
      <c r="W542" s="41"/>
      <c r="X542" s="41"/>
      <c r="Y542" s="41"/>
      <c r="Z542" s="41"/>
      <c r="AA542" s="41"/>
    </row>
    <row r="543" spans="1:27" ht="15.75" hidden="1" customHeight="1" x14ac:dyDescent="0.25">
      <c r="A543" s="51"/>
      <c r="B543" s="41"/>
      <c r="C543" s="41"/>
      <c r="D543" s="41"/>
      <c r="E543" s="41"/>
      <c r="F543" s="41"/>
      <c r="G543" s="41"/>
      <c r="H543" s="41"/>
      <c r="I543" s="41"/>
      <c r="J543" s="41"/>
      <c r="K543" s="41"/>
      <c r="L543" s="41"/>
      <c r="M543" s="41"/>
      <c r="N543" s="41"/>
      <c r="O543" s="41"/>
      <c r="P543" s="41"/>
      <c r="Q543" s="64"/>
      <c r="R543" s="41"/>
      <c r="S543" s="41"/>
      <c r="T543" s="41"/>
      <c r="U543" s="41"/>
      <c r="V543" s="41"/>
      <c r="W543" s="41"/>
      <c r="X543" s="41"/>
      <c r="Y543" s="41"/>
      <c r="Z543" s="41"/>
      <c r="AA543" s="41"/>
    </row>
    <row r="544" spans="1:27" ht="15.75" hidden="1" customHeight="1" x14ac:dyDescent="0.25">
      <c r="A544" s="51"/>
      <c r="B544" s="41"/>
      <c r="C544" s="41"/>
      <c r="D544" s="41"/>
      <c r="E544" s="41"/>
      <c r="F544" s="41"/>
      <c r="G544" s="41"/>
      <c r="H544" s="41"/>
      <c r="I544" s="41"/>
      <c r="J544" s="41"/>
      <c r="K544" s="41"/>
      <c r="L544" s="41"/>
      <c r="M544" s="41"/>
      <c r="N544" s="41"/>
      <c r="O544" s="41"/>
      <c r="P544" s="41"/>
      <c r="Q544" s="64"/>
      <c r="R544" s="41"/>
      <c r="S544" s="41"/>
      <c r="T544" s="41"/>
      <c r="U544" s="41"/>
      <c r="V544" s="41"/>
      <c r="W544" s="41"/>
      <c r="X544" s="41"/>
      <c r="Y544" s="41"/>
      <c r="Z544" s="41"/>
      <c r="AA544" s="41"/>
    </row>
    <row r="545" spans="1:27" ht="15.75" hidden="1" customHeight="1" x14ac:dyDescent="0.25">
      <c r="A545" s="51"/>
      <c r="B545" s="41"/>
      <c r="C545" s="41"/>
      <c r="D545" s="41"/>
      <c r="E545" s="41"/>
      <c r="F545" s="41"/>
      <c r="G545" s="41"/>
      <c r="H545" s="41"/>
      <c r="I545" s="41"/>
      <c r="J545" s="41"/>
      <c r="K545" s="41"/>
      <c r="L545" s="41"/>
      <c r="M545" s="41"/>
      <c r="N545" s="41"/>
      <c r="O545" s="41"/>
      <c r="P545" s="41"/>
      <c r="Q545" s="64"/>
      <c r="R545" s="41"/>
      <c r="S545" s="41"/>
      <c r="T545" s="41"/>
      <c r="U545" s="41"/>
      <c r="V545" s="41"/>
      <c r="W545" s="41"/>
      <c r="X545" s="41"/>
      <c r="Y545" s="41"/>
      <c r="Z545" s="41"/>
      <c r="AA545" s="41"/>
    </row>
    <row r="546" spans="1:27" ht="15.75" hidden="1" customHeight="1" x14ac:dyDescent="0.25">
      <c r="A546" s="51"/>
      <c r="B546" s="41"/>
      <c r="C546" s="41"/>
      <c r="D546" s="41"/>
      <c r="E546" s="41"/>
      <c r="F546" s="41"/>
      <c r="G546" s="41"/>
      <c r="H546" s="41"/>
      <c r="I546" s="41"/>
      <c r="J546" s="41"/>
      <c r="K546" s="41"/>
      <c r="L546" s="41"/>
      <c r="M546" s="41"/>
      <c r="N546" s="41"/>
      <c r="O546" s="41"/>
      <c r="P546" s="41"/>
      <c r="Q546" s="64"/>
      <c r="R546" s="41"/>
      <c r="S546" s="41"/>
      <c r="T546" s="41"/>
      <c r="U546" s="41"/>
      <c r="V546" s="41"/>
      <c r="W546" s="41"/>
      <c r="X546" s="41"/>
      <c r="Y546" s="41"/>
      <c r="Z546" s="41"/>
      <c r="AA546" s="41"/>
    </row>
    <row r="547" spans="1:27" ht="15.75" hidden="1" customHeight="1" x14ac:dyDescent="0.25">
      <c r="A547" s="51"/>
      <c r="B547" s="41"/>
      <c r="C547" s="41"/>
      <c r="D547" s="41"/>
      <c r="E547" s="41"/>
      <c r="F547" s="41"/>
      <c r="G547" s="41"/>
      <c r="H547" s="41"/>
      <c r="I547" s="41"/>
      <c r="J547" s="41"/>
      <c r="K547" s="41"/>
      <c r="L547" s="41"/>
      <c r="M547" s="41"/>
      <c r="N547" s="41"/>
      <c r="O547" s="41"/>
      <c r="P547" s="41"/>
      <c r="Q547" s="64"/>
      <c r="R547" s="41"/>
      <c r="S547" s="41"/>
      <c r="T547" s="41"/>
      <c r="U547" s="41"/>
      <c r="V547" s="41"/>
      <c r="W547" s="41"/>
      <c r="X547" s="41"/>
      <c r="Y547" s="41"/>
      <c r="Z547" s="41"/>
      <c r="AA547" s="41"/>
    </row>
    <row r="548" spans="1:27" ht="15.75" hidden="1" customHeight="1" x14ac:dyDescent="0.25">
      <c r="A548" s="51"/>
      <c r="B548" s="41"/>
      <c r="C548" s="41"/>
      <c r="D548" s="41"/>
      <c r="E548" s="41"/>
      <c r="F548" s="41"/>
      <c r="G548" s="41"/>
      <c r="H548" s="41"/>
      <c r="I548" s="41"/>
      <c r="J548" s="41"/>
      <c r="K548" s="41"/>
      <c r="L548" s="41"/>
      <c r="M548" s="41"/>
      <c r="N548" s="41"/>
      <c r="O548" s="41"/>
      <c r="P548" s="41"/>
      <c r="Q548" s="64"/>
      <c r="R548" s="41"/>
      <c r="S548" s="41"/>
      <c r="T548" s="41"/>
      <c r="U548" s="41"/>
      <c r="V548" s="41"/>
      <c r="W548" s="41"/>
      <c r="X548" s="41"/>
      <c r="Y548" s="41"/>
      <c r="Z548" s="41"/>
      <c r="AA548" s="41"/>
    </row>
    <row r="549" spans="1:27" ht="15.75" hidden="1" customHeight="1" x14ac:dyDescent="0.25">
      <c r="A549" s="51"/>
      <c r="B549" s="41"/>
      <c r="C549" s="41"/>
      <c r="D549" s="41"/>
      <c r="E549" s="41"/>
      <c r="F549" s="41"/>
      <c r="G549" s="41"/>
      <c r="H549" s="41"/>
      <c r="I549" s="41"/>
      <c r="J549" s="41"/>
      <c r="K549" s="41"/>
      <c r="L549" s="41"/>
      <c r="M549" s="41"/>
      <c r="N549" s="41"/>
      <c r="O549" s="41"/>
      <c r="P549" s="41"/>
      <c r="Q549" s="64"/>
      <c r="R549" s="41"/>
      <c r="S549" s="41"/>
      <c r="T549" s="41"/>
      <c r="U549" s="41"/>
      <c r="V549" s="41"/>
      <c r="W549" s="41"/>
      <c r="X549" s="41"/>
      <c r="Y549" s="41"/>
      <c r="Z549" s="41"/>
      <c r="AA549" s="41"/>
    </row>
    <row r="550" spans="1:27" ht="15.75" hidden="1" customHeight="1" x14ac:dyDescent="0.25">
      <c r="A550" s="51"/>
      <c r="B550" s="41"/>
      <c r="C550" s="41"/>
      <c r="D550" s="41"/>
      <c r="E550" s="41"/>
      <c r="F550" s="41"/>
      <c r="G550" s="41"/>
      <c r="H550" s="41"/>
      <c r="I550" s="41"/>
      <c r="J550" s="41"/>
      <c r="K550" s="41"/>
      <c r="L550" s="41"/>
      <c r="M550" s="41"/>
      <c r="N550" s="41"/>
      <c r="O550" s="41"/>
      <c r="P550" s="41"/>
      <c r="Q550" s="64"/>
      <c r="R550" s="41"/>
      <c r="S550" s="41"/>
      <c r="T550" s="41"/>
      <c r="U550" s="41"/>
      <c r="V550" s="41"/>
      <c r="W550" s="41"/>
      <c r="X550" s="41"/>
      <c r="Y550" s="41"/>
      <c r="Z550" s="41"/>
      <c r="AA550" s="41"/>
    </row>
    <row r="551" spans="1:27" ht="15.75" hidden="1" customHeight="1" x14ac:dyDescent="0.25">
      <c r="A551" s="51"/>
      <c r="B551" s="41"/>
      <c r="C551" s="41"/>
      <c r="D551" s="41"/>
      <c r="E551" s="41"/>
      <c r="F551" s="41"/>
      <c r="G551" s="41"/>
      <c r="H551" s="41"/>
      <c r="I551" s="41"/>
      <c r="J551" s="41"/>
      <c r="K551" s="41"/>
      <c r="L551" s="41"/>
      <c r="M551" s="41"/>
      <c r="N551" s="41"/>
      <c r="O551" s="41"/>
      <c r="P551" s="41"/>
      <c r="Q551" s="64"/>
      <c r="R551" s="41"/>
      <c r="S551" s="41"/>
      <c r="T551" s="41"/>
      <c r="U551" s="41"/>
      <c r="V551" s="41"/>
      <c r="W551" s="41"/>
      <c r="X551" s="41"/>
      <c r="Y551" s="41"/>
      <c r="Z551" s="41"/>
      <c r="AA551" s="41"/>
    </row>
    <row r="552" spans="1:27" ht="15.75" hidden="1" customHeight="1" x14ac:dyDescent="0.25">
      <c r="A552" s="51"/>
      <c r="B552" s="41"/>
      <c r="C552" s="41"/>
      <c r="D552" s="41"/>
      <c r="E552" s="41"/>
      <c r="F552" s="41"/>
      <c r="G552" s="41"/>
      <c r="H552" s="41"/>
      <c r="I552" s="41"/>
      <c r="J552" s="41"/>
      <c r="K552" s="41"/>
      <c r="L552" s="41"/>
      <c r="M552" s="41"/>
      <c r="N552" s="41"/>
      <c r="O552" s="41"/>
      <c r="P552" s="41"/>
      <c r="Q552" s="64"/>
      <c r="R552" s="41"/>
      <c r="S552" s="41"/>
      <c r="T552" s="41"/>
      <c r="U552" s="41"/>
      <c r="V552" s="41"/>
      <c r="W552" s="41"/>
      <c r="X552" s="41"/>
      <c r="Y552" s="41"/>
      <c r="Z552" s="41"/>
      <c r="AA552" s="41"/>
    </row>
    <row r="553" spans="1:27" ht="15.75" hidden="1" customHeight="1" x14ac:dyDescent="0.25">
      <c r="A553" s="51"/>
      <c r="B553" s="41"/>
      <c r="C553" s="41"/>
      <c r="D553" s="41"/>
      <c r="E553" s="41"/>
      <c r="F553" s="41"/>
      <c r="G553" s="41"/>
      <c r="H553" s="41"/>
      <c r="I553" s="41"/>
      <c r="J553" s="41"/>
      <c r="K553" s="41"/>
      <c r="L553" s="41"/>
      <c r="M553" s="41"/>
      <c r="N553" s="41"/>
      <c r="O553" s="41"/>
      <c r="P553" s="41"/>
      <c r="Q553" s="64"/>
      <c r="R553" s="41"/>
      <c r="S553" s="41"/>
      <c r="T553" s="41"/>
      <c r="U553" s="41"/>
      <c r="V553" s="41"/>
      <c r="W553" s="41"/>
      <c r="X553" s="41"/>
      <c r="Y553" s="41"/>
      <c r="Z553" s="41"/>
      <c r="AA553" s="41"/>
    </row>
    <row r="554" spans="1:27" ht="15.75" hidden="1" customHeight="1" x14ac:dyDescent="0.25">
      <c r="A554" s="51"/>
      <c r="B554" s="41"/>
      <c r="C554" s="41"/>
      <c r="D554" s="41"/>
      <c r="E554" s="41"/>
      <c r="F554" s="41"/>
      <c r="G554" s="41"/>
      <c r="H554" s="41"/>
      <c r="I554" s="41"/>
      <c r="J554" s="41"/>
      <c r="K554" s="41"/>
      <c r="L554" s="41"/>
      <c r="M554" s="41"/>
      <c r="N554" s="41"/>
      <c r="O554" s="41"/>
      <c r="P554" s="41"/>
      <c r="Q554" s="64"/>
      <c r="R554" s="41"/>
      <c r="S554" s="41"/>
      <c r="T554" s="41"/>
      <c r="U554" s="41"/>
      <c r="V554" s="41"/>
      <c r="W554" s="41"/>
      <c r="X554" s="41"/>
      <c r="Y554" s="41"/>
      <c r="Z554" s="41"/>
      <c r="AA554" s="41"/>
    </row>
    <row r="555" spans="1:27" ht="15.75" hidden="1" customHeight="1" x14ac:dyDescent="0.25">
      <c r="A555" s="51"/>
      <c r="B555" s="41"/>
      <c r="C555" s="41"/>
      <c r="D555" s="41"/>
      <c r="E555" s="41"/>
      <c r="F555" s="41"/>
      <c r="G555" s="41"/>
      <c r="H555" s="41"/>
      <c r="I555" s="41"/>
      <c r="J555" s="41"/>
      <c r="K555" s="41"/>
      <c r="L555" s="41"/>
      <c r="M555" s="41"/>
      <c r="N555" s="41"/>
      <c r="O555" s="41"/>
      <c r="P555" s="41"/>
      <c r="Q555" s="64"/>
      <c r="R555" s="41"/>
      <c r="S555" s="41"/>
      <c r="T555" s="41"/>
      <c r="U555" s="41"/>
      <c r="V555" s="41"/>
      <c r="W555" s="41"/>
      <c r="X555" s="41"/>
      <c r="Y555" s="41"/>
      <c r="Z555" s="41"/>
      <c r="AA555" s="41"/>
    </row>
    <row r="556" spans="1:27" ht="15.75" hidden="1" customHeight="1" x14ac:dyDescent="0.25">
      <c r="A556" s="51"/>
      <c r="B556" s="41"/>
      <c r="C556" s="41"/>
      <c r="D556" s="41"/>
      <c r="E556" s="41"/>
      <c r="F556" s="41"/>
      <c r="G556" s="41"/>
      <c r="H556" s="41"/>
      <c r="I556" s="41"/>
      <c r="J556" s="41"/>
      <c r="K556" s="41"/>
      <c r="L556" s="41"/>
      <c r="M556" s="41"/>
      <c r="N556" s="41"/>
      <c r="O556" s="41"/>
      <c r="P556" s="41"/>
      <c r="Q556" s="64"/>
      <c r="R556" s="41"/>
      <c r="S556" s="41"/>
      <c r="T556" s="41"/>
      <c r="U556" s="41"/>
      <c r="V556" s="41"/>
      <c r="W556" s="41"/>
      <c r="X556" s="41"/>
      <c r="Y556" s="41"/>
      <c r="Z556" s="41"/>
      <c r="AA556" s="41"/>
    </row>
    <row r="557" spans="1:27" ht="15.75" hidden="1" customHeight="1" x14ac:dyDescent="0.25">
      <c r="A557" s="51"/>
      <c r="B557" s="41"/>
      <c r="C557" s="41"/>
      <c r="D557" s="41"/>
      <c r="E557" s="41"/>
      <c r="F557" s="41"/>
      <c r="G557" s="41"/>
      <c r="H557" s="41"/>
      <c r="I557" s="41"/>
      <c r="J557" s="41"/>
      <c r="K557" s="41"/>
      <c r="L557" s="41"/>
      <c r="M557" s="41"/>
      <c r="N557" s="41"/>
      <c r="O557" s="41"/>
      <c r="P557" s="41"/>
      <c r="Q557" s="64"/>
      <c r="R557" s="41"/>
      <c r="S557" s="41"/>
      <c r="T557" s="41"/>
      <c r="U557" s="41"/>
      <c r="V557" s="41"/>
      <c r="W557" s="41"/>
      <c r="X557" s="41"/>
      <c r="Y557" s="41"/>
      <c r="Z557" s="41"/>
      <c r="AA557" s="41"/>
    </row>
    <row r="558" spans="1:27" ht="15.75" hidden="1" customHeight="1" x14ac:dyDescent="0.25">
      <c r="A558" s="51"/>
      <c r="B558" s="41"/>
      <c r="C558" s="41"/>
      <c r="D558" s="41"/>
      <c r="E558" s="41"/>
      <c r="F558" s="41"/>
      <c r="G558" s="41"/>
      <c r="H558" s="41"/>
      <c r="I558" s="41"/>
      <c r="J558" s="41"/>
      <c r="K558" s="41"/>
      <c r="L558" s="41"/>
      <c r="M558" s="41"/>
      <c r="N558" s="41"/>
      <c r="O558" s="41"/>
      <c r="P558" s="41"/>
      <c r="Q558" s="64"/>
      <c r="R558" s="41"/>
      <c r="S558" s="41"/>
      <c r="T558" s="41"/>
      <c r="U558" s="41"/>
      <c r="V558" s="41"/>
      <c r="W558" s="41"/>
      <c r="X558" s="41"/>
      <c r="Y558" s="41"/>
      <c r="Z558" s="41"/>
      <c r="AA558" s="41"/>
    </row>
    <row r="559" spans="1:27" ht="15.75" hidden="1" customHeight="1" x14ac:dyDescent="0.25">
      <c r="A559" s="51"/>
      <c r="B559" s="41"/>
      <c r="C559" s="41"/>
      <c r="D559" s="41"/>
      <c r="E559" s="41"/>
      <c r="F559" s="41"/>
      <c r="G559" s="41"/>
      <c r="H559" s="41"/>
      <c r="I559" s="41"/>
      <c r="J559" s="41"/>
      <c r="K559" s="41"/>
      <c r="L559" s="41"/>
      <c r="M559" s="41"/>
      <c r="N559" s="41"/>
      <c r="O559" s="41"/>
      <c r="P559" s="41"/>
      <c r="Q559" s="64"/>
      <c r="R559" s="41"/>
      <c r="S559" s="41"/>
      <c r="T559" s="41"/>
      <c r="U559" s="41"/>
      <c r="V559" s="41"/>
      <c r="W559" s="41"/>
      <c r="X559" s="41"/>
      <c r="Y559" s="41"/>
      <c r="Z559" s="41"/>
      <c r="AA559" s="41"/>
    </row>
    <row r="560" spans="1:27" ht="15.75" hidden="1" customHeight="1" x14ac:dyDescent="0.25">
      <c r="A560" s="51"/>
      <c r="B560" s="41"/>
      <c r="C560" s="41"/>
      <c r="D560" s="41"/>
      <c r="E560" s="41"/>
      <c r="F560" s="41"/>
      <c r="G560" s="41"/>
      <c r="H560" s="41"/>
      <c r="I560" s="41"/>
      <c r="J560" s="41"/>
      <c r="K560" s="41"/>
      <c r="L560" s="41"/>
      <c r="M560" s="41"/>
      <c r="N560" s="41"/>
      <c r="O560" s="41"/>
      <c r="P560" s="41"/>
      <c r="Q560" s="64"/>
      <c r="R560" s="41"/>
      <c r="S560" s="41"/>
      <c r="T560" s="41"/>
      <c r="U560" s="41"/>
      <c r="V560" s="41"/>
      <c r="W560" s="41"/>
      <c r="X560" s="41"/>
      <c r="Y560" s="41"/>
      <c r="Z560" s="41"/>
      <c r="AA560" s="41"/>
    </row>
    <row r="561" spans="1:27" ht="15.75" hidden="1" customHeight="1" x14ac:dyDescent="0.25">
      <c r="A561" s="51"/>
      <c r="B561" s="41"/>
      <c r="C561" s="41"/>
      <c r="D561" s="41"/>
      <c r="E561" s="41"/>
      <c r="F561" s="41"/>
      <c r="G561" s="41"/>
      <c r="H561" s="41"/>
      <c r="I561" s="41"/>
      <c r="J561" s="41"/>
      <c r="K561" s="41"/>
      <c r="L561" s="41"/>
      <c r="M561" s="41"/>
      <c r="N561" s="41"/>
      <c r="O561" s="41"/>
      <c r="P561" s="41"/>
      <c r="Q561" s="64"/>
      <c r="R561" s="41"/>
      <c r="S561" s="41"/>
      <c r="T561" s="41"/>
      <c r="U561" s="41"/>
      <c r="V561" s="41"/>
      <c r="W561" s="41"/>
      <c r="X561" s="41"/>
      <c r="Y561" s="41"/>
      <c r="Z561" s="41"/>
      <c r="AA561" s="41"/>
    </row>
    <row r="562" spans="1:27" ht="15.75" hidden="1" customHeight="1" x14ac:dyDescent="0.25">
      <c r="A562" s="51"/>
      <c r="B562" s="41"/>
      <c r="C562" s="41"/>
      <c r="D562" s="41"/>
      <c r="E562" s="41"/>
      <c r="F562" s="41"/>
      <c r="G562" s="41"/>
      <c r="H562" s="41"/>
      <c r="I562" s="41"/>
      <c r="J562" s="41"/>
      <c r="K562" s="41"/>
      <c r="L562" s="41"/>
      <c r="M562" s="41"/>
      <c r="N562" s="41"/>
      <c r="O562" s="41"/>
      <c r="P562" s="41"/>
      <c r="Q562" s="64"/>
      <c r="R562" s="41"/>
      <c r="S562" s="41"/>
      <c r="T562" s="41"/>
      <c r="U562" s="41"/>
      <c r="V562" s="41"/>
      <c r="W562" s="41"/>
      <c r="X562" s="41"/>
      <c r="Y562" s="41"/>
      <c r="Z562" s="41"/>
      <c r="AA562" s="41"/>
    </row>
    <row r="563" spans="1:27" ht="15.75" hidden="1" customHeight="1" x14ac:dyDescent="0.25">
      <c r="A563" s="51"/>
      <c r="B563" s="41"/>
      <c r="C563" s="41"/>
      <c r="D563" s="41"/>
      <c r="E563" s="41"/>
      <c r="F563" s="41"/>
      <c r="G563" s="41"/>
      <c r="H563" s="41"/>
      <c r="I563" s="41"/>
      <c r="J563" s="41"/>
      <c r="K563" s="41"/>
      <c r="L563" s="41"/>
      <c r="M563" s="41"/>
      <c r="N563" s="41"/>
      <c r="O563" s="41"/>
      <c r="P563" s="41"/>
      <c r="Q563" s="64"/>
      <c r="R563" s="41"/>
      <c r="S563" s="41"/>
      <c r="T563" s="41"/>
      <c r="U563" s="41"/>
      <c r="V563" s="41"/>
      <c r="W563" s="41"/>
      <c r="X563" s="41"/>
      <c r="Y563" s="41"/>
      <c r="Z563" s="41"/>
      <c r="AA563" s="41"/>
    </row>
    <row r="564" spans="1:27" ht="15.75" hidden="1" customHeight="1" x14ac:dyDescent="0.25">
      <c r="A564" s="51"/>
      <c r="B564" s="41"/>
      <c r="C564" s="41"/>
      <c r="D564" s="41"/>
      <c r="E564" s="41"/>
      <c r="F564" s="41"/>
      <c r="G564" s="41"/>
      <c r="H564" s="41"/>
      <c r="I564" s="41"/>
      <c r="J564" s="41"/>
      <c r="K564" s="41"/>
      <c r="L564" s="41"/>
      <c r="M564" s="41"/>
      <c r="N564" s="41"/>
      <c r="O564" s="41"/>
      <c r="P564" s="41"/>
      <c r="Q564" s="64"/>
      <c r="R564" s="41"/>
      <c r="S564" s="41"/>
      <c r="T564" s="41"/>
      <c r="U564" s="41"/>
      <c r="V564" s="41"/>
      <c r="W564" s="41"/>
      <c r="X564" s="41"/>
      <c r="Y564" s="41"/>
      <c r="Z564" s="41"/>
      <c r="AA564" s="41"/>
    </row>
    <row r="565" spans="1:27" ht="15.75" hidden="1" customHeight="1" x14ac:dyDescent="0.25">
      <c r="A565" s="51"/>
      <c r="B565" s="41"/>
      <c r="C565" s="41"/>
      <c r="D565" s="41"/>
      <c r="E565" s="41"/>
      <c r="F565" s="41"/>
      <c r="G565" s="41"/>
      <c r="H565" s="41"/>
      <c r="I565" s="41"/>
      <c r="J565" s="41"/>
      <c r="K565" s="41"/>
      <c r="L565" s="41"/>
      <c r="M565" s="41"/>
      <c r="N565" s="41"/>
      <c r="O565" s="41"/>
      <c r="P565" s="41"/>
      <c r="Q565" s="64"/>
      <c r="R565" s="41"/>
      <c r="S565" s="41"/>
      <c r="T565" s="41"/>
      <c r="U565" s="41"/>
      <c r="V565" s="41"/>
      <c r="W565" s="41"/>
      <c r="X565" s="41"/>
      <c r="Y565" s="41"/>
      <c r="Z565" s="41"/>
      <c r="AA565" s="41"/>
    </row>
    <row r="566" spans="1:27" ht="15.75" hidden="1" customHeight="1" x14ac:dyDescent="0.25">
      <c r="A566" s="51"/>
      <c r="B566" s="41"/>
      <c r="C566" s="41"/>
      <c r="D566" s="41"/>
      <c r="E566" s="41"/>
      <c r="F566" s="41"/>
      <c r="G566" s="41"/>
      <c r="H566" s="41"/>
      <c r="I566" s="41"/>
      <c r="J566" s="41"/>
      <c r="K566" s="41"/>
      <c r="L566" s="41"/>
      <c r="M566" s="41"/>
      <c r="N566" s="41"/>
      <c r="O566" s="41"/>
      <c r="P566" s="41"/>
      <c r="Q566" s="64"/>
      <c r="R566" s="41"/>
      <c r="S566" s="41"/>
      <c r="T566" s="41"/>
      <c r="U566" s="41"/>
      <c r="V566" s="41"/>
      <c r="W566" s="41"/>
      <c r="X566" s="41"/>
      <c r="Y566" s="41"/>
      <c r="Z566" s="41"/>
      <c r="AA566" s="41"/>
    </row>
    <row r="567" spans="1:27" ht="15.75" hidden="1" customHeight="1" x14ac:dyDescent="0.25">
      <c r="A567" s="51"/>
      <c r="B567" s="41"/>
      <c r="C567" s="41"/>
      <c r="D567" s="41"/>
      <c r="E567" s="41"/>
      <c r="F567" s="41"/>
      <c r="G567" s="41"/>
      <c r="H567" s="41"/>
      <c r="I567" s="41"/>
      <c r="J567" s="41"/>
      <c r="K567" s="41"/>
      <c r="L567" s="41"/>
      <c r="M567" s="41"/>
      <c r="N567" s="41"/>
      <c r="O567" s="41"/>
      <c r="P567" s="41"/>
      <c r="Q567" s="64"/>
      <c r="R567" s="41"/>
      <c r="S567" s="41"/>
      <c r="T567" s="41"/>
      <c r="U567" s="41"/>
      <c r="V567" s="41"/>
      <c r="W567" s="41"/>
      <c r="X567" s="41"/>
      <c r="Y567" s="41"/>
      <c r="Z567" s="41"/>
      <c r="AA567" s="41"/>
    </row>
    <row r="568" spans="1:27" ht="15.75" hidden="1" customHeight="1" x14ac:dyDescent="0.25">
      <c r="A568" s="51"/>
      <c r="B568" s="41"/>
      <c r="C568" s="41"/>
      <c r="D568" s="41"/>
      <c r="E568" s="41"/>
      <c r="F568" s="41"/>
      <c r="G568" s="41"/>
      <c r="H568" s="41"/>
      <c r="I568" s="41"/>
      <c r="J568" s="41"/>
      <c r="K568" s="41"/>
      <c r="L568" s="41"/>
      <c r="M568" s="41"/>
      <c r="N568" s="41"/>
      <c r="O568" s="41"/>
      <c r="P568" s="41"/>
      <c r="Q568" s="64"/>
      <c r="R568" s="41"/>
      <c r="S568" s="41"/>
      <c r="T568" s="41"/>
      <c r="U568" s="41"/>
      <c r="V568" s="41"/>
      <c r="W568" s="41"/>
      <c r="X568" s="41"/>
      <c r="Y568" s="41"/>
      <c r="Z568" s="41"/>
      <c r="AA568" s="41"/>
    </row>
    <row r="569" spans="1:27" ht="15.75" hidden="1" customHeight="1" x14ac:dyDescent="0.25">
      <c r="A569" s="51"/>
      <c r="B569" s="41"/>
      <c r="C569" s="41"/>
      <c r="D569" s="41"/>
      <c r="E569" s="41"/>
      <c r="F569" s="41"/>
      <c r="G569" s="41"/>
      <c r="H569" s="41"/>
      <c r="I569" s="41"/>
      <c r="J569" s="41"/>
      <c r="K569" s="41"/>
      <c r="L569" s="41"/>
      <c r="M569" s="41"/>
      <c r="N569" s="41"/>
      <c r="O569" s="41"/>
      <c r="P569" s="41"/>
      <c r="Q569" s="64"/>
      <c r="R569" s="41"/>
      <c r="S569" s="41"/>
      <c r="T569" s="41"/>
      <c r="U569" s="41"/>
      <c r="V569" s="41"/>
      <c r="W569" s="41"/>
      <c r="X569" s="41"/>
      <c r="Y569" s="41"/>
      <c r="Z569" s="41"/>
      <c r="AA569" s="41"/>
    </row>
    <row r="570" spans="1:27" ht="15.75" hidden="1" customHeight="1" x14ac:dyDescent="0.25">
      <c r="A570" s="51"/>
      <c r="B570" s="41"/>
      <c r="C570" s="41"/>
      <c r="D570" s="41"/>
      <c r="E570" s="41"/>
      <c r="F570" s="41"/>
      <c r="G570" s="41"/>
      <c r="H570" s="41"/>
      <c r="I570" s="41"/>
      <c r="J570" s="41"/>
      <c r="K570" s="41"/>
      <c r="L570" s="41"/>
      <c r="M570" s="41"/>
      <c r="N570" s="41"/>
      <c r="O570" s="41"/>
      <c r="P570" s="41"/>
      <c r="Q570" s="64"/>
      <c r="R570" s="41"/>
      <c r="S570" s="41"/>
      <c r="T570" s="41"/>
      <c r="U570" s="41"/>
      <c r="V570" s="41"/>
      <c r="W570" s="41"/>
      <c r="X570" s="41"/>
      <c r="Y570" s="41"/>
      <c r="Z570" s="41"/>
      <c r="AA570" s="41"/>
    </row>
    <row r="571" spans="1:27" ht="15.75" hidden="1" customHeight="1" x14ac:dyDescent="0.25">
      <c r="A571" s="51"/>
      <c r="B571" s="41"/>
      <c r="C571" s="41"/>
      <c r="D571" s="41"/>
      <c r="E571" s="41"/>
      <c r="F571" s="41"/>
      <c r="G571" s="41"/>
      <c r="H571" s="41"/>
      <c r="I571" s="41"/>
      <c r="J571" s="41"/>
      <c r="K571" s="41"/>
      <c r="L571" s="41"/>
      <c r="M571" s="41"/>
      <c r="N571" s="41"/>
      <c r="O571" s="41"/>
      <c r="P571" s="41"/>
      <c r="Q571" s="64"/>
      <c r="R571" s="41"/>
      <c r="S571" s="41"/>
      <c r="T571" s="41"/>
      <c r="U571" s="41"/>
      <c r="V571" s="41"/>
      <c r="W571" s="41"/>
      <c r="X571" s="41"/>
      <c r="Y571" s="41"/>
      <c r="Z571" s="41"/>
      <c r="AA571" s="41"/>
    </row>
    <row r="572" spans="1:27" ht="15.75" hidden="1" customHeight="1" x14ac:dyDescent="0.25">
      <c r="A572" s="51"/>
      <c r="B572" s="41"/>
      <c r="C572" s="41"/>
      <c r="D572" s="41"/>
      <c r="E572" s="41"/>
      <c r="F572" s="41"/>
      <c r="G572" s="41"/>
      <c r="H572" s="41"/>
      <c r="I572" s="41"/>
      <c r="J572" s="41"/>
      <c r="K572" s="41"/>
      <c r="L572" s="41"/>
      <c r="M572" s="41"/>
      <c r="N572" s="41"/>
      <c r="O572" s="41"/>
      <c r="P572" s="41"/>
      <c r="Q572" s="64"/>
      <c r="R572" s="41"/>
      <c r="S572" s="41"/>
      <c r="T572" s="41"/>
      <c r="U572" s="41"/>
      <c r="V572" s="41"/>
      <c r="W572" s="41"/>
      <c r="X572" s="41"/>
      <c r="Y572" s="41"/>
      <c r="Z572" s="41"/>
      <c r="AA572" s="41"/>
    </row>
    <row r="573" spans="1:27" ht="15.75" hidden="1" customHeight="1" x14ac:dyDescent="0.25">
      <c r="A573" s="51"/>
      <c r="B573" s="41"/>
      <c r="C573" s="41"/>
      <c r="D573" s="41"/>
      <c r="E573" s="41"/>
      <c r="F573" s="41"/>
      <c r="G573" s="41"/>
      <c r="H573" s="41"/>
      <c r="I573" s="41"/>
      <c r="J573" s="41"/>
      <c r="K573" s="41"/>
      <c r="L573" s="41"/>
      <c r="M573" s="41"/>
      <c r="N573" s="41"/>
      <c r="O573" s="41"/>
      <c r="P573" s="41"/>
      <c r="Q573" s="64"/>
      <c r="R573" s="41"/>
      <c r="S573" s="41"/>
      <c r="T573" s="41"/>
      <c r="U573" s="41"/>
      <c r="V573" s="41"/>
      <c r="W573" s="41"/>
      <c r="X573" s="41"/>
      <c r="Y573" s="41"/>
      <c r="Z573" s="41"/>
      <c r="AA573" s="41"/>
    </row>
    <row r="574" spans="1:27" ht="15.75" hidden="1" customHeight="1" x14ac:dyDescent="0.25">
      <c r="A574" s="51"/>
      <c r="B574" s="41"/>
      <c r="C574" s="41"/>
      <c r="D574" s="41"/>
      <c r="E574" s="41"/>
      <c r="F574" s="41"/>
      <c r="G574" s="41"/>
      <c r="H574" s="41"/>
      <c r="I574" s="41"/>
      <c r="J574" s="41"/>
      <c r="K574" s="41"/>
      <c r="L574" s="41"/>
      <c r="M574" s="41"/>
      <c r="N574" s="41"/>
      <c r="O574" s="41"/>
      <c r="P574" s="41"/>
      <c r="Q574" s="64"/>
      <c r="R574" s="41"/>
      <c r="S574" s="41"/>
      <c r="T574" s="41"/>
      <c r="U574" s="41"/>
      <c r="V574" s="41"/>
      <c r="W574" s="41"/>
      <c r="X574" s="41"/>
      <c r="Y574" s="41"/>
      <c r="Z574" s="41"/>
      <c r="AA574" s="41"/>
    </row>
    <row r="575" spans="1:27" ht="15.75" hidden="1" customHeight="1" x14ac:dyDescent="0.25">
      <c r="A575" s="51"/>
      <c r="B575" s="41"/>
      <c r="C575" s="41"/>
      <c r="D575" s="41"/>
      <c r="E575" s="41"/>
      <c r="F575" s="41"/>
      <c r="G575" s="41"/>
      <c r="H575" s="41"/>
      <c r="I575" s="41"/>
      <c r="J575" s="41"/>
      <c r="K575" s="41"/>
      <c r="L575" s="41"/>
      <c r="M575" s="41"/>
      <c r="N575" s="41"/>
      <c r="O575" s="41"/>
      <c r="P575" s="41"/>
      <c r="Q575" s="64"/>
      <c r="R575" s="41"/>
      <c r="S575" s="41"/>
      <c r="T575" s="41"/>
      <c r="U575" s="41"/>
      <c r="V575" s="41"/>
      <c r="W575" s="41"/>
      <c r="X575" s="41"/>
      <c r="Y575" s="41"/>
      <c r="Z575" s="41"/>
      <c r="AA575" s="41"/>
    </row>
    <row r="576" spans="1:27" ht="15.75" hidden="1" customHeight="1" x14ac:dyDescent="0.25">
      <c r="A576" s="51"/>
      <c r="B576" s="41"/>
      <c r="C576" s="41"/>
      <c r="D576" s="41"/>
      <c r="E576" s="41"/>
      <c r="F576" s="41"/>
      <c r="G576" s="41"/>
      <c r="H576" s="41"/>
      <c r="I576" s="41"/>
      <c r="J576" s="41"/>
      <c r="K576" s="41"/>
      <c r="L576" s="41"/>
      <c r="M576" s="41"/>
      <c r="N576" s="41"/>
      <c r="O576" s="41"/>
      <c r="P576" s="41"/>
      <c r="Q576" s="64"/>
      <c r="R576" s="41"/>
      <c r="S576" s="41"/>
      <c r="T576" s="41"/>
      <c r="U576" s="41"/>
      <c r="V576" s="41"/>
      <c r="W576" s="41"/>
      <c r="X576" s="41"/>
      <c r="Y576" s="41"/>
      <c r="Z576" s="41"/>
      <c r="AA576" s="41"/>
    </row>
    <row r="577" spans="1:27" ht="15.75" hidden="1" customHeight="1" x14ac:dyDescent="0.25">
      <c r="A577" s="51"/>
      <c r="B577" s="41"/>
      <c r="C577" s="41"/>
      <c r="D577" s="41"/>
      <c r="E577" s="41"/>
      <c r="F577" s="41"/>
      <c r="G577" s="41"/>
      <c r="H577" s="41"/>
      <c r="I577" s="41"/>
      <c r="J577" s="41"/>
      <c r="K577" s="41"/>
      <c r="L577" s="41"/>
      <c r="M577" s="41"/>
      <c r="N577" s="41"/>
      <c r="O577" s="41"/>
      <c r="P577" s="41"/>
      <c r="Q577" s="64"/>
      <c r="R577" s="41"/>
      <c r="S577" s="41"/>
      <c r="T577" s="41"/>
      <c r="U577" s="41"/>
      <c r="V577" s="41"/>
      <c r="W577" s="41"/>
      <c r="X577" s="41"/>
      <c r="Y577" s="41"/>
      <c r="Z577" s="41"/>
      <c r="AA577" s="41"/>
    </row>
    <row r="578" spans="1:27" ht="15.75" hidden="1" customHeight="1" x14ac:dyDescent="0.25">
      <c r="A578" s="51"/>
      <c r="B578" s="41"/>
      <c r="C578" s="41"/>
      <c r="D578" s="41"/>
      <c r="E578" s="41"/>
      <c r="F578" s="41"/>
      <c r="G578" s="41"/>
      <c r="H578" s="41"/>
      <c r="I578" s="41"/>
      <c r="J578" s="41"/>
      <c r="K578" s="41"/>
      <c r="L578" s="41"/>
      <c r="M578" s="41"/>
      <c r="N578" s="41"/>
      <c r="O578" s="41"/>
      <c r="P578" s="41"/>
      <c r="Q578" s="64"/>
      <c r="R578" s="41"/>
      <c r="S578" s="41"/>
      <c r="T578" s="41"/>
      <c r="U578" s="41"/>
      <c r="V578" s="41"/>
      <c r="W578" s="41"/>
      <c r="X578" s="41"/>
      <c r="Y578" s="41"/>
      <c r="Z578" s="41"/>
      <c r="AA578" s="41"/>
    </row>
    <row r="579" spans="1:27" ht="15.75" hidden="1" customHeight="1" x14ac:dyDescent="0.25">
      <c r="A579" s="51"/>
      <c r="B579" s="41"/>
      <c r="C579" s="41"/>
      <c r="D579" s="41"/>
      <c r="E579" s="41"/>
      <c r="F579" s="41"/>
      <c r="G579" s="41"/>
      <c r="H579" s="41"/>
      <c r="I579" s="41"/>
      <c r="J579" s="41"/>
      <c r="K579" s="41"/>
      <c r="L579" s="41"/>
      <c r="M579" s="41"/>
      <c r="N579" s="41"/>
      <c r="O579" s="41"/>
      <c r="P579" s="41"/>
      <c r="Q579" s="64"/>
      <c r="R579" s="41"/>
      <c r="S579" s="41"/>
      <c r="T579" s="41"/>
      <c r="U579" s="41"/>
      <c r="V579" s="41"/>
      <c r="W579" s="41"/>
      <c r="X579" s="41"/>
      <c r="Y579" s="41"/>
      <c r="Z579" s="41"/>
      <c r="AA579" s="41"/>
    </row>
    <row r="580" spans="1:27" ht="15.75" hidden="1" customHeight="1" x14ac:dyDescent="0.25">
      <c r="A580" s="51"/>
      <c r="B580" s="41"/>
      <c r="C580" s="41"/>
      <c r="D580" s="41"/>
      <c r="E580" s="41"/>
      <c r="F580" s="41"/>
      <c r="G580" s="41"/>
      <c r="H580" s="41"/>
      <c r="I580" s="41"/>
      <c r="J580" s="41"/>
      <c r="K580" s="41"/>
      <c r="L580" s="41"/>
      <c r="M580" s="41"/>
      <c r="N580" s="41"/>
      <c r="O580" s="41"/>
      <c r="P580" s="41"/>
      <c r="Q580" s="64"/>
      <c r="R580" s="41"/>
      <c r="S580" s="41"/>
      <c r="T580" s="41"/>
      <c r="U580" s="41"/>
      <c r="V580" s="41"/>
      <c r="W580" s="41"/>
      <c r="X580" s="41"/>
      <c r="Y580" s="41"/>
      <c r="Z580" s="41"/>
      <c r="AA580" s="41"/>
    </row>
    <row r="581" spans="1:27" ht="15.75" hidden="1" customHeight="1" x14ac:dyDescent="0.25">
      <c r="A581" s="51"/>
      <c r="B581" s="41"/>
      <c r="C581" s="41"/>
      <c r="D581" s="41"/>
      <c r="E581" s="41"/>
      <c r="F581" s="41"/>
      <c r="G581" s="41"/>
      <c r="H581" s="41"/>
      <c r="I581" s="41"/>
      <c r="J581" s="41"/>
      <c r="K581" s="41"/>
      <c r="L581" s="41"/>
      <c r="M581" s="41"/>
      <c r="N581" s="41"/>
      <c r="O581" s="41"/>
      <c r="P581" s="41"/>
      <c r="Q581" s="64"/>
      <c r="R581" s="41"/>
      <c r="S581" s="41"/>
      <c r="T581" s="41"/>
      <c r="U581" s="41"/>
      <c r="V581" s="41"/>
      <c r="W581" s="41"/>
      <c r="X581" s="41"/>
      <c r="Y581" s="41"/>
      <c r="Z581" s="41"/>
      <c r="AA581" s="41"/>
    </row>
    <row r="582" spans="1:27" ht="15.75" hidden="1" customHeight="1" x14ac:dyDescent="0.25">
      <c r="A582" s="51"/>
      <c r="B582" s="41"/>
      <c r="C582" s="41"/>
      <c r="D582" s="41"/>
      <c r="E582" s="41"/>
      <c r="F582" s="41"/>
      <c r="G582" s="41"/>
      <c r="H582" s="41"/>
      <c r="I582" s="41"/>
      <c r="J582" s="41"/>
      <c r="K582" s="41"/>
      <c r="L582" s="41"/>
      <c r="M582" s="41"/>
      <c r="N582" s="41"/>
      <c r="O582" s="41"/>
      <c r="P582" s="41"/>
      <c r="Q582" s="64"/>
      <c r="R582" s="41"/>
      <c r="S582" s="41"/>
      <c r="T582" s="41"/>
      <c r="U582" s="41"/>
      <c r="V582" s="41"/>
      <c r="W582" s="41"/>
      <c r="X582" s="41"/>
      <c r="Y582" s="41"/>
      <c r="Z582" s="41"/>
      <c r="AA582" s="41"/>
    </row>
    <row r="583" spans="1:27" ht="15.75" hidden="1" customHeight="1" x14ac:dyDescent="0.25">
      <c r="A583" s="51"/>
      <c r="B583" s="41"/>
      <c r="C583" s="41"/>
      <c r="D583" s="41"/>
      <c r="E583" s="41"/>
      <c r="F583" s="41"/>
      <c r="G583" s="41"/>
      <c r="H583" s="41"/>
      <c r="I583" s="41"/>
      <c r="J583" s="41"/>
      <c r="K583" s="41"/>
      <c r="L583" s="41"/>
      <c r="M583" s="41"/>
      <c r="N583" s="41"/>
      <c r="O583" s="41"/>
      <c r="P583" s="41"/>
      <c r="Q583" s="64"/>
      <c r="R583" s="41"/>
      <c r="S583" s="41"/>
      <c r="T583" s="41"/>
      <c r="U583" s="41"/>
      <c r="V583" s="41"/>
      <c r="W583" s="41"/>
      <c r="X583" s="41"/>
      <c r="Y583" s="41"/>
      <c r="Z583" s="41"/>
      <c r="AA583" s="41"/>
    </row>
    <row r="584" spans="1:27" ht="15.75" hidden="1" customHeight="1" x14ac:dyDescent="0.25">
      <c r="A584" s="51"/>
      <c r="B584" s="41"/>
      <c r="C584" s="41"/>
      <c r="D584" s="41"/>
      <c r="E584" s="41"/>
      <c r="F584" s="41"/>
      <c r="G584" s="41"/>
      <c r="H584" s="41"/>
      <c r="I584" s="41"/>
      <c r="J584" s="41"/>
      <c r="K584" s="41"/>
      <c r="L584" s="41"/>
      <c r="M584" s="41"/>
      <c r="N584" s="41"/>
      <c r="O584" s="41"/>
      <c r="P584" s="41"/>
      <c r="Q584" s="64"/>
      <c r="R584" s="41"/>
      <c r="S584" s="41"/>
      <c r="T584" s="41"/>
      <c r="U584" s="41"/>
      <c r="V584" s="41"/>
      <c r="W584" s="41"/>
      <c r="X584" s="41"/>
      <c r="Y584" s="41"/>
      <c r="Z584" s="41"/>
      <c r="AA584" s="41"/>
    </row>
    <row r="585" spans="1:27" ht="15.75" hidden="1" customHeight="1" x14ac:dyDescent="0.25">
      <c r="A585" s="51"/>
      <c r="B585" s="41"/>
      <c r="C585" s="41"/>
      <c r="D585" s="41"/>
      <c r="E585" s="41"/>
      <c r="F585" s="41"/>
      <c r="G585" s="41"/>
      <c r="H585" s="41"/>
      <c r="I585" s="41"/>
      <c r="J585" s="41"/>
      <c r="K585" s="41"/>
      <c r="L585" s="41"/>
      <c r="M585" s="41"/>
      <c r="N585" s="41"/>
      <c r="O585" s="41"/>
      <c r="P585" s="41"/>
      <c r="Q585" s="64"/>
      <c r="R585" s="41"/>
      <c r="S585" s="41"/>
      <c r="T585" s="41"/>
      <c r="U585" s="41"/>
      <c r="V585" s="41"/>
      <c r="W585" s="41"/>
      <c r="X585" s="41"/>
      <c r="Y585" s="41"/>
      <c r="Z585" s="41"/>
      <c r="AA585" s="41"/>
    </row>
    <row r="586" spans="1:27" ht="15.75" hidden="1" customHeight="1" x14ac:dyDescent="0.25">
      <c r="A586" s="51"/>
      <c r="B586" s="41"/>
      <c r="C586" s="41"/>
      <c r="D586" s="41"/>
      <c r="E586" s="41"/>
      <c r="F586" s="41"/>
      <c r="G586" s="41"/>
      <c r="H586" s="41"/>
      <c r="I586" s="41"/>
      <c r="J586" s="41"/>
      <c r="K586" s="41"/>
      <c r="L586" s="41"/>
      <c r="M586" s="41"/>
      <c r="N586" s="41"/>
      <c r="O586" s="41"/>
      <c r="P586" s="41"/>
      <c r="Q586" s="64"/>
      <c r="R586" s="41"/>
      <c r="S586" s="41"/>
      <c r="T586" s="41"/>
      <c r="U586" s="41"/>
      <c r="V586" s="41"/>
      <c r="W586" s="41"/>
      <c r="X586" s="41"/>
      <c r="Y586" s="41"/>
      <c r="Z586" s="41"/>
      <c r="AA586" s="41"/>
    </row>
    <row r="587" spans="1:27" ht="15.75" hidden="1" customHeight="1" x14ac:dyDescent="0.25">
      <c r="A587" s="51"/>
      <c r="B587" s="41"/>
      <c r="C587" s="41"/>
      <c r="D587" s="41"/>
      <c r="E587" s="41"/>
      <c r="F587" s="41"/>
      <c r="G587" s="41"/>
      <c r="H587" s="41"/>
      <c r="I587" s="41"/>
      <c r="J587" s="41"/>
      <c r="K587" s="41"/>
      <c r="L587" s="41"/>
      <c r="M587" s="41"/>
      <c r="N587" s="41"/>
      <c r="O587" s="41"/>
      <c r="P587" s="41"/>
      <c r="Q587" s="64"/>
      <c r="R587" s="41"/>
      <c r="S587" s="41"/>
      <c r="T587" s="41"/>
      <c r="U587" s="41"/>
      <c r="V587" s="41"/>
      <c r="W587" s="41"/>
      <c r="X587" s="41"/>
      <c r="Y587" s="41"/>
      <c r="Z587" s="41"/>
      <c r="AA587" s="41"/>
    </row>
    <row r="588" spans="1:27" ht="15.75" hidden="1" customHeight="1" x14ac:dyDescent="0.25">
      <c r="A588" s="51"/>
      <c r="B588" s="41"/>
      <c r="C588" s="41"/>
      <c r="D588" s="41"/>
      <c r="E588" s="41"/>
      <c r="F588" s="41"/>
      <c r="G588" s="41"/>
      <c r="H588" s="41"/>
      <c r="I588" s="41"/>
      <c r="J588" s="41"/>
      <c r="K588" s="41"/>
      <c r="L588" s="41"/>
      <c r="M588" s="41"/>
      <c r="N588" s="41"/>
      <c r="O588" s="41"/>
      <c r="P588" s="41"/>
      <c r="Q588" s="64"/>
      <c r="R588" s="41"/>
      <c r="S588" s="41"/>
      <c r="T588" s="41"/>
      <c r="U588" s="41"/>
      <c r="V588" s="41"/>
      <c r="W588" s="41"/>
      <c r="X588" s="41"/>
      <c r="Y588" s="41"/>
      <c r="Z588" s="41"/>
      <c r="AA588" s="41"/>
    </row>
    <row r="589" spans="1:27" ht="15.75" hidden="1" customHeight="1" x14ac:dyDescent="0.25">
      <c r="A589" s="51"/>
      <c r="B589" s="41"/>
      <c r="C589" s="41"/>
      <c r="D589" s="41"/>
      <c r="E589" s="41"/>
      <c r="F589" s="41"/>
      <c r="G589" s="41"/>
      <c r="H589" s="41"/>
      <c r="I589" s="41"/>
      <c r="J589" s="41"/>
      <c r="K589" s="41"/>
      <c r="L589" s="41"/>
      <c r="M589" s="41"/>
      <c r="N589" s="41"/>
      <c r="O589" s="41"/>
      <c r="P589" s="41"/>
      <c r="Q589" s="64"/>
      <c r="R589" s="41"/>
      <c r="S589" s="41"/>
      <c r="T589" s="41"/>
      <c r="U589" s="41"/>
      <c r="V589" s="41"/>
      <c r="W589" s="41"/>
      <c r="X589" s="41"/>
      <c r="Y589" s="41"/>
      <c r="Z589" s="41"/>
      <c r="AA589" s="41"/>
    </row>
    <row r="590" spans="1:27" ht="15.75" hidden="1" customHeight="1" x14ac:dyDescent="0.25">
      <c r="A590" s="51"/>
      <c r="B590" s="41"/>
      <c r="C590" s="41"/>
      <c r="D590" s="41"/>
      <c r="E590" s="41"/>
      <c r="F590" s="41"/>
      <c r="G590" s="41"/>
      <c r="H590" s="41"/>
      <c r="I590" s="41"/>
      <c r="J590" s="41"/>
      <c r="K590" s="41"/>
      <c r="L590" s="41"/>
      <c r="M590" s="41"/>
      <c r="N590" s="41"/>
      <c r="O590" s="41"/>
      <c r="P590" s="41"/>
      <c r="Q590" s="64"/>
      <c r="R590" s="41"/>
      <c r="S590" s="41"/>
      <c r="T590" s="41"/>
      <c r="U590" s="41"/>
      <c r="V590" s="41"/>
      <c r="W590" s="41"/>
      <c r="X590" s="41"/>
      <c r="Y590" s="41"/>
      <c r="Z590" s="41"/>
      <c r="AA590" s="41"/>
    </row>
    <row r="591" spans="1:27" ht="15.75" hidden="1" customHeight="1" x14ac:dyDescent="0.25">
      <c r="A591" s="51"/>
      <c r="B591" s="41"/>
      <c r="C591" s="41"/>
      <c r="D591" s="41"/>
      <c r="E591" s="41"/>
      <c r="F591" s="41"/>
      <c r="G591" s="41"/>
      <c r="H591" s="41"/>
      <c r="I591" s="41"/>
      <c r="J591" s="41"/>
      <c r="K591" s="41"/>
      <c r="L591" s="41"/>
      <c r="M591" s="41"/>
      <c r="N591" s="41"/>
      <c r="O591" s="41"/>
      <c r="P591" s="41"/>
      <c r="Q591" s="64"/>
      <c r="R591" s="41"/>
      <c r="S591" s="41"/>
      <c r="T591" s="41"/>
      <c r="U591" s="41"/>
      <c r="V591" s="41"/>
      <c r="W591" s="41"/>
      <c r="X591" s="41"/>
      <c r="Y591" s="41"/>
      <c r="Z591" s="41"/>
      <c r="AA591" s="41"/>
    </row>
    <row r="592" spans="1:27" ht="15.75" hidden="1" customHeight="1" x14ac:dyDescent="0.25">
      <c r="A592" s="51"/>
      <c r="B592" s="41"/>
      <c r="C592" s="41"/>
      <c r="D592" s="41"/>
      <c r="E592" s="41"/>
      <c r="F592" s="41"/>
      <c r="G592" s="41"/>
      <c r="H592" s="41"/>
      <c r="I592" s="41"/>
      <c r="J592" s="41"/>
      <c r="K592" s="41"/>
      <c r="L592" s="41"/>
      <c r="M592" s="41"/>
      <c r="N592" s="41"/>
      <c r="O592" s="41"/>
      <c r="P592" s="41"/>
      <c r="Q592" s="64"/>
      <c r="R592" s="41"/>
      <c r="S592" s="41"/>
      <c r="T592" s="41"/>
      <c r="U592" s="41"/>
      <c r="V592" s="41"/>
      <c r="W592" s="41"/>
      <c r="X592" s="41"/>
      <c r="Y592" s="41"/>
      <c r="Z592" s="41"/>
      <c r="AA592" s="41"/>
    </row>
    <row r="593" spans="1:27" ht="15.75" hidden="1" customHeight="1" x14ac:dyDescent="0.25">
      <c r="A593" s="51"/>
      <c r="B593" s="41"/>
      <c r="C593" s="41"/>
      <c r="D593" s="41"/>
      <c r="E593" s="41"/>
      <c r="F593" s="41"/>
      <c r="G593" s="41"/>
      <c r="H593" s="41"/>
      <c r="I593" s="41"/>
      <c r="J593" s="41"/>
      <c r="K593" s="41"/>
      <c r="L593" s="41"/>
      <c r="M593" s="41"/>
      <c r="N593" s="41"/>
      <c r="O593" s="41"/>
      <c r="P593" s="41"/>
      <c r="Q593" s="64"/>
      <c r="R593" s="41"/>
      <c r="S593" s="41"/>
      <c r="T593" s="41"/>
      <c r="U593" s="41"/>
      <c r="V593" s="41"/>
      <c r="W593" s="41"/>
      <c r="X593" s="41"/>
      <c r="Y593" s="41"/>
      <c r="Z593" s="41"/>
      <c r="AA593" s="41"/>
    </row>
    <row r="594" spans="1:27" ht="15.75" hidden="1" customHeight="1" x14ac:dyDescent="0.25">
      <c r="A594" s="51"/>
      <c r="B594" s="41"/>
      <c r="C594" s="41"/>
      <c r="D594" s="41"/>
      <c r="E594" s="41"/>
      <c r="F594" s="41"/>
      <c r="G594" s="41"/>
      <c r="H594" s="41"/>
      <c r="I594" s="41"/>
      <c r="J594" s="41"/>
      <c r="K594" s="41"/>
      <c r="L594" s="41"/>
      <c r="M594" s="41"/>
      <c r="N594" s="41"/>
      <c r="O594" s="41"/>
      <c r="P594" s="41"/>
      <c r="Q594" s="64"/>
      <c r="R594" s="41"/>
      <c r="S594" s="41"/>
      <c r="T594" s="41"/>
      <c r="U594" s="41"/>
      <c r="V594" s="41"/>
      <c r="W594" s="41"/>
      <c r="X594" s="41"/>
      <c r="Y594" s="41"/>
      <c r="Z594" s="41"/>
      <c r="AA594" s="41"/>
    </row>
    <row r="595" spans="1:27" ht="15.75" hidden="1" customHeight="1" x14ac:dyDescent="0.25">
      <c r="A595" s="51"/>
      <c r="B595" s="41"/>
      <c r="C595" s="41"/>
      <c r="D595" s="41"/>
      <c r="E595" s="41"/>
      <c r="F595" s="41"/>
      <c r="G595" s="41"/>
      <c r="H595" s="41"/>
      <c r="I595" s="41"/>
      <c r="J595" s="41"/>
      <c r="K595" s="41"/>
      <c r="L595" s="41"/>
      <c r="M595" s="41"/>
      <c r="N595" s="41"/>
      <c r="O595" s="41"/>
      <c r="P595" s="41"/>
      <c r="Q595" s="64"/>
      <c r="R595" s="41"/>
      <c r="S595" s="41"/>
      <c r="T595" s="41"/>
      <c r="U595" s="41"/>
      <c r="V595" s="41"/>
      <c r="W595" s="41"/>
      <c r="X595" s="41"/>
      <c r="Y595" s="41"/>
      <c r="Z595" s="41"/>
      <c r="AA595" s="41"/>
    </row>
    <row r="596" spans="1:27" ht="15.75" hidden="1" customHeight="1" x14ac:dyDescent="0.25">
      <c r="A596" s="51"/>
      <c r="B596" s="41"/>
      <c r="C596" s="41"/>
      <c r="D596" s="41"/>
      <c r="E596" s="41"/>
      <c r="F596" s="41"/>
      <c r="G596" s="41"/>
      <c r="H596" s="41"/>
      <c r="I596" s="41"/>
      <c r="J596" s="41"/>
      <c r="K596" s="41"/>
      <c r="L596" s="41"/>
      <c r="M596" s="41"/>
      <c r="N596" s="41"/>
      <c r="O596" s="41"/>
      <c r="P596" s="41"/>
      <c r="Q596" s="64"/>
      <c r="R596" s="41"/>
      <c r="S596" s="41"/>
      <c r="T596" s="41"/>
      <c r="U596" s="41"/>
      <c r="V596" s="41"/>
      <c r="W596" s="41"/>
      <c r="X596" s="41"/>
      <c r="Y596" s="41"/>
      <c r="Z596" s="41"/>
      <c r="AA596" s="41"/>
    </row>
    <row r="597" spans="1:27" ht="15.75" hidden="1" customHeight="1" x14ac:dyDescent="0.25">
      <c r="A597" s="51"/>
      <c r="B597" s="41"/>
      <c r="C597" s="41"/>
      <c r="D597" s="41"/>
      <c r="E597" s="41"/>
      <c r="F597" s="41"/>
      <c r="G597" s="41"/>
      <c r="H597" s="41"/>
      <c r="I597" s="41"/>
      <c r="J597" s="41"/>
      <c r="K597" s="41"/>
      <c r="L597" s="41"/>
      <c r="M597" s="41"/>
      <c r="N597" s="41"/>
      <c r="O597" s="41"/>
      <c r="P597" s="41"/>
      <c r="Q597" s="64"/>
      <c r="R597" s="41"/>
      <c r="S597" s="41"/>
      <c r="T597" s="41"/>
      <c r="U597" s="41"/>
      <c r="V597" s="41"/>
      <c r="W597" s="41"/>
      <c r="X597" s="41"/>
      <c r="Y597" s="41"/>
      <c r="Z597" s="41"/>
      <c r="AA597" s="41"/>
    </row>
    <row r="598" spans="1:27" ht="15.75" hidden="1" customHeight="1" x14ac:dyDescent="0.25">
      <c r="A598" s="51"/>
      <c r="B598" s="41"/>
      <c r="C598" s="41"/>
      <c r="D598" s="41"/>
      <c r="E598" s="41"/>
      <c r="F598" s="41"/>
      <c r="G598" s="41"/>
      <c r="H598" s="41"/>
      <c r="I598" s="41"/>
      <c r="J598" s="41"/>
      <c r="K598" s="41"/>
      <c r="L598" s="41"/>
      <c r="M598" s="41"/>
      <c r="N598" s="41"/>
      <c r="O598" s="41"/>
      <c r="P598" s="41"/>
      <c r="Q598" s="64"/>
      <c r="R598" s="41"/>
      <c r="S598" s="41"/>
      <c r="T598" s="41"/>
      <c r="U598" s="41"/>
      <c r="V598" s="41"/>
      <c r="W598" s="41"/>
      <c r="X598" s="41"/>
      <c r="Y598" s="41"/>
      <c r="Z598" s="41"/>
      <c r="AA598" s="41"/>
    </row>
    <row r="599" spans="1:27" ht="15.75" hidden="1" customHeight="1" x14ac:dyDescent="0.25">
      <c r="A599" s="51"/>
      <c r="B599" s="41"/>
      <c r="C599" s="41"/>
      <c r="D599" s="41"/>
      <c r="E599" s="41"/>
      <c r="F599" s="41"/>
      <c r="G599" s="41"/>
      <c r="H599" s="41"/>
      <c r="I599" s="41"/>
      <c r="J599" s="41"/>
      <c r="K599" s="41"/>
      <c r="L599" s="41"/>
      <c r="M599" s="41"/>
      <c r="N599" s="41"/>
      <c r="O599" s="41"/>
      <c r="P599" s="41"/>
      <c r="Q599" s="64"/>
      <c r="R599" s="41"/>
      <c r="S599" s="41"/>
      <c r="T599" s="41"/>
      <c r="U599" s="41"/>
      <c r="V599" s="41"/>
      <c r="W599" s="41"/>
      <c r="X599" s="41"/>
      <c r="Y599" s="41"/>
      <c r="Z599" s="41"/>
      <c r="AA599" s="41"/>
    </row>
    <row r="600" spans="1:27" ht="15.75" hidden="1" customHeight="1" x14ac:dyDescent="0.25">
      <c r="A600" s="51"/>
      <c r="B600" s="41"/>
      <c r="C600" s="41"/>
      <c r="D600" s="41"/>
      <c r="E600" s="41"/>
      <c r="F600" s="41"/>
      <c r="G600" s="41"/>
      <c r="H600" s="41"/>
      <c r="I600" s="41"/>
      <c r="J600" s="41"/>
      <c r="K600" s="41"/>
      <c r="L600" s="41"/>
      <c r="M600" s="41"/>
      <c r="N600" s="41"/>
      <c r="O600" s="41"/>
      <c r="P600" s="41"/>
      <c r="Q600" s="64"/>
      <c r="R600" s="41"/>
      <c r="S600" s="41"/>
      <c r="T600" s="41"/>
      <c r="U600" s="41"/>
      <c r="V600" s="41"/>
      <c r="W600" s="41"/>
      <c r="X600" s="41"/>
      <c r="Y600" s="41"/>
      <c r="Z600" s="41"/>
      <c r="AA600" s="41"/>
    </row>
    <row r="601" spans="1:27" ht="15.75" hidden="1" customHeight="1" x14ac:dyDescent="0.25">
      <c r="A601" s="51"/>
      <c r="B601" s="41"/>
      <c r="C601" s="41"/>
      <c r="D601" s="41"/>
      <c r="E601" s="41"/>
      <c r="F601" s="41"/>
      <c r="G601" s="41"/>
      <c r="H601" s="41"/>
      <c r="I601" s="41"/>
      <c r="J601" s="41"/>
      <c r="K601" s="41"/>
      <c r="L601" s="41"/>
      <c r="M601" s="41"/>
      <c r="N601" s="41"/>
      <c r="O601" s="41"/>
      <c r="P601" s="41"/>
      <c r="Q601" s="64"/>
      <c r="R601" s="41"/>
      <c r="S601" s="41"/>
      <c r="T601" s="41"/>
      <c r="U601" s="41"/>
      <c r="V601" s="41"/>
      <c r="W601" s="41"/>
      <c r="X601" s="41"/>
      <c r="Y601" s="41"/>
      <c r="Z601" s="41"/>
      <c r="AA601" s="41"/>
    </row>
    <row r="602" spans="1:27" ht="15.75" hidden="1" customHeight="1" x14ac:dyDescent="0.25">
      <c r="A602" s="51"/>
      <c r="B602" s="41"/>
      <c r="C602" s="41"/>
      <c r="D602" s="41"/>
      <c r="E602" s="41"/>
      <c r="F602" s="41"/>
      <c r="G602" s="41"/>
      <c r="H602" s="41"/>
      <c r="I602" s="41"/>
      <c r="J602" s="41"/>
      <c r="K602" s="41"/>
      <c r="L602" s="41"/>
      <c r="M602" s="41"/>
      <c r="N602" s="41"/>
      <c r="O602" s="41"/>
      <c r="P602" s="41"/>
      <c r="Q602" s="64"/>
      <c r="R602" s="41"/>
      <c r="S602" s="41"/>
      <c r="T602" s="41"/>
      <c r="U602" s="41"/>
      <c r="V602" s="41"/>
      <c r="W602" s="41"/>
      <c r="X602" s="41"/>
      <c r="Y602" s="41"/>
      <c r="Z602" s="41"/>
      <c r="AA602" s="41"/>
    </row>
    <row r="603" spans="1:27" ht="15.75" hidden="1" customHeight="1" x14ac:dyDescent="0.25">
      <c r="A603" s="51"/>
      <c r="B603" s="41"/>
      <c r="C603" s="41"/>
      <c r="D603" s="41"/>
      <c r="E603" s="41"/>
      <c r="F603" s="41"/>
      <c r="G603" s="41"/>
      <c r="H603" s="41"/>
      <c r="I603" s="41"/>
      <c r="J603" s="41"/>
      <c r="K603" s="41"/>
      <c r="L603" s="41"/>
      <c r="M603" s="41"/>
      <c r="N603" s="41"/>
      <c r="O603" s="41"/>
      <c r="P603" s="41"/>
      <c r="Q603" s="64"/>
      <c r="R603" s="41"/>
      <c r="S603" s="41"/>
      <c r="T603" s="41"/>
      <c r="U603" s="41"/>
      <c r="V603" s="41"/>
      <c r="W603" s="41"/>
      <c r="X603" s="41"/>
      <c r="Y603" s="41"/>
      <c r="Z603" s="41"/>
      <c r="AA603" s="41"/>
    </row>
    <row r="604" spans="1:27" ht="15.75" hidden="1" customHeight="1" x14ac:dyDescent="0.25">
      <c r="A604" s="51"/>
      <c r="B604" s="41"/>
      <c r="C604" s="41"/>
      <c r="D604" s="41"/>
      <c r="E604" s="41"/>
      <c r="F604" s="41"/>
      <c r="G604" s="41"/>
      <c r="H604" s="41"/>
      <c r="I604" s="41"/>
      <c r="J604" s="41"/>
      <c r="K604" s="41"/>
      <c r="L604" s="41"/>
      <c r="M604" s="41"/>
      <c r="N604" s="41"/>
      <c r="O604" s="41"/>
      <c r="P604" s="41"/>
      <c r="Q604" s="64"/>
      <c r="R604" s="41"/>
      <c r="S604" s="41"/>
      <c r="T604" s="41"/>
      <c r="U604" s="41"/>
      <c r="V604" s="41"/>
      <c r="W604" s="41"/>
      <c r="X604" s="41"/>
      <c r="Y604" s="41"/>
      <c r="Z604" s="41"/>
      <c r="AA604" s="41"/>
    </row>
    <row r="605" spans="1:27" ht="15.75" hidden="1" customHeight="1" x14ac:dyDescent="0.25">
      <c r="A605" s="51"/>
      <c r="B605" s="41"/>
      <c r="C605" s="41"/>
      <c r="D605" s="41"/>
      <c r="E605" s="41"/>
      <c r="F605" s="41"/>
      <c r="G605" s="41"/>
      <c r="H605" s="41"/>
      <c r="I605" s="41"/>
      <c r="J605" s="41"/>
      <c r="K605" s="41"/>
      <c r="L605" s="41"/>
      <c r="M605" s="41"/>
      <c r="N605" s="41"/>
      <c r="O605" s="41"/>
      <c r="P605" s="41"/>
      <c r="Q605" s="64"/>
      <c r="R605" s="41"/>
      <c r="S605" s="41"/>
      <c r="T605" s="41"/>
      <c r="U605" s="41"/>
      <c r="V605" s="41"/>
      <c r="W605" s="41"/>
      <c r="X605" s="41"/>
      <c r="Y605" s="41"/>
      <c r="Z605" s="41"/>
      <c r="AA605" s="41"/>
    </row>
    <row r="606" spans="1:27" ht="15.75" hidden="1" customHeight="1" x14ac:dyDescent="0.25">
      <c r="A606" s="51"/>
      <c r="B606" s="41"/>
      <c r="C606" s="41"/>
      <c r="D606" s="41"/>
      <c r="E606" s="41"/>
      <c r="F606" s="41"/>
      <c r="G606" s="41"/>
      <c r="H606" s="41"/>
      <c r="I606" s="41"/>
      <c r="J606" s="41"/>
      <c r="K606" s="41"/>
      <c r="L606" s="41"/>
      <c r="M606" s="41"/>
      <c r="N606" s="41"/>
      <c r="O606" s="41"/>
      <c r="P606" s="41"/>
      <c r="Q606" s="64"/>
      <c r="R606" s="41"/>
      <c r="S606" s="41"/>
      <c r="T606" s="41"/>
      <c r="U606" s="41"/>
      <c r="V606" s="41"/>
      <c r="W606" s="41"/>
      <c r="X606" s="41"/>
      <c r="Y606" s="41"/>
      <c r="Z606" s="41"/>
      <c r="AA606" s="41"/>
    </row>
    <row r="607" spans="1:27" ht="15.75" hidden="1" customHeight="1" x14ac:dyDescent="0.25">
      <c r="A607" s="51"/>
      <c r="B607" s="41"/>
      <c r="C607" s="41"/>
      <c r="D607" s="41"/>
      <c r="E607" s="41"/>
      <c r="F607" s="41"/>
      <c r="G607" s="41"/>
      <c r="H607" s="41"/>
      <c r="I607" s="41"/>
      <c r="J607" s="41"/>
      <c r="K607" s="41"/>
      <c r="L607" s="41"/>
      <c r="M607" s="41"/>
      <c r="N607" s="41"/>
      <c r="O607" s="41"/>
      <c r="P607" s="41"/>
      <c r="Q607" s="64"/>
      <c r="R607" s="41"/>
      <c r="S607" s="41"/>
      <c r="T607" s="41"/>
      <c r="U607" s="41"/>
      <c r="V607" s="41"/>
      <c r="W607" s="41"/>
      <c r="X607" s="41"/>
      <c r="Y607" s="41"/>
      <c r="Z607" s="41"/>
      <c r="AA607" s="41"/>
    </row>
    <row r="608" spans="1:27" ht="15.75" hidden="1" customHeight="1" x14ac:dyDescent="0.25">
      <c r="A608" s="51"/>
      <c r="B608" s="41"/>
      <c r="C608" s="41"/>
      <c r="D608" s="41"/>
      <c r="E608" s="41"/>
      <c r="F608" s="41"/>
      <c r="G608" s="41"/>
      <c r="H608" s="41"/>
      <c r="I608" s="41"/>
      <c r="J608" s="41"/>
      <c r="K608" s="41"/>
      <c r="L608" s="41"/>
      <c r="M608" s="41"/>
      <c r="N608" s="41"/>
      <c r="O608" s="41"/>
      <c r="P608" s="41"/>
      <c r="Q608" s="64"/>
      <c r="R608" s="41"/>
      <c r="S608" s="41"/>
      <c r="T608" s="41"/>
      <c r="U608" s="41"/>
      <c r="V608" s="41"/>
      <c r="W608" s="41"/>
      <c r="X608" s="41"/>
      <c r="Y608" s="41"/>
      <c r="Z608" s="41"/>
      <c r="AA608" s="41"/>
    </row>
    <row r="609" spans="1:27" ht="15.75" hidden="1" customHeight="1" x14ac:dyDescent="0.25">
      <c r="A609" s="51"/>
      <c r="B609" s="41"/>
      <c r="C609" s="41"/>
      <c r="D609" s="41"/>
      <c r="E609" s="41"/>
      <c r="F609" s="41"/>
      <c r="G609" s="41"/>
      <c r="H609" s="41"/>
      <c r="I609" s="41"/>
      <c r="J609" s="41"/>
      <c r="K609" s="41"/>
      <c r="L609" s="41"/>
      <c r="M609" s="41"/>
      <c r="N609" s="41"/>
      <c r="O609" s="41"/>
      <c r="P609" s="41"/>
      <c r="Q609" s="64"/>
      <c r="R609" s="41"/>
      <c r="S609" s="41"/>
      <c r="T609" s="41"/>
      <c r="U609" s="41"/>
      <c r="V609" s="41"/>
      <c r="W609" s="41"/>
      <c r="X609" s="41"/>
      <c r="Y609" s="41"/>
      <c r="Z609" s="41"/>
      <c r="AA609" s="41"/>
    </row>
    <row r="610" spans="1:27" ht="15.75" hidden="1" customHeight="1" x14ac:dyDescent="0.25">
      <c r="A610" s="51"/>
      <c r="B610" s="41"/>
      <c r="C610" s="41"/>
      <c r="D610" s="41"/>
      <c r="E610" s="41"/>
      <c r="F610" s="41"/>
      <c r="G610" s="41"/>
      <c r="H610" s="41"/>
      <c r="I610" s="41"/>
      <c r="J610" s="41"/>
      <c r="K610" s="41"/>
      <c r="L610" s="41"/>
      <c r="M610" s="41"/>
      <c r="N610" s="41"/>
      <c r="O610" s="41"/>
      <c r="P610" s="41"/>
      <c r="Q610" s="64"/>
      <c r="R610" s="41"/>
      <c r="S610" s="41"/>
      <c r="T610" s="41"/>
      <c r="U610" s="41"/>
      <c r="V610" s="41"/>
      <c r="W610" s="41"/>
      <c r="X610" s="41"/>
      <c r="Y610" s="41"/>
      <c r="Z610" s="41"/>
      <c r="AA610" s="41"/>
    </row>
    <row r="611" spans="1:27" ht="15.75" hidden="1" customHeight="1" x14ac:dyDescent="0.25">
      <c r="A611" s="51"/>
      <c r="B611" s="41"/>
      <c r="C611" s="41"/>
      <c r="D611" s="41"/>
      <c r="E611" s="41"/>
      <c r="F611" s="41"/>
      <c r="G611" s="41"/>
      <c r="H611" s="41"/>
      <c r="I611" s="41"/>
      <c r="J611" s="41"/>
      <c r="K611" s="41"/>
      <c r="L611" s="41"/>
      <c r="M611" s="41"/>
      <c r="N611" s="41"/>
      <c r="O611" s="41"/>
      <c r="P611" s="41"/>
      <c r="Q611" s="64"/>
      <c r="R611" s="41"/>
      <c r="S611" s="41"/>
      <c r="T611" s="41"/>
      <c r="U611" s="41"/>
      <c r="V611" s="41"/>
      <c r="W611" s="41"/>
      <c r="X611" s="41"/>
      <c r="Y611" s="41"/>
      <c r="Z611" s="41"/>
      <c r="AA611" s="41"/>
    </row>
    <row r="612" spans="1:27" ht="15.75" hidden="1" customHeight="1" x14ac:dyDescent="0.25">
      <c r="A612" s="51"/>
      <c r="B612" s="41"/>
      <c r="C612" s="41"/>
      <c r="D612" s="41"/>
      <c r="E612" s="41"/>
      <c r="F612" s="41"/>
      <c r="G612" s="41"/>
      <c r="H612" s="41"/>
      <c r="I612" s="41"/>
      <c r="J612" s="41"/>
      <c r="K612" s="41"/>
      <c r="L612" s="41"/>
      <c r="M612" s="41"/>
      <c r="N612" s="41"/>
      <c r="O612" s="41"/>
      <c r="P612" s="41"/>
      <c r="Q612" s="64"/>
      <c r="R612" s="41"/>
      <c r="S612" s="41"/>
      <c r="T612" s="41"/>
      <c r="U612" s="41"/>
      <c r="V612" s="41"/>
      <c r="W612" s="41"/>
      <c r="X612" s="41"/>
      <c r="Y612" s="41"/>
      <c r="Z612" s="41"/>
      <c r="AA612" s="41"/>
    </row>
    <row r="613" spans="1:27" ht="15.75" hidden="1" customHeight="1" x14ac:dyDescent="0.25">
      <c r="A613" s="51"/>
      <c r="B613" s="41"/>
      <c r="C613" s="41"/>
      <c r="D613" s="41"/>
      <c r="E613" s="41"/>
      <c r="F613" s="41"/>
      <c r="G613" s="41"/>
      <c r="H613" s="41"/>
      <c r="I613" s="41"/>
      <c r="J613" s="41"/>
      <c r="K613" s="41"/>
      <c r="L613" s="41"/>
      <c r="M613" s="41"/>
      <c r="N613" s="41"/>
      <c r="O613" s="41"/>
      <c r="P613" s="41"/>
      <c r="Q613" s="64"/>
      <c r="R613" s="41"/>
      <c r="S613" s="41"/>
      <c r="T613" s="41"/>
      <c r="U613" s="41"/>
      <c r="V613" s="41"/>
      <c r="W613" s="41"/>
      <c r="X613" s="41"/>
      <c r="Y613" s="41"/>
      <c r="Z613" s="41"/>
      <c r="AA613" s="41"/>
    </row>
    <row r="614" spans="1:27" ht="15.75" hidden="1" customHeight="1" x14ac:dyDescent="0.25">
      <c r="A614" s="51"/>
      <c r="B614" s="41"/>
      <c r="C614" s="41"/>
      <c r="D614" s="41"/>
      <c r="E614" s="41"/>
      <c r="F614" s="41"/>
      <c r="G614" s="41"/>
      <c r="H614" s="41"/>
      <c r="I614" s="41"/>
      <c r="J614" s="41"/>
      <c r="K614" s="41"/>
      <c r="L614" s="41"/>
      <c r="M614" s="41"/>
      <c r="N614" s="41"/>
      <c r="O614" s="41"/>
      <c r="P614" s="41"/>
      <c r="Q614" s="64"/>
      <c r="R614" s="41"/>
      <c r="S614" s="41"/>
      <c r="T614" s="41"/>
      <c r="U614" s="41"/>
      <c r="V614" s="41"/>
      <c r="W614" s="41"/>
      <c r="X614" s="41"/>
      <c r="Y614" s="41"/>
      <c r="Z614" s="41"/>
      <c r="AA614" s="41"/>
    </row>
    <row r="615" spans="1:27" ht="15.75" hidden="1" customHeight="1" x14ac:dyDescent="0.25">
      <c r="A615" s="51"/>
      <c r="B615" s="41"/>
      <c r="C615" s="41"/>
      <c r="D615" s="41"/>
      <c r="E615" s="41"/>
      <c r="F615" s="41"/>
      <c r="G615" s="41"/>
      <c r="H615" s="41"/>
      <c r="I615" s="41"/>
      <c r="J615" s="41"/>
      <c r="K615" s="41"/>
      <c r="L615" s="41"/>
      <c r="M615" s="41"/>
      <c r="N615" s="41"/>
      <c r="O615" s="41"/>
      <c r="P615" s="41"/>
      <c r="Q615" s="64"/>
      <c r="R615" s="41"/>
      <c r="S615" s="41"/>
      <c r="T615" s="41"/>
      <c r="U615" s="41"/>
      <c r="V615" s="41"/>
      <c r="W615" s="41"/>
      <c r="X615" s="41"/>
      <c r="Y615" s="41"/>
      <c r="Z615" s="41"/>
      <c r="AA615" s="41"/>
    </row>
    <row r="616" spans="1:27" ht="15.75" hidden="1" customHeight="1" x14ac:dyDescent="0.25">
      <c r="A616" s="51"/>
      <c r="B616" s="41"/>
      <c r="C616" s="41"/>
      <c r="D616" s="41"/>
      <c r="E616" s="41"/>
      <c r="F616" s="41"/>
      <c r="G616" s="41"/>
      <c r="H616" s="41"/>
      <c r="I616" s="41"/>
      <c r="J616" s="41"/>
      <c r="K616" s="41"/>
      <c r="L616" s="41"/>
      <c r="M616" s="41"/>
      <c r="N616" s="41"/>
      <c r="O616" s="41"/>
      <c r="P616" s="41"/>
      <c r="Q616" s="64"/>
      <c r="R616" s="41"/>
      <c r="S616" s="41"/>
      <c r="T616" s="41"/>
      <c r="U616" s="41"/>
      <c r="V616" s="41"/>
      <c r="W616" s="41"/>
      <c r="X616" s="41"/>
      <c r="Y616" s="41"/>
      <c r="Z616" s="41"/>
      <c r="AA616" s="41"/>
    </row>
    <row r="617" spans="1:27" ht="15.75" hidden="1" customHeight="1" x14ac:dyDescent="0.25">
      <c r="A617" s="51"/>
      <c r="B617" s="41"/>
      <c r="C617" s="41"/>
      <c r="D617" s="41"/>
      <c r="E617" s="41"/>
      <c r="F617" s="41"/>
      <c r="G617" s="41"/>
      <c r="H617" s="41"/>
      <c r="I617" s="41"/>
      <c r="J617" s="41"/>
      <c r="K617" s="41"/>
      <c r="L617" s="41"/>
      <c r="M617" s="41"/>
      <c r="N617" s="41"/>
      <c r="O617" s="41"/>
      <c r="P617" s="41"/>
      <c r="Q617" s="64"/>
      <c r="R617" s="41"/>
      <c r="S617" s="41"/>
      <c r="T617" s="41"/>
      <c r="U617" s="41"/>
      <c r="V617" s="41"/>
      <c r="W617" s="41"/>
      <c r="X617" s="41"/>
      <c r="Y617" s="41"/>
      <c r="Z617" s="41"/>
      <c r="AA617" s="41"/>
    </row>
    <row r="618" spans="1:27" ht="15.75" hidden="1" customHeight="1" x14ac:dyDescent="0.25">
      <c r="A618" s="51"/>
      <c r="B618" s="41"/>
      <c r="C618" s="41"/>
      <c r="D618" s="41"/>
      <c r="E618" s="41"/>
      <c r="F618" s="41"/>
      <c r="G618" s="41"/>
      <c r="H618" s="41"/>
      <c r="I618" s="41"/>
      <c r="J618" s="41"/>
      <c r="K618" s="41"/>
      <c r="L618" s="41"/>
      <c r="M618" s="41"/>
      <c r="N618" s="41"/>
      <c r="O618" s="41"/>
      <c r="P618" s="41"/>
      <c r="Q618" s="64"/>
      <c r="R618" s="41"/>
      <c r="S618" s="41"/>
      <c r="T618" s="41"/>
      <c r="U618" s="41"/>
      <c r="V618" s="41"/>
      <c r="W618" s="41"/>
      <c r="X618" s="41"/>
      <c r="Y618" s="41"/>
      <c r="Z618" s="41"/>
      <c r="AA618" s="41"/>
    </row>
    <row r="619" spans="1:27" ht="15.75" hidden="1" customHeight="1" x14ac:dyDescent="0.25">
      <c r="A619" s="51"/>
      <c r="B619" s="41"/>
      <c r="C619" s="41"/>
      <c r="D619" s="41"/>
      <c r="E619" s="41"/>
      <c r="F619" s="41"/>
      <c r="G619" s="41"/>
      <c r="H619" s="41"/>
      <c r="I619" s="41"/>
      <c r="J619" s="41"/>
      <c r="K619" s="41"/>
      <c r="L619" s="41"/>
      <c r="M619" s="41"/>
      <c r="N619" s="41"/>
      <c r="O619" s="41"/>
      <c r="P619" s="41"/>
      <c r="Q619" s="64"/>
      <c r="R619" s="41"/>
      <c r="S619" s="41"/>
      <c r="T619" s="41"/>
      <c r="U619" s="41"/>
      <c r="V619" s="41"/>
      <c r="W619" s="41"/>
      <c r="X619" s="41"/>
      <c r="Y619" s="41"/>
      <c r="Z619" s="41"/>
      <c r="AA619" s="41"/>
    </row>
    <row r="620" spans="1:27" ht="15.75" hidden="1" customHeight="1" x14ac:dyDescent="0.25">
      <c r="A620" s="51"/>
      <c r="B620" s="41"/>
      <c r="C620" s="41"/>
      <c r="D620" s="41"/>
      <c r="E620" s="41"/>
      <c r="F620" s="41"/>
      <c r="G620" s="41"/>
      <c r="H620" s="41"/>
      <c r="I620" s="41"/>
      <c r="J620" s="41"/>
      <c r="K620" s="41"/>
      <c r="L620" s="41"/>
      <c r="M620" s="41"/>
      <c r="N620" s="41"/>
      <c r="O620" s="41"/>
      <c r="P620" s="41"/>
      <c r="Q620" s="64"/>
      <c r="R620" s="41"/>
      <c r="S620" s="41"/>
      <c r="T620" s="41"/>
      <c r="U620" s="41"/>
      <c r="V620" s="41"/>
      <c r="W620" s="41"/>
      <c r="X620" s="41"/>
      <c r="Y620" s="41"/>
      <c r="Z620" s="41"/>
      <c r="AA620" s="41"/>
    </row>
    <row r="621" spans="1:27" ht="15.75" hidden="1" customHeight="1" x14ac:dyDescent="0.25">
      <c r="A621" s="51"/>
      <c r="B621" s="41"/>
      <c r="C621" s="41"/>
      <c r="D621" s="41"/>
      <c r="E621" s="41"/>
      <c r="F621" s="41"/>
      <c r="G621" s="41"/>
      <c r="H621" s="41"/>
      <c r="I621" s="41"/>
      <c r="J621" s="41"/>
      <c r="K621" s="41"/>
      <c r="L621" s="41"/>
      <c r="M621" s="41"/>
      <c r="N621" s="41"/>
      <c r="O621" s="41"/>
      <c r="P621" s="41"/>
      <c r="Q621" s="64"/>
      <c r="R621" s="41"/>
      <c r="S621" s="41"/>
      <c r="T621" s="41"/>
      <c r="U621" s="41"/>
      <c r="V621" s="41"/>
      <c r="W621" s="41"/>
      <c r="X621" s="41"/>
      <c r="Y621" s="41"/>
      <c r="Z621" s="41"/>
      <c r="AA621" s="41"/>
    </row>
    <row r="622" spans="1:27" ht="15.75" hidden="1" customHeight="1" x14ac:dyDescent="0.25">
      <c r="A622" s="51"/>
      <c r="B622" s="41"/>
      <c r="C622" s="41"/>
      <c r="D622" s="41"/>
      <c r="E622" s="41"/>
      <c r="F622" s="41"/>
      <c r="G622" s="41"/>
      <c r="H622" s="41"/>
      <c r="I622" s="41"/>
      <c r="J622" s="41"/>
      <c r="K622" s="41"/>
      <c r="L622" s="41"/>
      <c r="M622" s="41"/>
      <c r="N622" s="41"/>
      <c r="O622" s="41"/>
      <c r="P622" s="41"/>
      <c r="Q622" s="64"/>
      <c r="R622" s="41"/>
      <c r="S622" s="41"/>
      <c r="T622" s="41"/>
      <c r="U622" s="41"/>
      <c r="V622" s="41"/>
      <c r="W622" s="41"/>
      <c r="X622" s="41"/>
      <c r="Y622" s="41"/>
      <c r="Z622" s="41"/>
      <c r="AA622" s="41"/>
    </row>
    <row r="623" spans="1:27" ht="15.75" hidden="1" customHeight="1" x14ac:dyDescent="0.25">
      <c r="A623" s="51"/>
      <c r="B623" s="41"/>
      <c r="C623" s="41"/>
      <c r="D623" s="41"/>
      <c r="E623" s="41"/>
      <c r="F623" s="41"/>
      <c r="G623" s="41"/>
      <c r="H623" s="41"/>
      <c r="I623" s="41"/>
      <c r="J623" s="41"/>
      <c r="K623" s="41"/>
      <c r="L623" s="41"/>
      <c r="M623" s="41"/>
      <c r="N623" s="41"/>
      <c r="O623" s="41"/>
      <c r="P623" s="41"/>
      <c r="Q623" s="64"/>
      <c r="R623" s="41"/>
      <c r="S623" s="41"/>
      <c r="T623" s="41"/>
      <c r="U623" s="41"/>
      <c r="V623" s="41"/>
      <c r="W623" s="41"/>
      <c r="X623" s="41"/>
      <c r="Y623" s="41"/>
      <c r="Z623" s="41"/>
      <c r="AA623" s="41"/>
    </row>
    <row r="624" spans="1:27" ht="15.75" hidden="1" customHeight="1" x14ac:dyDescent="0.25">
      <c r="A624" s="51"/>
      <c r="B624" s="41"/>
      <c r="C624" s="41"/>
      <c r="D624" s="41"/>
      <c r="E624" s="41"/>
      <c r="F624" s="41"/>
      <c r="G624" s="41"/>
      <c r="H624" s="41"/>
      <c r="I624" s="41"/>
      <c r="J624" s="41"/>
      <c r="K624" s="41"/>
      <c r="L624" s="41"/>
      <c r="M624" s="41"/>
      <c r="N624" s="41"/>
      <c r="O624" s="41"/>
      <c r="P624" s="41"/>
      <c r="Q624" s="64"/>
      <c r="R624" s="41"/>
      <c r="S624" s="41"/>
      <c r="T624" s="41"/>
      <c r="U624" s="41"/>
      <c r="V624" s="41"/>
      <c r="W624" s="41"/>
      <c r="X624" s="41"/>
      <c r="Y624" s="41"/>
      <c r="Z624" s="41"/>
      <c r="AA624" s="41"/>
    </row>
    <row r="625" spans="1:27" ht="15.75" hidden="1" customHeight="1" x14ac:dyDescent="0.25">
      <c r="A625" s="51"/>
      <c r="B625" s="41"/>
      <c r="C625" s="41"/>
      <c r="D625" s="41"/>
      <c r="E625" s="41"/>
      <c r="F625" s="41"/>
      <c r="G625" s="41"/>
      <c r="H625" s="41"/>
      <c r="I625" s="41"/>
      <c r="J625" s="41"/>
      <c r="K625" s="41"/>
      <c r="L625" s="41"/>
      <c r="M625" s="41"/>
      <c r="N625" s="41"/>
      <c r="O625" s="41"/>
      <c r="P625" s="41"/>
      <c r="Q625" s="64"/>
      <c r="R625" s="41"/>
      <c r="S625" s="41"/>
      <c r="T625" s="41"/>
      <c r="U625" s="41"/>
      <c r="V625" s="41"/>
      <c r="W625" s="41"/>
      <c r="X625" s="41"/>
      <c r="Y625" s="41"/>
      <c r="Z625" s="41"/>
      <c r="AA625" s="41"/>
    </row>
    <row r="626" spans="1:27" ht="15.75" hidden="1" customHeight="1" x14ac:dyDescent="0.25">
      <c r="A626" s="51"/>
      <c r="B626" s="41"/>
      <c r="C626" s="41"/>
      <c r="D626" s="41"/>
      <c r="E626" s="41"/>
      <c r="F626" s="41"/>
      <c r="G626" s="41"/>
      <c r="H626" s="41"/>
      <c r="I626" s="41"/>
      <c r="J626" s="41"/>
      <c r="K626" s="41"/>
      <c r="L626" s="41"/>
      <c r="M626" s="41"/>
      <c r="N626" s="41"/>
      <c r="O626" s="41"/>
      <c r="P626" s="41"/>
      <c r="Q626" s="64"/>
      <c r="R626" s="41"/>
      <c r="S626" s="41"/>
      <c r="T626" s="41"/>
      <c r="U626" s="41"/>
      <c r="V626" s="41"/>
      <c r="W626" s="41"/>
      <c r="X626" s="41"/>
      <c r="Y626" s="41"/>
      <c r="Z626" s="41"/>
      <c r="AA626" s="41"/>
    </row>
    <row r="627" spans="1:27" ht="15.75" hidden="1" customHeight="1" x14ac:dyDescent="0.25">
      <c r="A627" s="51"/>
      <c r="B627" s="41"/>
      <c r="C627" s="41"/>
      <c r="D627" s="41"/>
      <c r="E627" s="41"/>
      <c r="F627" s="41"/>
      <c r="G627" s="41"/>
      <c r="H627" s="41"/>
      <c r="I627" s="41"/>
      <c r="J627" s="41"/>
      <c r="K627" s="41"/>
      <c r="L627" s="41"/>
      <c r="M627" s="41"/>
      <c r="N627" s="41"/>
      <c r="O627" s="41"/>
      <c r="P627" s="41"/>
      <c r="Q627" s="64"/>
      <c r="R627" s="41"/>
      <c r="S627" s="41"/>
      <c r="T627" s="41"/>
      <c r="U627" s="41"/>
      <c r="V627" s="41"/>
      <c r="W627" s="41"/>
      <c r="X627" s="41"/>
      <c r="Y627" s="41"/>
      <c r="Z627" s="41"/>
      <c r="AA627" s="41"/>
    </row>
    <row r="628" spans="1:27" ht="15.75" hidden="1" customHeight="1" x14ac:dyDescent="0.25">
      <c r="A628" s="51"/>
      <c r="B628" s="41"/>
      <c r="C628" s="41"/>
      <c r="D628" s="41"/>
      <c r="E628" s="41"/>
      <c r="F628" s="41"/>
      <c r="G628" s="41"/>
      <c r="H628" s="41"/>
      <c r="I628" s="41"/>
      <c r="J628" s="41"/>
      <c r="K628" s="41"/>
      <c r="L628" s="41"/>
      <c r="M628" s="41"/>
      <c r="N628" s="41"/>
      <c r="O628" s="41"/>
      <c r="P628" s="41"/>
      <c r="Q628" s="64"/>
      <c r="R628" s="41"/>
      <c r="S628" s="41"/>
      <c r="T628" s="41"/>
      <c r="U628" s="41"/>
      <c r="V628" s="41"/>
      <c r="W628" s="41"/>
      <c r="X628" s="41"/>
      <c r="Y628" s="41"/>
      <c r="Z628" s="41"/>
      <c r="AA628" s="41"/>
    </row>
    <row r="629" spans="1:27" ht="15.75" hidden="1" customHeight="1" x14ac:dyDescent="0.25">
      <c r="A629" s="51"/>
      <c r="B629" s="41"/>
      <c r="C629" s="41"/>
      <c r="D629" s="41"/>
      <c r="E629" s="41"/>
      <c r="F629" s="41"/>
      <c r="G629" s="41"/>
      <c r="H629" s="41"/>
      <c r="I629" s="41"/>
      <c r="J629" s="41"/>
      <c r="K629" s="41"/>
      <c r="L629" s="41"/>
      <c r="M629" s="41"/>
      <c r="N629" s="41"/>
      <c r="O629" s="41"/>
      <c r="P629" s="41"/>
      <c r="Q629" s="64"/>
      <c r="R629" s="41"/>
      <c r="S629" s="41"/>
      <c r="T629" s="41"/>
      <c r="U629" s="41"/>
      <c r="V629" s="41"/>
      <c r="W629" s="41"/>
      <c r="X629" s="41"/>
      <c r="Y629" s="41"/>
      <c r="Z629" s="41"/>
      <c r="AA629" s="41"/>
    </row>
    <row r="630" spans="1:27" ht="15.75" hidden="1" customHeight="1" x14ac:dyDescent="0.25">
      <c r="A630" s="51"/>
      <c r="B630" s="41"/>
      <c r="C630" s="41"/>
      <c r="D630" s="41"/>
      <c r="E630" s="41"/>
      <c r="F630" s="41"/>
      <c r="G630" s="41"/>
      <c r="H630" s="41"/>
      <c r="I630" s="41"/>
      <c r="J630" s="41"/>
      <c r="K630" s="41"/>
      <c r="L630" s="41"/>
      <c r="M630" s="41"/>
      <c r="N630" s="41"/>
      <c r="O630" s="41"/>
      <c r="P630" s="41"/>
      <c r="Q630" s="64"/>
      <c r="R630" s="41"/>
      <c r="S630" s="41"/>
      <c r="T630" s="41"/>
      <c r="U630" s="41"/>
      <c r="V630" s="41"/>
      <c r="W630" s="41"/>
      <c r="X630" s="41"/>
      <c r="Y630" s="41"/>
      <c r="Z630" s="41"/>
      <c r="AA630" s="41"/>
    </row>
    <row r="631" spans="1:27" ht="15.75" hidden="1" customHeight="1" x14ac:dyDescent="0.25">
      <c r="A631" s="51"/>
      <c r="B631" s="41"/>
      <c r="C631" s="41"/>
      <c r="D631" s="41"/>
      <c r="E631" s="41"/>
      <c r="F631" s="41"/>
      <c r="G631" s="41"/>
      <c r="H631" s="41"/>
      <c r="I631" s="41"/>
      <c r="J631" s="41"/>
      <c r="K631" s="41"/>
      <c r="L631" s="41"/>
      <c r="M631" s="41"/>
      <c r="N631" s="41"/>
      <c r="O631" s="41"/>
      <c r="P631" s="41"/>
      <c r="Q631" s="64"/>
      <c r="R631" s="41"/>
      <c r="S631" s="41"/>
      <c r="T631" s="41"/>
      <c r="U631" s="41"/>
      <c r="V631" s="41"/>
      <c r="W631" s="41"/>
      <c r="X631" s="41"/>
      <c r="Y631" s="41"/>
      <c r="Z631" s="41"/>
      <c r="AA631" s="41"/>
    </row>
    <row r="632" spans="1:27" ht="15.75" hidden="1" customHeight="1" x14ac:dyDescent="0.25">
      <c r="A632" s="51"/>
      <c r="B632" s="41"/>
      <c r="C632" s="41"/>
      <c r="D632" s="41"/>
      <c r="E632" s="41"/>
      <c r="F632" s="41"/>
      <c r="G632" s="41"/>
      <c r="H632" s="41"/>
      <c r="I632" s="41"/>
      <c r="J632" s="41"/>
      <c r="K632" s="41"/>
      <c r="L632" s="41"/>
      <c r="M632" s="41"/>
      <c r="N632" s="41"/>
      <c r="O632" s="41"/>
      <c r="P632" s="41"/>
      <c r="Q632" s="64"/>
      <c r="R632" s="41"/>
      <c r="S632" s="41"/>
      <c r="T632" s="41"/>
      <c r="U632" s="41"/>
      <c r="V632" s="41"/>
      <c r="W632" s="41"/>
      <c r="X632" s="41"/>
      <c r="Y632" s="41"/>
      <c r="Z632" s="41"/>
      <c r="AA632" s="41"/>
    </row>
    <row r="633" spans="1:27" ht="15.75" hidden="1" customHeight="1" x14ac:dyDescent="0.25">
      <c r="A633" s="51"/>
      <c r="B633" s="41"/>
      <c r="C633" s="41"/>
      <c r="D633" s="41"/>
      <c r="E633" s="41"/>
      <c r="F633" s="41"/>
      <c r="G633" s="41"/>
      <c r="H633" s="41"/>
      <c r="I633" s="41"/>
      <c r="J633" s="41"/>
      <c r="K633" s="41"/>
      <c r="L633" s="41"/>
      <c r="M633" s="41"/>
      <c r="N633" s="41"/>
      <c r="O633" s="41"/>
      <c r="P633" s="41"/>
      <c r="Q633" s="64"/>
      <c r="R633" s="41"/>
      <c r="S633" s="41"/>
      <c r="T633" s="41"/>
      <c r="U633" s="41"/>
      <c r="V633" s="41"/>
      <c r="W633" s="41"/>
      <c r="X633" s="41"/>
      <c r="Y633" s="41"/>
      <c r="Z633" s="41"/>
      <c r="AA633" s="41"/>
    </row>
    <row r="634" spans="1:27" ht="15.75" hidden="1" customHeight="1" x14ac:dyDescent="0.25">
      <c r="A634" s="51"/>
      <c r="B634" s="41"/>
      <c r="C634" s="41"/>
      <c r="D634" s="41"/>
      <c r="E634" s="41"/>
      <c r="F634" s="41"/>
      <c r="G634" s="41"/>
      <c r="H634" s="41"/>
      <c r="I634" s="41"/>
      <c r="J634" s="41"/>
      <c r="K634" s="41"/>
      <c r="L634" s="41"/>
      <c r="M634" s="41"/>
      <c r="N634" s="41"/>
      <c r="O634" s="41"/>
      <c r="P634" s="41"/>
      <c r="Q634" s="64"/>
      <c r="R634" s="41"/>
      <c r="S634" s="41"/>
      <c r="T634" s="41"/>
      <c r="U634" s="41"/>
      <c r="V634" s="41"/>
      <c r="W634" s="41"/>
      <c r="X634" s="41"/>
      <c r="Y634" s="41"/>
      <c r="Z634" s="41"/>
      <c r="AA634" s="41"/>
    </row>
    <row r="635" spans="1:27" ht="15.75" hidden="1" customHeight="1" x14ac:dyDescent="0.25">
      <c r="A635" s="51"/>
      <c r="B635" s="41"/>
      <c r="C635" s="41"/>
      <c r="D635" s="41"/>
      <c r="E635" s="41"/>
      <c r="F635" s="41"/>
      <c r="G635" s="41"/>
      <c r="H635" s="41"/>
      <c r="I635" s="41"/>
      <c r="J635" s="41"/>
      <c r="K635" s="41"/>
      <c r="L635" s="41"/>
      <c r="M635" s="41"/>
      <c r="N635" s="41"/>
      <c r="O635" s="41"/>
      <c r="P635" s="41"/>
      <c r="Q635" s="64"/>
      <c r="R635" s="41"/>
      <c r="S635" s="41"/>
      <c r="T635" s="41"/>
      <c r="U635" s="41"/>
      <c r="V635" s="41"/>
      <c r="W635" s="41"/>
      <c r="X635" s="41"/>
      <c r="Y635" s="41"/>
      <c r="Z635" s="41"/>
      <c r="AA635" s="41"/>
    </row>
    <row r="636" spans="1:27" ht="15.75" hidden="1" customHeight="1" x14ac:dyDescent="0.25">
      <c r="A636" s="51"/>
      <c r="B636" s="41"/>
      <c r="C636" s="41"/>
      <c r="D636" s="41"/>
      <c r="E636" s="41"/>
      <c r="F636" s="41"/>
      <c r="G636" s="41"/>
      <c r="H636" s="41"/>
      <c r="I636" s="41"/>
      <c r="J636" s="41"/>
      <c r="K636" s="41"/>
      <c r="L636" s="41"/>
      <c r="M636" s="41"/>
      <c r="N636" s="41"/>
      <c r="O636" s="41"/>
      <c r="P636" s="41"/>
      <c r="Q636" s="64"/>
      <c r="R636" s="41"/>
      <c r="S636" s="41"/>
      <c r="T636" s="41"/>
      <c r="U636" s="41"/>
      <c r="V636" s="41"/>
      <c r="W636" s="41"/>
      <c r="X636" s="41"/>
      <c r="Y636" s="41"/>
      <c r="Z636" s="41"/>
      <c r="AA636" s="41"/>
    </row>
    <row r="637" spans="1:27" ht="15.75" hidden="1" customHeight="1" x14ac:dyDescent="0.25">
      <c r="A637" s="51"/>
      <c r="B637" s="41"/>
      <c r="C637" s="41"/>
      <c r="D637" s="41"/>
      <c r="E637" s="41"/>
      <c r="F637" s="41"/>
      <c r="G637" s="41"/>
      <c r="H637" s="41"/>
      <c r="I637" s="41"/>
      <c r="J637" s="41"/>
      <c r="K637" s="41"/>
      <c r="L637" s="41"/>
      <c r="M637" s="41"/>
      <c r="N637" s="41"/>
      <c r="O637" s="41"/>
      <c r="P637" s="41"/>
      <c r="Q637" s="64"/>
      <c r="R637" s="41"/>
      <c r="S637" s="41"/>
      <c r="T637" s="41"/>
      <c r="U637" s="41"/>
      <c r="V637" s="41"/>
      <c r="W637" s="41"/>
      <c r="X637" s="41"/>
      <c r="Y637" s="41"/>
      <c r="Z637" s="41"/>
      <c r="AA637" s="41"/>
    </row>
    <row r="638" spans="1:27" ht="15.75" hidden="1" customHeight="1" x14ac:dyDescent="0.25">
      <c r="A638" s="51"/>
      <c r="B638" s="41"/>
      <c r="C638" s="41"/>
      <c r="D638" s="41"/>
      <c r="E638" s="41"/>
      <c r="F638" s="41"/>
      <c r="G638" s="41"/>
      <c r="H638" s="41"/>
      <c r="I638" s="41"/>
      <c r="J638" s="41"/>
      <c r="K638" s="41"/>
      <c r="L638" s="41"/>
      <c r="M638" s="41"/>
      <c r="N638" s="41"/>
      <c r="O638" s="41"/>
      <c r="P638" s="41"/>
      <c r="Q638" s="64"/>
      <c r="R638" s="41"/>
      <c r="S638" s="41"/>
      <c r="T638" s="41"/>
      <c r="U638" s="41"/>
      <c r="V638" s="41"/>
      <c r="W638" s="41"/>
      <c r="X638" s="41"/>
      <c r="Y638" s="41"/>
      <c r="Z638" s="41"/>
      <c r="AA638" s="41"/>
    </row>
    <row r="639" spans="1:27" ht="15.75" hidden="1" customHeight="1" x14ac:dyDescent="0.25">
      <c r="A639" s="51"/>
      <c r="B639" s="41"/>
      <c r="C639" s="41"/>
      <c r="D639" s="41"/>
      <c r="E639" s="41"/>
      <c r="F639" s="41"/>
      <c r="G639" s="41"/>
      <c r="H639" s="41"/>
      <c r="I639" s="41"/>
      <c r="J639" s="41"/>
      <c r="K639" s="41"/>
      <c r="L639" s="41"/>
      <c r="M639" s="41"/>
      <c r="N639" s="41"/>
      <c r="O639" s="41"/>
      <c r="P639" s="41"/>
      <c r="Q639" s="64"/>
      <c r="R639" s="41"/>
      <c r="S639" s="41"/>
      <c r="T639" s="41"/>
      <c r="U639" s="41"/>
      <c r="V639" s="41"/>
      <c r="W639" s="41"/>
      <c r="X639" s="41"/>
      <c r="Y639" s="41"/>
      <c r="Z639" s="41"/>
      <c r="AA639" s="41"/>
    </row>
    <row r="640" spans="1:27" ht="15.75" hidden="1" customHeight="1" x14ac:dyDescent="0.25">
      <c r="A640" s="51"/>
      <c r="B640" s="41"/>
      <c r="C640" s="41"/>
      <c r="D640" s="41"/>
      <c r="E640" s="41"/>
      <c r="F640" s="41"/>
      <c r="G640" s="41"/>
      <c r="H640" s="41"/>
      <c r="I640" s="41"/>
      <c r="J640" s="41"/>
      <c r="K640" s="41"/>
      <c r="L640" s="41"/>
      <c r="M640" s="41"/>
      <c r="N640" s="41"/>
      <c r="O640" s="41"/>
      <c r="P640" s="41"/>
      <c r="Q640" s="64"/>
      <c r="R640" s="41"/>
      <c r="S640" s="41"/>
      <c r="T640" s="41"/>
      <c r="U640" s="41"/>
      <c r="V640" s="41"/>
      <c r="W640" s="41"/>
      <c r="X640" s="41"/>
      <c r="Y640" s="41"/>
      <c r="Z640" s="41"/>
      <c r="AA640" s="41"/>
    </row>
    <row r="641" spans="1:27" ht="15.75" hidden="1" customHeight="1" x14ac:dyDescent="0.25">
      <c r="A641" s="51"/>
      <c r="B641" s="41"/>
      <c r="C641" s="41"/>
      <c r="D641" s="41"/>
      <c r="E641" s="41"/>
      <c r="F641" s="41"/>
      <c r="G641" s="41"/>
      <c r="H641" s="41"/>
      <c r="I641" s="41"/>
      <c r="J641" s="41"/>
      <c r="K641" s="41"/>
      <c r="L641" s="41"/>
      <c r="M641" s="41"/>
      <c r="N641" s="41"/>
      <c r="O641" s="41"/>
      <c r="P641" s="41"/>
      <c r="Q641" s="64"/>
      <c r="R641" s="41"/>
      <c r="S641" s="41"/>
      <c r="T641" s="41"/>
      <c r="U641" s="41"/>
      <c r="V641" s="41"/>
      <c r="W641" s="41"/>
      <c r="X641" s="41"/>
      <c r="Y641" s="41"/>
      <c r="Z641" s="41"/>
      <c r="AA641" s="41"/>
    </row>
    <row r="642" spans="1:27" ht="15.75" hidden="1" customHeight="1" x14ac:dyDescent="0.25">
      <c r="A642" s="51"/>
      <c r="B642" s="41"/>
      <c r="C642" s="41"/>
      <c r="D642" s="41"/>
      <c r="E642" s="41"/>
      <c r="F642" s="41"/>
      <c r="G642" s="41"/>
      <c r="H642" s="41"/>
      <c r="I642" s="41"/>
      <c r="J642" s="41"/>
      <c r="K642" s="41"/>
      <c r="L642" s="41"/>
      <c r="M642" s="41"/>
      <c r="N642" s="41"/>
      <c r="O642" s="41"/>
      <c r="P642" s="41"/>
      <c r="Q642" s="64"/>
      <c r="R642" s="41"/>
      <c r="S642" s="41"/>
      <c r="T642" s="41"/>
      <c r="U642" s="41"/>
      <c r="V642" s="41"/>
      <c r="W642" s="41"/>
      <c r="X642" s="41"/>
      <c r="Y642" s="41"/>
      <c r="Z642" s="41"/>
      <c r="AA642" s="41"/>
    </row>
    <row r="643" spans="1:27" ht="15.75" hidden="1" customHeight="1" x14ac:dyDescent="0.25">
      <c r="A643" s="51"/>
      <c r="B643" s="41"/>
      <c r="C643" s="41"/>
      <c r="D643" s="41"/>
      <c r="E643" s="41"/>
      <c r="F643" s="41"/>
      <c r="G643" s="41"/>
      <c r="H643" s="41"/>
      <c r="I643" s="41"/>
      <c r="J643" s="41"/>
      <c r="K643" s="41"/>
      <c r="L643" s="41"/>
      <c r="M643" s="41"/>
      <c r="N643" s="41"/>
      <c r="O643" s="41"/>
      <c r="P643" s="41"/>
      <c r="Q643" s="64"/>
      <c r="R643" s="41"/>
      <c r="S643" s="41"/>
      <c r="T643" s="41"/>
      <c r="U643" s="41"/>
      <c r="V643" s="41"/>
      <c r="W643" s="41"/>
      <c r="X643" s="41"/>
      <c r="Y643" s="41"/>
      <c r="Z643" s="41"/>
      <c r="AA643" s="41"/>
    </row>
    <row r="644" spans="1:27" ht="15.75" hidden="1" customHeight="1" x14ac:dyDescent="0.25">
      <c r="A644" s="51"/>
      <c r="B644" s="41"/>
      <c r="C644" s="41"/>
      <c r="D644" s="41"/>
      <c r="E644" s="41"/>
      <c r="F644" s="41"/>
      <c r="G644" s="41"/>
      <c r="H644" s="41"/>
      <c r="I644" s="41"/>
      <c r="J644" s="41"/>
      <c r="K644" s="41"/>
      <c r="L644" s="41"/>
      <c r="M644" s="41"/>
      <c r="N644" s="41"/>
      <c r="O644" s="41"/>
      <c r="P644" s="41"/>
      <c r="Q644" s="64"/>
      <c r="R644" s="41"/>
      <c r="S644" s="41"/>
      <c r="T644" s="41"/>
      <c r="U644" s="41"/>
      <c r="V644" s="41"/>
      <c r="W644" s="41"/>
      <c r="X644" s="41"/>
      <c r="Y644" s="41"/>
      <c r="Z644" s="41"/>
      <c r="AA644" s="41"/>
    </row>
    <row r="645" spans="1:27" ht="15.75" hidden="1" customHeight="1" x14ac:dyDescent="0.25">
      <c r="A645" s="51"/>
      <c r="B645" s="41"/>
      <c r="C645" s="41"/>
      <c r="D645" s="41"/>
      <c r="E645" s="41"/>
      <c r="F645" s="41"/>
      <c r="G645" s="41"/>
      <c r="H645" s="41"/>
      <c r="I645" s="41"/>
      <c r="J645" s="41"/>
      <c r="K645" s="41"/>
      <c r="L645" s="41"/>
      <c r="M645" s="41"/>
      <c r="N645" s="41"/>
      <c r="O645" s="41"/>
      <c r="P645" s="41"/>
      <c r="Q645" s="64"/>
      <c r="R645" s="41"/>
      <c r="S645" s="41"/>
      <c r="T645" s="41"/>
      <c r="U645" s="41"/>
      <c r="V645" s="41"/>
      <c r="W645" s="41"/>
      <c r="X645" s="41"/>
      <c r="Y645" s="41"/>
      <c r="Z645" s="41"/>
      <c r="AA645" s="41"/>
    </row>
    <row r="646" spans="1:27" ht="15.75" hidden="1" customHeight="1" x14ac:dyDescent="0.25">
      <c r="A646" s="51"/>
      <c r="B646" s="41"/>
      <c r="C646" s="41"/>
      <c r="D646" s="41"/>
      <c r="E646" s="41"/>
      <c r="F646" s="41"/>
      <c r="G646" s="41"/>
      <c r="H646" s="41"/>
      <c r="I646" s="41"/>
      <c r="J646" s="41"/>
      <c r="K646" s="41"/>
      <c r="L646" s="41"/>
      <c r="M646" s="41"/>
      <c r="N646" s="41"/>
      <c r="O646" s="41"/>
      <c r="P646" s="41"/>
      <c r="Q646" s="64"/>
      <c r="R646" s="41"/>
      <c r="S646" s="41"/>
      <c r="T646" s="41"/>
      <c r="U646" s="41"/>
      <c r="V646" s="41"/>
      <c r="W646" s="41"/>
      <c r="X646" s="41"/>
      <c r="Y646" s="41"/>
      <c r="Z646" s="41"/>
      <c r="AA646" s="41"/>
    </row>
    <row r="647" spans="1:27" ht="15.75" hidden="1" customHeight="1" x14ac:dyDescent="0.25">
      <c r="A647" s="51"/>
      <c r="B647" s="41"/>
      <c r="C647" s="41"/>
      <c r="D647" s="41"/>
      <c r="E647" s="41"/>
      <c r="F647" s="41"/>
      <c r="G647" s="41"/>
      <c r="H647" s="41"/>
      <c r="I647" s="41"/>
      <c r="J647" s="41"/>
      <c r="K647" s="41"/>
      <c r="L647" s="41"/>
      <c r="M647" s="41"/>
      <c r="N647" s="41"/>
      <c r="O647" s="41"/>
      <c r="P647" s="41"/>
      <c r="Q647" s="64"/>
      <c r="R647" s="41"/>
      <c r="S647" s="41"/>
      <c r="T647" s="41"/>
      <c r="U647" s="41"/>
      <c r="V647" s="41"/>
      <c r="W647" s="41"/>
      <c r="X647" s="41"/>
      <c r="Y647" s="41"/>
      <c r="Z647" s="41"/>
      <c r="AA647" s="41"/>
    </row>
    <row r="648" spans="1:27" ht="15.75" hidden="1" customHeight="1" x14ac:dyDescent="0.25">
      <c r="A648" s="51"/>
      <c r="B648" s="41"/>
      <c r="C648" s="41"/>
      <c r="D648" s="41"/>
      <c r="E648" s="41"/>
      <c r="F648" s="41"/>
      <c r="G648" s="41"/>
      <c r="H648" s="41"/>
      <c r="I648" s="41"/>
      <c r="J648" s="41"/>
      <c r="K648" s="41"/>
      <c r="L648" s="41"/>
      <c r="M648" s="41"/>
      <c r="N648" s="41"/>
      <c r="O648" s="41"/>
      <c r="P648" s="41"/>
      <c r="Q648" s="64"/>
      <c r="R648" s="41"/>
      <c r="S648" s="41"/>
      <c r="T648" s="41"/>
      <c r="U648" s="41"/>
      <c r="V648" s="41"/>
      <c r="W648" s="41"/>
      <c r="X648" s="41"/>
      <c r="Y648" s="41"/>
      <c r="Z648" s="41"/>
      <c r="AA648" s="41"/>
    </row>
    <row r="649" spans="1:27" ht="15.75" hidden="1" customHeight="1" x14ac:dyDescent="0.25">
      <c r="A649" s="51"/>
      <c r="B649" s="41"/>
      <c r="C649" s="41"/>
      <c r="D649" s="41"/>
      <c r="E649" s="41"/>
      <c r="F649" s="41"/>
      <c r="G649" s="41"/>
      <c r="H649" s="41"/>
      <c r="I649" s="41"/>
      <c r="J649" s="41"/>
      <c r="K649" s="41"/>
      <c r="L649" s="41"/>
      <c r="M649" s="41"/>
      <c r="N649" s="41"/>
      <c r="O649" s="41"/>
      <c r="P649" s="41"/>
      <c r="Q649" s="64"/>
      <c r="R649" s="41"/>
      <c r="S649" s="41"/>
      <c r="T649" s="41"/>
      <c r="U649" s="41"/>
      <c r="V649" s="41"/>
      <c r="W649" s="41"/>
      <c r="X649" s="41"/>
      <c r="Y649" s="41"/>
      <c r="Z649" s="41"/>
      <c r="AA649" s="41"/>
    </row>
    <row r="650" spans="1:27" ht="15.75" hidden="1" customHeight="1" x14ac:dyDescent="0.25">
      <c r="A650" s="51"/>
      <c r="B650" s="41"/>
      <c r="C650" s="41"/>
      <c r="D650" s="41"/>
      <c r="E650" s="41"/>
      <c r="F650" s="41"/>
      <c r="G650" s="41"/>
      <c r="H650" s="41"/>
      <c r="I650" s="41"/>
      <c r="J650" s="41"/>
      <c r="K650" s="41"/>
      <c r="L650" s="41"/>
      <c r="M650" s="41"/>
      <c r="N650" s="41"/>
      <c r="O650" s="41"/>
      <c r="P650" s="41"/>
      <c r="Q650" s="64"/>
      <c r="R650" s="41"/>
      <c r="S650" s="41"/>
      <c r="T650" s="41"/>
      <c r="U650" s="41"/>
      <c r="V650" s="41"/>
      <c r="W650" s="41"/>
      <c r="X650" s="41"/>
      <c r="Y650" s="41"/>
      <c r="Z650" s="41"/>
      <c r="AA650" s="41"/>
    </row>
    <row r="651" spans="1:27" ht="15.75" hidden="1" customHeight="1" x14ac:dyDescent="0.25">
      <c r="A651" s="51"/>
      <c r="B651" s="41"/>
      <c r="C651" s="41"/>
      <c r="D651" s="41"/>
      <c r="E651" s="41"/>
      <c r="F651" s="41"/>
      <c r="G651" s="41"/>
      <c r="H651" s="41"/>
      <c r="I651" s="41"/>
      <c r="J651" s="41"/>
      <c r="K651" s="41"/>
      <c r="L651" s="41"/>
      <c r="M651" s="41"/>
      <c r="N651" s="41"/>
      <c r="O651" s="41"/>
      <c r="P651" s="41"/>
      <c r="Q651" s="64"/>
      <c r="R651" s="41"/>
      <c r="S651" s="41"/>
      <c r="T651" s="41"/>
      <c r="U651" s="41"/>
      <c r="V651" s="41"/>
      <c r="W651" s="41"/>
      <c r="X651" s="41"/>
      <c r="Y651" s="41"/>
      <c r="Z651" s="41"/>
      <c r="AA651" s="41"/>
    </row>
    <row r="652" spans="1:27" ht="15.75" hidden="1" customHeight="1" x14ac:dyDescent="0.25">
      <c r="A652" s="51"/>
      <c r="B652" s="41"/>
      <c r="C652" s="41"/>
      <c r="D652" s="41"/>
      <c r="E652" s="41"/>
      <c r="F652" s="41"/>
      <c r="G652" s="41"/>
      <c r="H652" s="41"/>
      <c r="I652" s="41"/>
      <c r="J652" s="41"/>
      <c r="K652" s="41"/>
      <c r="L652" s="41"/>
      <c r="M652" s="41"/>
      <c r="N652" s="41"/>
      <c r="O652" s="41"/>
      <c r="P652" s="41"/>
      <c r="Q652" s="64"/>
      <c r="R652" s="41"/>
      <c r="S652" s="41"/>
      <c r="T652" s="41"/>
      <c r="U652" s="41"/>
      <c r="V652" s="41"/>
      <c r="W652" s="41"/>
      <c r="X652" s="41"/>
      <c r="Y652" s="41"/>
      <c r="Z652" s="41"/>
      <c r="AA652" s="41"/>
    </row>
    <row r="653" spans="1:27" ht="15.75" hidden="1" customHeight="1" x14ac:dyDescent="0.25">
      <c r="A653" s="51"/>
      <c r="B653" s="41"/>
      <c r="C653" s="41"/>
      <c r="D653" s="41"/>
      <c r="E653" s="41"/>
      <c r="F653" s="41"/>
      <c r="G653" s="41"/>
      <c r="H653" s="41"/>
      <c r="I653" s="41"/>
      <c r="J653" s="41"/>
      <c r="K653" s="41"/>
      <c r="L653" s="41"/>
      <c r="M653" s="41"/>
      <c r="N653" s="41"/>
      <c r="O653" s="41"/>
      <c r="P653" s="41"/>
      <c r="Q653" s="64"/>
      <c r="R653" s="41"/>
      <c r="S653" s="41"/>
      <c r="T653" s="41"/>
      <c r="U653" s="41"/>
      <c r="V653" s="41"/>
      <c r="W653" s="41"/>
      <c r="X653" s="41"/>
      <c r="Y653" s="41"/>
      <c r="Z653" s="41"/>
      <c r="AA653" s="41"/>
    </row>
    <row r="654" spans="1:27" ht="15.75" hidden="1" customHeight="1" x14ac:dyDescent="0.25">
      <c r="A654" s="51"/>
      <c r="B654" s="41"/>
      <c r="C654" s="41"/>
      <c r="D654" s="41"/>
      <c r="E654" s="41"/>
      <c r="F654" s="41"/>
      <c r="G654" s="41"/>
      <c r="H654" s="41"/>
      <c r="I654" s="41"/>
      <c r="J654" s="41"/>
      <c r="K654" s="41"/>
      <c r="L654" s="41"/>
      <c r="M654" s="41"/>
      <c r="N654" s="41"/>
      <c r="O654" s="41"/>
      <c r="P654" s="41"/>
      <c r="Q654" s="64"/>
      <c r="R654" s="41"/>
      <c r="S654" s="41"/>
      <c r="T654" s="41"/>
      <c r="U654" s="41"/>
      <c r="V654" s="41"/>
      <c r="W654" s="41"/>
      <c r="X654" s="41"/>
      <c r="Y654" s="41"/>
      <c r="Z654" s="41"/>
      <c r="AA654" s="41"/>
    </row>
    <row r="655" spans="1:27" ht="15.75" hidden="1" customHeight="1" x14ac:dyDescent="0.25">
      <c r="A655" s="51"/>
      <c r="B655" s="41"/>
      <c r="C655" s="41"/>
      <c r="D655" s="41"/>
      <c r="E655" s="41"/>
      <c r="F655" s="41"/>
      <c r="G655" s="41"/>
      <c r="H655" s="41"/>
      <c r="I655" s="41"/>
      <c r="J655" s="41"/>
      <c r="K655" s="41"/>
      <c r="L655" s="41"/>
      <c r="M655" s="41"/>
      <c r="N655" s="41"/>
      <c r="O655" s="41"/>
      <c r="P655" s="41"/>
      <c r="Q655" s="64"/>
      <c r="R655" s="41"/>
      <c r="S655" s="41"/>
      <c r="T655" s="41"/>
      <c r="U655" s="41"/>
      <c r="V655" s="41"/>
      <c r="W655" s="41"/>
      <c r="X655" s="41"/>
      <c r="Y655" s="41"/>
      <c r="Z655" s="41"/>
      <c r="AA655" s="41"/>
    </row>
    <row r="656" spans="1:27" ht="15.75" hidden="1" customHeight="1" x14ac:dyDescent="0.25">
      <c r="A656" s="51"/>
      <c r="B656" s="41"/>
      <c r="C656" s="41"/>
      <c r="D656" s="41"/>
      <c r="E656" s="41"/>
      <c r="F656" s="41"/>
      <c r="G656" s="41"/>
      <c r="H656" s="41"/>
      <c r="I656" s="41"/>
      <c r="J656" s="41"/>
      <c r="K656" s="41"/>
      <c r="L656" s="41"/>
      <c r="M656" s="41"/>
      <c r="N656" s="41"/>
      <c r="O656" s="41"/>
      <c r="P656" s="41"/>
      <c r="Q656" s="64"/>
      <c r="R656" s="41"/>
      <c r="S656" s="41"/>
      <c r="T656" s="41"/>
      <c r="U656" s="41"/>
      <c r="V656" s="41"/>
      <c r="W656" s="41"/>
      <c r="X656" s="41"/>
      <c r="Y656" s="41"/>
      <c r="Z656" s="41"/>
      <c r="AA656" s="41"/>
    </row>
    <row r="657" spans="1:27" ht="15.75" hidden="1" customHeight="1" x14ac:dyDescent="0.25">
      <c r="A657" s="51"/>
      <c r="B657" s="41"/>
      <c r="C657" s="41"/>
      <c r="D657" s="41"/>
      <c r="E657" s="41"/>
      <c r="F657" s="41"/>
      <c r="G657" s="41"/>
      <c r="H657" s="41"/>
      <c r="I657" s="41"/>
      <c r="J657" s="41"/>
      <c r="K657" s="41"/>
      <c r="L657" s="41"/>
      <c r="M657" s="41"/>
      <c r="N657" s="41"/>
      <c r="O657" s="41"/>
      <c r="P657" s="41"/>
      <c r="Q657" s="64"/>
      <c r="R657" s="41"/>
      <c r="S657" s="41"/>
      <c r="T657" s="41"/>
      <c r="U657" s="41"/>
      <c r="V657" s="41"/>
      <c r="W657" s="41"/>
      <c r="X657" s="41"/>
      <c r="Y657" s="41"/>
      <c r="Z657" s="41"/>
      <c r="AA657" s="41"/>
    </row>
    <row r="658" spans="1:27" ht="15.75" hidden="1" customHeight="1" x14ac:dyDescent="0.25">
      <c r="A658" s="51"/>
      <c r="B658" s="41"/>
      <c r="C658" s="41"/>
      <c r="D658" s="41"/>
      <c r="E658" s="41"/>
      <c r="F658" s="41"/>
      <c r="G658" s="41"/>
      <c r="H658" s="41"/>
      <c r="I658" s="41"/>
      <c r="J658" s="41"/>
      <c r="K658" s="41"/>
      <c r="L658" s="41"/>
      <c r="M658" s="41"/>
      <c r="N658" s="41"/>
      <c r="O658" s="41"/>
      <c r="P658" s="41"/>
      <c r="Q658" s="64"/>
      <c r="R658" s="41"/>
      <c r="S658" s="41"/>
      <c r="T658" s="41"/>
      <c r="U658" s="41"/>
      <c r="V658" s="41"/>
      <c r="W658" s="41"/>
      <c r="X658" s="41"/>
      <c r="Y658" s="41"/>
      <c r="Z658" s="41"/>
      <c r="AA658" s="41"/>
    </row>
    <row r="659" spans="1:27" ht="15.75" hidden="1" customHeight="1" x14ac:dyDescent="0.25">
      <c r="A659" s="51"/>
      <c r="B659" s="41"/>
      <c r="C659" s="41"/>
      <c r="D659" s="41"/>
      <c r="E659" s="41"/>
      <c r="F659" s="41"/>
      <c r="G659" s="41"/>
      <c r="H659" s="41"/>
      <c r="I659" s="41"/>
      <c r="J659" s="41"/>
      <c r="K659" s="41"/>
      <c r="L659" s="41"/>
      <c r="M659" s="41"/>
      <c r="N659" s="41"/>
      <c r="O659" s="41"/>
      <c r="P659" s="41"/>
      <c r="Q659" s="64"/>
      <c r="R659" s="41"/>
      <c r="S659" s="41"/>
      <c r="T659" s="41"/>
      <c r="U659" s="41"/>
      <c r="V659" s="41"/>
      <c r="W659" s="41"/>
      <c r="X659" s="41"/>
      <c r="Y659" s="41"/>
      <c r="Z659" s="41"/>
      <c r="AA659" s="41"/>
    </row>
    <row r="660" spans="1:27" ht="15.75" hidden="1" customHeight="1" x14ac:dyDescent="0.25">
      <c r="A660" s="51"/>
      <c r="B660" s="41"/>
      <c r="C660" s="41"/>
      <c r="D660" s="41"/>
      <c r="E660" s="41"/>
      <c r="F660" s="41"/>
      <c r="G660" s="41"/>
      <c r="H660" s="41"/>
      <c r="I660" s="41"/>
      <c r="J660" s="41"/>
      <c r="K660" s="41"/>
      <c r="L660" s="41"/>
      <c r="M660" s="41"/>
      <c r="N660" s="41"/>
      <c r="O660" s="41"/>
      <c r="P660" s="41"/>
      <c r="Q660" s="64"/>
      <c r="R660" s="41"/>
      <c r="S660" s="41"/>
      <c r="T660" s="41"/>
      <c r="U660" s="41"/>
      <c r="V660" s="41"/>
      <c r="W660" s="41"/>
      <c r="X660" s="41"/>
      <c r="Y660" s="41"/>
      <c r="Z660" s="41"/>
      <c r="AA660" s="41"/>
    </row>
    <row r="661" spans="1:27" ht="15.75" hidden="1" customHeight="1" x14ac:dyDescent="0.25">
      <c r="A661" s="51"/>
      <c r="B661" s="41"/>
      <c r="C661" s="41"/>
      <c r="D661" s="41"/>
      <c r="E661" s="41"/>
      <c r="F661" s="41"/>
      <c r="G661" s="41"/>
      <c r="H661" s="41"/>
      <c r="I661" s="41"/>
      <c r="J661" s="41"/>
      <c r="K661" s="41"/>
      <c r="L661" s="41"/>
      <c r="M661" s="41"/>
      <c r="N661" s="41"/>
      <c r="O661" s="41"/>
      <c r="P661" s="41"/>
      <c r="Q661" s="64"/>
      <c r="R661" s="41"/>
      <c r="S661" s="41"/>
      <c r="T661" s="41"/>
      <c r="U661" s="41"/>
      <c r="V661" s="41"/>
      <c r="W661" s="41"/>
      <c r="X661" s="41"/>
      <c r="Y661" s="41"/>
      <c r="Z661" s="41"/>
      <c r="AA661" s="41"/>
    </row>
    <row r="662" spans="1:27" ht="15.75" hidden="1" customHeight="1" x14ac:dyDescent="0.25">
      <c r="A662" s="51"/>
      <c r="B662" s="41"/>
      <c r="C662" s="41"/>
      <c r="D662" s="41"/>
      <c r="E662" s="41"/>
      <c r="F662" s="41"/>
      <c r="G662" s="41"/>
      <c r="H662" s="41"/>
      <c r="I662" s="41"/>
      <c r="J662" s="41"/>
      <c r="K662" s="41"/>
      <c r="L662" s="41"/>
      <c r="M662" s="41"/>
      <c r="N662" s="41"/>
      <c r="O662" s="41"/>
      <c r="P662" s="41"/>
      <c r="Q662" s="64"/>
      <c r="R662" s="41"/>
      <c r="S662" s="41"/>
      <c r="T662" s="41"/>
      <c r="U662" s="41"/>
      <c r="V662" s="41"/>
      <c r="W662" s="41"/>
      <c r="X662" s="41"/>
      <c r="Y662" s="41"/>
      <c r="Z662" s="41"/>
      <c r="AA662" s="41"/>
    </row>
    <row r="663" spans="1:27" ht="15.75" hidden="1" customHeight="1" x14ac:dyDescent="0.25">
      <c r="A663" s="51"/>
      <c r="B663" s="41"/>
      <c r="C663" s="41"/>
      <c r="D663" s="41"/>
      <c r="E663" s="41"/>
      <c r="F663" s="41"/>
      <c r="G663" s="41"/>
      <c r="H663" s="41"/>
      <c r="I663" s="41"/>
      <c r="J663" s="41"/>
      <c r="K663" s="41"/>
      <c r="L663" s="41"/>
      <c r="M663" s="41"/>
      <c r="N663" s="41"/>
      <c r="O663" s="41"/>
      <c r="P663" s="41"/>
      <c r="Q663" s="64"/>
      <c r="R663" s="41"/>
      <c r="S663" s="41"/>
      <c r="T663" s="41"/>
      <c r="U663" s="41"/>
      <c r="V663" s="41"/>
      <c r="W663" s="41"/>
      <c r="X663" s="41"/>
      <c r="Y663" s="41"/>
      <c r="Z663" s="41"/>
      <c r="AA663" s="41"/>
    </row>
    <row r="664" spans="1:27" ht="15.75" hidden="1" customHeight="1" x14ac:dyDescent="0.25">
      <c r="A664" s="51"/>
      <c r="B664" s="41"/>
      <c r="C664" s="41"/>
      <c r="D664" s="41"/>
      <c r="E664" s="41"/>
      <c r="F664" s="41"/>
      <c r="G664" s="41"/>
      <c r="H664" s="41"/>
      <c r="I664" s="41"/>
      <c r="J664" s="41"/>
      <c r="K664" s="41"/>
      <c r="L664" s="41"/>
      <c r="M664" s="41"/>
      <c r="N664" s="41"/>
      <c r="O664" s="41"/>
      <c r="P664" s="41"/>
      <c r="Q664" s="64"/>
      <c r="R664" s="41"/>
      <c r="S664" s="41"/>
      <c r="T664" s="41"/>
      <c r="U664" s="41"/>
      <c r="V664" s="41"/>
      <c r="W664" s="41"/>
      <c r="X664" s="41"/>
      <c r="Y664" s="41"/>
      <c r="Z664" s="41"/>
      <c r="AA664" s="41"/>
    </row>
    <row r="665" spans="1:27" ht="15.75" hidden="1" customHeight="1" x14ac:dyDescent="0.25">
      <c r="A665" s="51"/>
      <c r="B665" s="41"/>
      <c r="C665" s="41"/>
      <c r="D665" s="41"/>
      <c r="E665" s="41"/>
      <c r="F665" s="41"/>
      <c r="G665" s="41"/>
      <c r="H665" s="41"/>
      <c r="I665" s="41"/>
      <c r="J665" s="41"/>
      <c r="K665" s="41"/>
      <c r="L665" s="41"/>
      <c r="M665" s="41"/>
      <c r="N665" s="41"/>
      <c r="O665" s="41"/>
      <c r="P665" s="41"/>
      <c r="Q665" s="64"/>
      <c r="R665" s="41"/>
      <c r="S665" s="41"/>
      <c r="T665" s="41"/>
      <c r="U665" s="41"/>
      <c r="V665" s="41"/>
      <c r="W665" s="41"/>
      <c r="X665" s="41"/>
      <c r="Y665" s="41"/>
      <c r="Z665" s="41"/>
      <c r="AA665" s="41"/>
    </row>
    <row r="666" spans="1:27" ht="15.75" hidden="1" customHeight="1" x14ac:dyDescent="0.25">
      <c r="A666" s="51"/>
      <c r="B666" s="41"/>
      <c r="C666" s="41"/>
      <c r="D666" s="41"/>
      <c r="E666" s="41"/>
      <c r="F666" s="41"/>
      <c r="G666" s="41"/>
      <c r="H666" s="41"/>
      <c r="I666" s="41"/>
      <c r="J666" s="41"/>
      <c r="K666" s="41"/>
      <c r="L666" s="41"/>
      <c r="M666" s="41"/>
      <c r="N666" s="41"/>
      <c r="O666" s="41"/>
      <c r="P666" s="41"/>
      <c r="Q666" s="64"/>
      <c r="R666" s="41"/>
      <c r="S666" s="41"/>
      <c r="T666" s="41"/>
      <c r="U666" s="41"/>
      <c r="V666" s="41"/>
      <c r="W666" s="41"/>
      <c r="X666" s="41"/>
      <c r="Y666" s="41"/>
      <c r="Z666" s="41"/>
      <c r="AA666" s="41"/>
    </row>
    <row r="667" spans="1:27" ht="15.75" hidden="1" customHeight="1" x14ac:dyDescent="0.25">
      <c r="A667" s="51"/>
      <c r="B667" s="41"/>
      <c r="C667" s="41"/>
      <c r="D667" s="41"/>
      <c r="E667" s="41"/>
      <c r="F667" s="41"/>
      <c r="G667" s="41"/>
      <c r="H667" s="41"/>
      <c r="I667" s="41"/>
      <c r="J667" s="41"/>
      <c r="K667" s="41"/>
      <c r="L667" s="41"/>
      <c r="M667" s="41"/>
      <c r="N667" s="41"/>
      <c r="O667" s="41"/>
      <c r="P667" s="41"/>
      <c r="Q667" s="64"/>
      <c r="R667" s="41"/>
      <c r="S667" s="41"/>
      <c r="T667" s="41"/>
      <c r="U667" s="41"/>
      <c r="V667" s="41"/>
      <c r="W667" s="41"/>
      <c r="X667" s="41"/>
      <c r="Y667" s="41"/>
      <c r="Z667" s="41"/>
      <c r="AA667" s="41"/>
    </row>
    <row r="668" spans="1:27" ht="15.75" hidden="1" customHeight="1" x14ac:dyDescent="0.25">
      <c r="A668" s="51"/>
      <c r="B668" s="41"/>
      <c r="C668" s="41"/>
      <c r="D668" s="41"/>
      <c r="E668" s="41"/>
      <c r="F668" s="41"/>
      <c r="G668" s="41"/>
      <c r="H668" s="41"/>
      <c r="I668" s="41"/>
      <c r="J668" s="41"/>
      <c r="K668" s="41"/>
      <c r="L668" s="41"/>
      <c r="M668" s="41"/>
      <c r="N668" s="41"/>
      <c r="O668" s="41"/>
      <c r="P668" s="41"/>
      <c r="Q668" s="64"/>
      <c r="R668" s="41"/>
      <c r="S668" s="41"/>
      <c r="T668" s="41"/>
      <c r="U668" s="41"/>
      <c r="V668" s="41"/>
      <c r="W668" s="41"/>
      <c r="X668" s="41"/>
      <c r="Y668" s="41"/>
      <c r="Z668" s="41"/>
      <c r="AA668" s="41"/>
    </row>
    <row r="669" spans="1:27" ht="15.75" hidden="1" customHeight="1" x14ac:dyDescent="0.25">
      <c r="A669" s="51"/>
      <c r="B669" s="41"/>
      <c r="C669" s="41"/>
      <c r="D669" s="41"/>
      <c r="E669" s="41"/>
      <c r="F669" s="41"/>
      <c r="G669" s="41"/>
      <c r="H669" s="41"/>
      <c r="I669" s="41"/>
      <c r="J669" s="41"/>
      <c r="K669" s="41"/>
      <c r="L669" s="41"/>
      <c r="M669" s="41"/>
      <c r="N669" s="41"/>
      <c r="O669" s="41"/>
      <c r="P669" s="41"/>
      <c r="Q669" s="64"/>
      <c r="R669" s="41"/>
      <c r="S669" s="41"/>
      <c r="T669" s="41"/>
      <c r="U669" s="41"/>
      <c r="V669" s="41"/>
      <c r="W669" s="41"/>
      <c r="X669" s="41"/>
      <c r="Y669" s="41"/>
      <c r="Z669" s="41"/>
      <c r="AA669" s="41"/>
    </row>
    <row r="670" spans="1:27" ht="15.75" hidden="1" customHeight="1" x14ac:dyDescent="0.25">
      <c r="A670" s="51"/>
      <c r="B670" s="41"/>
      <c r="C670" s="41"/>
      <c r="D670" s="41"/>
      <c r="E670" s="41"/>
      <c r="F670" s="41"/>
      <c r="G670" s="41"/>
      <c r="H670" s="41"/>
      <c r="I670" s="41"/>
      <c r="J670" s="41"/>
      <c r="K670" s="41"/>
      <c r="L670" s="41"/>
      <c r="M670" s="41"/>
      <c r="N670" s="41"/>
      <c r="O670" s="41"/>
      <c r="P670" s="41"/>
      <c r="Q670" s="64"/>
      <c r="R670" s="41"/>
      <c r="S670" s="41"/>
      <c r="T670" s="41"/>
      <c r="U670" s="41"/>
      <c r="V670" s="41"/>
      <c r="W670" s="41"/>
      <c r="X670" s="41"/>
      <c r="Y670" s="41"/>
      <c r="Z670" s="41"/>
      <c r="AA670" s="41"/>
    </row>
    <row r="671" spans="1:27" ht="15.75" hidden="1" customHeight="1" x14ac:dyDescent="0.25">
      <c r="A671" s="51"/>
      <c r="B671" s="41"/>
      <c r="C671" s="41"/>
      <c r="D671" s="41"/>
      <c r="E671" s="41"/>
      <c r="F671" s="41"/>
      <c r="G671" s="41"/>
      <c r="H671" s="41"/>
      <c r="I671" s="41"/>
      <c r="J671" s="41"/>
      <c r="K671" s="41"/>
      <c r="L671" s="41"/>
      <c r="M671" s="41"/>
      <c r="N671" s="41"/>
      <c r="O671" s="41"/>
      <c r="P671" s="41"/>
      <c r="Q671" s="64"/>
      <c r="R671" s="41"/>
      <c r="S671" s="41"/>
      <c r="T671" s="41"/>
      <c r="U671" s="41"/>
      <c r="V671" s="41"/>
      <c r="W671" s="41"/>
      <c r="X671" s="41"/>
      <c r="Y671" s="41"/>
      <c r="Z671" s="41"/>
      <c r="AA671" s="41"/>
    </row>
    <row r="672" spans="1:27" ht="15.75" hidden="1" customHeight="1" x14ac:dyDescent="0.25">
      <c r="A672" s="51"/>
      <c r="B672" s="41"/>
      <c r="C672" s="41"/>
      <c r="D672" s="41"/>
      <c r="E672" s="41"/>
      <c r="F672" s="41"/>
      <c r="G672" s="41"/>
      <c r="H672" s="41"/>
      <c r="I672" s="41"/>
      <c r="J672" s="41"/>
      <c r="K672" s="41"/>
      <c r="L672" s="41"/>
      <c r="M672" s="41"/>
      <c r="N672" s="41"/>
      <c r="O672" s="41"/>
      <c r="P672" s="41"/>
      <c r="Q672" s="64"/>
      <c r="R672" s="41"/>
      <c r="S672" s="41"/>
      <c r="T672" s="41"/>
      <c r="U672" s="41"/>
      <c r="V672" s="41"/>
      <c r="W672" s="41"/>
      <c r="X672" s="41"/>
      <c r="Y672" s="41"/>
      <c r="Z672" s="41"/>
      <c r="AA672" s="41"/>
    </row>
    <row r="673" spans="1:27" ht="15.75" hidden="1" customHeight="1" x14ac:dyDescent="0.25">
      <c r="A673" s="51"/>
      <c r="B673" s="41"/>
      <c r="C673" s="41"/>
      <c r="D673" s="41"/>
      <c r="E673" s="41"/>
      <c r="F673" s="41"/>
      <c r="G673" s="41"/>
      <c r="H673" s="41"/>
      <c r="I673" s="41"/>
      <c r="J673" s="41"/>
      <c r="K673" s="41"/>
      <c r="L673" s="41"/>
      <c r="M673" s="41"/>
      <c r="N673" s="41"/>
      <c r="O673" s="41"/>
      <c r="P673" s="41"/>
      <c r="Q673" s="64"/>
      <c r="R673" s="41"/>
      <c r="S673" s="41"/>
      <c r="T673" s="41"/>
      <c r="U673" s="41"/>
      <c r="V673" s="41"/>
      <c r="W673" s="41"/>
      <c r="X673" s="41"/>
      <c r="Y673" s="41"/>
      <c r="Z673" s="41"/>
      <c r="AA673" s="41"/>
    </row>
    <row r="674" spans="1:27" ht="15.75" hidden="1" customHeight="1" x14ac:dyDescent="0.25">
      <c r="A674" s="51"/>
      <c r="B674" s="41"/>
      <c r="C674" s="41"/>
      <c r="D674" s="41"/>
      <c r="E674" s="41"/>
      <c r="F674" s="41"/>
      <c r="G674" s="41"/>
      <c r="H674" s="41"/>
      <c r="I674" s="41"/>
      <c r="J674" s="41"/>
      <c r="K674" s="41"/>
      <c r="L674" s="41"/>
      <c r="M674" s="41"/>
      <c r="N674" s="41"/>
      <c r="O674" s="41"/>
      <c r="P674" s="41"/>
      <c r="Q674" s="64"/>
      <c r="R674" s="41"/>
      <c r="S674" s="41"/>
      <c r="T674" s="41"/>
      <c r="U674" s="41"/>
      <c r="V674" s="41"/>
      <c r="W674" s="41"/>
      <c r="X674" s="41"/>
      <c r="Y674" s="41"/>
      <c r="Z674" s="41"/>
      <c r="AA674" s="41"/>
    </row>
    <row r="675" spans="1:27" ht="15.75" hidden="1" customHeight="1" x14ac:dyDescent="0.25">
      <c r="A675" s="51"/>
      <c r="B675" s="41"/>
      <c r="C675" s="41"/>
      <c r="D675" s="41"/>
      <c r="E675" s="41"/>
      <c r="F675" s="41"/>
      <c r="G675" s="41"/>
      <c r="H675" s="41"/>
      <c r="I675" s="41"/>
      <c r="J675" s="41"/>
      <c r="K675" s="41"/>
      <c r="L675" s="41"/>
      <c r="M675" s="41"/>
      <c r="N675" s="41"/>
      <c r="O675" s="41"/>
      <c r="P675" s="41"/>
      <c r="Q675" s="64"/>
      <c r="R675" s="41"/>
      <c r="S675" s="41"/>
      <c r="T675" s="41"/>
      <c r="U675" s="41"/>
      <c r="V675" s="41"/>
      <c r="W675" s="41"/>
      <c r="X675" s="41"/>
      <c r="Y675" s="41"/>
      <c r="Z675" s="41"/>
      <c r="AA675" s="41"/>
    </row>
    <row r="676" spans="1:27" ht="15.75" hidden="1" customHeight="1" x14ac:dyDescent="0.25">
      <c r="A676" s="51"/>
      <c r="B676" s="41"/>
      <c r="C676" s="41"/>
      <c r="D676" s="41"/>
      <c r="E676" s="41"/>
      <c r="F676" s="41"/>
      <c r="G676" s="41"/>
      <c r="H676" s="41"/>
      <c r="I676" s="41"/>
      <c r="J676" s="41"/>
      <c r="K676" s="41"/>
      <c r="L676" s="41"/>
      <c r="M676" s="41"/>
      <c r="N676" s="41"/>
      <c r="O676" s="41"/>
      <c r="P676" s="41"/>
      <c r="Q676" s="64"/>
      <c r="R676" s="41"/>
      <c r="S676" s="41"/>
      <c r="T676" s="41"/>
      <c r="U676" s="41"/>
      <c r="V676" s="41"/>
      <c r="W676" s="41"/>
      <c r="X676" s="41"/>
      <c r="Y676" s="41"/>
      <c r="Z676" s="41"/>
      <c r="AA676" s="41"/>
    </row>
    <row r="677" spans="1:27" ht="15.75" hidden="1" customHeight="1" x14ac:dyDescent="0.25">
      <c r="A677" s="51"/>
      <c r="B677" s="41"/>
      <c r="C677" s="41"/>
      <c r="D677" s="41"/>
      <c r="E677" s="41"/>
      <c r="F677" s="41"/>
      <c r="G677" s="41"/>
      <c r="H677" s="41"/>
      <c r="I677" s="41"/>
      <c r="J677" s="41"/>
      <c r="K677" s="41"/>
      <c r="L677" s="41"/>
      <c r="M677" s="41"/>
      <c r="N677" s="41"/>
      <c r="O677" s="41"/>
      <c r="P677" s="41"/>
      <c r="Q677" s="64"/>
      <c r="R677" s="41"/>
      <c r="S677" s="41"/>
      <c r="T677" s="41"/>
      <c r="U677" s="41"/>
      <c r="V677" s="41"/>
      <c r="W677" s="41"/>
      <c r="X677" s="41"/>
      <c r="Y677" s="41"/>
      <c r="Z677" s="41"/>
      <c r="AA677" s="41"/>
    </row>
    <row r="678" spans="1:27" ht="15.75" hidden="1" customHeight="1" x14ac:dyDescent="0.25">
      <c r="A678" s="51"/>
      <c r="B678" s="41"/>
      <c r="C678" s="41"/>
      <c r="D678" s="41"/>
      <c r="E678" s="41"/>
      <c r="F678" s="41"/>
      <c r="G678" s="41"/>
      <c r="H678" s="41"/>
      <c r="I678" s="41"/>
      <c r="J678" s="41"/>
      <c r="K678" s="41"/>
      <c r="L678" s="41"/>
      <c r="M678" s="41"/>
      <c r="N678" s="41"/>
      <c r="O678" s="41"/>
      <c r="P678" s="41"/>
      <c r="Q678" s="64"/>
      <c r="R678" s="41"/>
      <c r="S678" s="41"/>
      <c r="T678" s="41"/>
      <c r="U678" s="41"/>
      <c r="V678" s="41"/>
      <c r="W678" s="41"/>
      <c r="X678" s="41"/>
      <c r="Y678" s="41"/>
      <c r="Z678" s="41"/>
      <c r="AA678" s="41"/>
    </row>
    <row r="679" spans="1:27" ht="15.75" hidden="1" customHeight="1" x14ac:dyDescent="0.25">
      <c r="A679" s="51"/>
      <c r="B679" s="41"/>
      <c r="C679" s="41"/>
      <c r="D679" s="41"/>
      <c r="E679" s="41"/>
      <c r="F679" s="41"/>
      <c r="G679" s="41"/>
      <c r="H679" s="41"/>
      <c r="I679" s="41"/>
      <c r="J679" s="41"/>
      <c r="K679" s="41"/>
      <c r="L679" s="41"/>
      <c r="M679" s="41"/>
      <c r="N679" s="41"/>
      <c r="O679" s="41"/>
      <c r="P679" s="41"/>
      <c r="Q679" s="64"/>
      <c r="R679" s="41"/>
      <c r="S679" s="41"/>
      <c r="T679" s="41"/>
      <c r="U679" s="41"/>
      <c r="V679" s="41"/>
      <c r="W679" s="41"/>
      <c r="X679" s="41"/>
      <c r="Y679" s="41"/>
      <c r="Z679" s="41"/>
      <c r="AA679" s="41"/>
    </row>
    <row r="680" spans="1:27" ht="15.75" hidden="1" customHeight="1" x14ac:dyDescent="0.25">
      <c r="A680" s="51"/>
      <c r="B680" s="41"/>
      <c r="C680" s="41"/>
      <c r="D680" s="41"/>
      <c r="E680" s="41"/>
      <c r="F680" s="41"/>
      <c r="G680" s="41"/>
      <c r="H680" s="41"/>
      <c r="I680" s="41"/>
      <c r="J680" s="41"/>
      <c r="K680" s="41"/>
      <c r="L680" s="41"/>
      <c r="M680" s="41"/>
      <c r="N680" s="41"/>
      <c r="O680" s="41"/>
      <c r="P680" s="41"/>
      <c r="Q680" s="64"/>
      <c r="R680" s="41"/>
      <c r="S680" s="41"/>
      <c r="T680" s="41"/>
      <c r="U680" s="41"/>
      <c r="V680" s="41"/>
      <c r="W680" s="41"/>
      <c r="X680" s="41"/>
      <c r="Y680" s="41"/>
      <c r="Z680" s="41"/>
      <c r="AA680" s="41"/>
    </row>
    <row r="681" spans="1:27" ht="15.75" hidden="1" customHeight="1" x14ac:dyDescent="0.25">
      <c r="A681" s="51"/>
      <c r="B681" s="41"/>
      <c r="C681" s="41"/>
      <c r="D681" s="41"/>
      <c r="E681" s="41"/>
      <c r="F681" s="41"/>
      <c r="G681" s="41"/>
      <c r="H681" s="41"/>
      <c r="I681" s="41"/>
      <c r="J681" s="41"/>
      <c r="K681" s="41"/>
      <c r="L681" s="41"/>
      <c r="M681" s="41"/>
      <c r="N681" s="41"/>
      <c r="O681" s="41"/>
      <c r="P681" s="41"/>
      <c r="Q681" s="64"/>
      <c r="R681" s="41"/>
      <c r="S681" s="41"/>
      <c r="T681" s="41"/>
      <c r="U681" s="41"/>
      <c r="V681" s="41"/>
      <c r="W681" s="41"/>
      <c r="X681" s="41"/>
      <c r="Y681" s="41"/>
      <c r="Z681" s="41"/>
      <c r="AA681" s="41"/>
    </row>
    <row r="682" spans="1:27" ht="15.75" hidden="1" customHeight="1" x14ac:dyDescent="0.25">
      <c r="A682" s="51"/>
      <c r="B682" s="41"/>
      <c r="C682" s="41"/>
      <c r="D682" s="41"/>
      <c r="E682" s="41"/>
      <c r="F682" s="41"/>
      <c r="G682" s="41"/>
      <c r="H682" s="41"/>
      <c r="I682" s="41"/>
      <c r="J682" s="41"/>
      <c r="K682" s="41"/>
      <c r="L682" s="41"/>
      <c r="M682" s="41"/>
      <c r="N682" s="41"/>
      <c r="O682" s="41"/>
      <c r="P682" s="41"/>
      <c r="Q682" s="64"/>
      <c r="R682" s="41"/>
      <c r="S682" s="41"/>
      <c r="T682" s="41"/>
      <c r="U682" s="41"/>
      <c r="V682" s="41"/>
      <c r="W682" s="41"/>
      <c r="X682" s="41"/>
      <c r="Y682" s="41"/>
      <c r="Z682" s="41"/>
      <c r="AA682" s="41"/>
    </row>
    <row r="683" spans="1:27" ht="15.75" hidden="1" customHeight="1" x14ac:dyDescent="0.25">
      <c r="A683" s="51"/>
      <c r="B683" s="41"/>
      <c r="C683" s="41"/>
      <c r="D683" s="41"/>
      <c r="E683" s="41"/>
      <c r="F683" s="41"/>
      <c r="G683" s="41"/>
      <c r="H683" s="41"/>
      <c r="I683" s="41"/>
      <c r="J683" s="41"/>
      <c r="K683" s="41"/>
      <c r="L683" s="41"/>
      <c r="M683" s="41"/>
      <c r="N683" s="41"/>
      <c r="O683" s="41"/>
      <c r="P683" s="41"/>
      <c r="Q683" s="64"/>
      <c r="R683" s="41"/>
      <c r="S683" s="41"/>
      <c r="T683" s="41"/>
      <c r="U683" s="41"/>
      <c r="V683" s="41"/>
      <c r="W683" s="41"/>
      <c r="X683" s="41"/>
      <c r="Y683" s="41"/>
      <c r="Z683" s="41"/>
      <c r="AA683" s="41"/>
    </row>
    <row r="684" spans="1:27" ht="15.75" hidden="1" customHeight="1" x14ac:dyDescent="0.25">
      <c r="A684" s="51"/>
      <c r="B684" s="41"/>
      <c r="C684" s="41"/>
      <c r="D684" s="41"/>
      <c r="E684" s="41"/>
      <c r="F684" s="41"/>
      <c r="G684" s="41"/>
      <c r="H684" s="41"/>
      <c r="I684" s="41"/>
      <c r="J684" s="41"/>
      <c r="K684" s="41"/>
      <c r="L684" s="41"/>
      <c r="M684" s="41"/>
      <c r="N684" s="41"/>
      <c r="O684" s="41"/>
      <c r="P684" s="41"/>
      <c r="Q684" s="64"/>
      <c r="R684" s="41"/>
      <c r="S684" s="41"/>
      <c r="T684" s="41"/>
      <c r="U684" s="41"/>
      <c r="V684" s="41"/>
      <c r="W684" s="41"/>
      <c r="X684" s="41"/>
      <c r="Y684" s="41"/>
      <c r="Z684" s="41"/>
      <c r="AA684" s="41"/>
    </row>
    <row r="685" spans="1:27" ht="15.75" hidden="1" customHeight="1" x14ac:dyDescent="0.25">
      <c r="A685" s="51"/>
      <c r="B685" s="41"/>
      <c r="C685" s="41"/>
      <c r="D685" s="41"/>
      <c r="E685" s="41"/>
      <c r="F685" s="41"/>
      <c r="G685" s="41"/>
      <c r="H685" s="41"/>
      <c r="I685" s="41"/>
      <c r="J685" s="41"/>
      <c r="K685" s="41"/>
      <c r="L685" s="41"/>
      <c r="M685" s="41"/>
      <c r="N685" s="41"/>
      <c r="O685" s="41"/>
      <c r="P685" s="41"/>
      <c r="Q685" s="64"/>
      <c r="R685" s="41"/>
      <c r="S685" s="41"/>
      <c r="T685" s="41"/>
      <c r="U685" s="41"/>
      <c r="V685" s="41"/>
      <c r="W685" s="41"/>
      <c r="X685" s="41"/>
      <c r="Y685" s="41"/>
      <c r="Z685" s="41"/>
      <c r="AA685" s="41"/>
    </row>
    <row r="686" spans="1:27" ht="15.75" hidden="1" customHeight="1" x14ac:dyDescent="0.25">
      <c r="A686" s="51"/>
      <c r="B686" s="41"/>
      <c r="C686" s="41"/>
      <c r="D686" s="41"/>
      <c r="E686" s="41"/>
      <c r="F686" s="41"/>
      <c r="G686" s="41"/>
      <c r="H686" s="41"/>
      <c r="I686" s="41"/>
      <c r="J686" s="41"/>
      <c r="K686" s="41"/>
      <c r="L686" s="41"/>
      <c r="M686" s="41"/>
      <c r="N686" s="41"/>
      <c r="O686" s="41"/>
      <c r="P686" s="41"/>
      <c r="Q686" s="64"/>
      <c r="R686" s="41"/>
      <c r="S686" s="41"/>
      <c r="T686" s="41"/>
      <c r="U686" s="41"/>
      <c r="V686" s="41"/>
      <c r="W686" s="41"/>
      <c r="X686" s="41"/>
      <c r="Y686" s="41"/>
      <c r="Z686" s="41"/>
      <c r="AA686" s="41"/>
    </row>
    <row r="687" spans="1:27" ht="15.75" hidden="1" customHeight="1" x14ac:dyDescent="0.25">
      <c r="A687" s="51"/>
      <c r="B687" s="41"/>
      <c r="C687" s="41"/>
      <c r="D687" s="41"/>
      <c r="E687" s="41"/>
      <c r="F687" s="41"/>
      <c r="G687" s="41"/>
      <c r="H687" s="41"/>
      <c r="I687" s="41"/>
      <c r="J687" s="41"/>
      <c r="K687" s="41"/>
      <c r="L687" s="41"/>
      <c r="M687" s="41"/>
      <c r="N687" s="41"/>
      <c r="O687" s="41"/>
      <c r="P687" s="41"/>
      <c r="Q687" s="64"/>
      <c r="R687" s="41"/>
      <c r="S687" s="41"/>
      <c r="T687" s="41"/>
      <c r="U687" s="41"/>
      <c r="V687" s="41"/>
      <c r="W687" s="41"/>
      <c r="X687" s="41"/>
      <c r="Y687" s="41"/>
      <c r="Z687" s="41"/>
      <c r="AA687" s="41"/>
    </row>
    <row r="688" spans="1:27" ht="15.75" hidden="1" customHeight="1" x14ac:dyDescent="0.25">
      <c r="A688" s="51"/>
      <c r="B688" s="41"/>
      <c r="C688" s="41"/>
      <c r="D688" s="41"/>
      <c r="E688" s="41"/>
      <c r="F688" s="41"/>
      <c r="G688" s="41"/>
      <c r="H688" s="41"/>
      <c r="I688" s="41"/>
      <c r="J688" s="41"/>
      <c r="K688" s="41"/>
      <c r="L688" s="41"/>
      <c r="M688" s="41"/>
      <c r="N688" s="41"/>
      <c r="O688" s="41"/>
      <c r="P688" s="41"/>
      <c r="Q688" s="64"/>
      <c r="R688" s="41"/>
      <c r="S688" s="41"/>
      <c r="T688" s="41"/>
      <c r="U688" s="41"/>
      <c r="V688" s="41"/>
      <c r="W688" s="41"/>
      <c r="X688" s="41"/>
      <c r="Y688" s="41"/>
      <c r="Z688" s="41"/>
      <c r="AA688" s="41"/>
    </row>
    <row r="689" spans="1:27" ht="15.75" hidden="1" customHeight="1" x14ac:dyDescent="0.25">
      <c r="A689" s="51"/>
      <c r="B689" s="41"/>
      <c r="C689" s="41"/>
      <c r="D689" s="41"/>
      <c r="E689" s="41"/>
      <c r="F689" s="41"/>
      <c r="G689" s="41"/>
      <c r="H689" s="41"/>
      <c r="I689" s="41"/>
      <c r="J689" s="41"/>
      <c r="K689" s="41"/>
      <c r="L689" s="41"/>
      <c r="M689" s="41"/>
      <c r="N689" s="41"/>
      <c r="O689" s="41"/>
      <c r="P689" s="41"/>
      <c r="Q689" s="64"/>
      <c r="R689" s="41"/>
      <c r="S689" s="41"/>
      <c r="T689" s="41"/>
      <c r="U689" s="41"/>
      <c r="V689" s="41"/>
      <c r="W689" s="41"/>
      <c r="X689" s="41"/>
      <c r="Y689" s="41"/>
      <c r="Z689" s="41"/>
      <c r="AA689" s="41"/>
    </row>
    <row r="690" spans="1:27" ht="15.75" hidden="1" customHeight="1" x14ac:dyDescent="0.25">
      <c r="A690" s="51"/>
      <c r="B690" s="41"/>
      <c r="C690" s="41"/>
      <c r="D690" s="41"/>
      <c r="E690" s="41"/>
      <c r="F690" s="41"/>
      <c r="G690" s="41"/>
      <c r="H690" s="41"/>
      <c r="I690" s="41"/>
      <c r="J690" s="41"/>
      <c r="K690" s="41"/>
      <c r="L690" s="41"/>
      <c r="M690" s="41"/>
      <c r="N690" s="41"/>
      <c r="O690" s="41"/>
      <c r="P690" s="41"/>
      <c r="Q690" s="64"/>
      <c r="R690" s="41"/>
      <c r="S690" s="41"/>
      <c r="T690" s="41"/>
      <c r="U690" s="41"/>
      <c r="V690" s="41"/>
      <c r="W690" s="41"/>
      <c r="X690" s="41"/>
      <c r="Y690" s="41"/>
      <c r="Z690" s="41"/>
      <c r="AA690" s="41"/>
    </row>
    <row r="691" spans="1:27" ht="15.75" hidden="1" customHeight="1" x14ac:dyDescent="0.25">
      <c r="A691" s="51"/>
      <c r="B691" s="41"/>
      <c r="C691" s="41"/>
      <c r="D691" s="41"/>
      <c r="E691" s="41"/>
      <c r="F691" s="41"/>
      <c r="G691" s="41"/>
      <c r="H691" s="41"/>
      <c r="I691" s="41"/>
      <c r="J691" s="41"/>
      <c r="K691" s="41"/>
      <c r="L691" s="41"/>
      <c r="M691" s="41"/>
      <c r="N691" s="41"/>
      <c r="O691" s="41"/>
      <c r="P691" s="41"/>
      <c r="Q691" s="64"/>
      <c r="R691" s="41"/>
      <c r="S691" s="41"/>
      <c r="T691" s="41"/>
      <c r="U691" s="41"/>
      <c r="V691" s="41"/>
      <c r="W691" s="41"/>
      <c r="X691" s="41"/>
      <c r="Y691" s="41"/>
      <c r="Z691" s="41"/>
      <c r="AA691" s="41"/>
    </row>
    <row r="692" spans="1:27" ht="15.75" hidden="1" customHeight="1" x14ac:dyDescent="0.25">
      <c r="A692" s="51"/>
      <c r="B692" s="41"/>
      <c r="C692" s="41"/>
      <c r="D692" s="41"/>
      <c r="E692" s="41"/>
      <c r="F692" s="41"/>
      <c r="G692" s="41"/>
      <c r="H692" s="41"/>
      <c r="I692" s="41"/>
      <c r="J692" s="41"/>
      <c r="K692" s="41"/>
      <c r="L692" s="41"/>
      <c r="M692" s="41"/>
      <c r="N692" s="41"/>
      <c r="O692" s="41"/>
      <c r="P692" s="41"/>
      <c r="Q692" s="64"/>
      <c r="R692" s="41"/>
      <c r="S692" s="41"/>
      <c r="T692" s="41"/>
      <c r="U692" s="41"/>
      <c r="V692" s="41"/>
      <c r="W692" s="41"/>
      <c r="X692" s="41"/>
      <c r="Y692" s="41"/>
      <c r="Z692" s="41"/>
      <c r="AA692" s="41"/>
    </row>
    <row r="693" spans="1:27" ht="15.75" hidden="1" customHeight="1" x14ac:dyDescent="0.25">
      <c r="A693" s="51"/>
      <c r="B693" s="41"/>
      <c r="C693" s="41"/>
      <c r="D693" s="41"/>
      <c r="E693" s="41"/>
      <c r="F693" s="41"/>
      <c r="G693" s="41"/>
      <c r="H693" s="41"/>
      <c r="I693" s="41"/>
      <c r="J693" s="41"/>
      <c r="K693" s="41"/>
      <c r="L693" s="41"/>
      <c r="M693" s="41"/>
      <c r="N693" s="41"/>
      <c r="O693" s="41"/>
      <c r="P693" s="41"/>
      <c r="Q693" s="64"/>
      <c r="R693" s="41"/>
      <c r="S693" s="41"/>
      <c r="T693" s="41"/>
      <c r="U693" s="41"/>
      <c r="V693" s="41"/>
      <c r="W693" s="41"/>
      <c r="X693" s="41"/>
      <c r="Y693" s="41"/>
      <c r="Z693" s="41"/>
      <c r="AA693" s="41"/>
    </row>
    <row r="694" spans="1:27" ht="15.75" hidden="1" customHeight="1" x14ac:dyDescent="0.25">
      <c r="A694" s="51"/>
      <c r="B694" s="41"/>
      <c r="C694" s="41"/>
      <c r="D694" s="41"/>
      <c r="E694" s="41"/>
      <c r="F694" s="41"/>
      <c r="G694" s="41"/>
      <c r="H694" s="41"/>
      <c r="I694" s="41"/>
      <c r="J694" s="41"/>
      <c r="K694" s="41"/>
      <c r="L694" s="41"/>
      <c r="M694" s="41"/>
      <c r="N694" s="41"/>
      <c r="O694" s="41"/>
      <c r="P694" s="41"/>
      <c r="Q694" s="64"/>
      <c r="R694" s="41"/>
      <c r="S694" s="41"/>
      <c r="T694" s="41"/>
      <c r="U694" s="41"/>
      <c r="V694" s="41"/>
      <c r="W694" s="41"/>
      <c r="X694" s="41"/>
      <c r="Y694" s="41"/>
      <c r="Z694" s="41"/>
      <c r="AA694" s="41"/>
    </row>
    <row r="695" spans="1:27" ht="15.75" hidden="1" customHeight="1" x14ac:dyDescent="0.25">
      <c r="A695" s="51"/>
      <c r="B695" s="41"/>
      <c r="C695" s="41"/>
      <c r="D695" s="41"/>
      <c r="E695" s="41"/>
      <c r="F695" s="41"/>
      <c r="G695" s="41"/>
      <c r="H695" s="41"/>
      <c r="I695" s="41"/>
      <c r="J695" s="41"/>
      <c r="K695" s="41"/>
      <c r="L695" s="41"/>
      <c r="M695" s="41"/>
      <c r="N695" s="41"/>
      <c r="O695" s="41"/>
      <c r="P695" s="41"/>
      <c r="Q695" s="64"/>
      <c r="R695" s="41"/>
      <c r="S695" s="41"/>
      <c r="T695" s="41"/>
      <c r="U695" s="41"/>
      <c r="V695" s="41"/>
      <c r="W695" s="41"/>
      <c r="X695" s="41"/>
      <c r="Y695" s="41"/>
      <c r="Z695" s="41"/>
      <c r="AA695" s="41"/>
    </row>
    <row r="696" spans="1:27" ht="15.75" hidden="1" customHeight="1" x14ac:dyDescent="0.25">
      <c r="A696" s="51"/>
      <c r="B696" s="41"/>
      <c r="C696" s="41"/>
      <c r="D696" s="41"/>
      <c r="E696" s="41"/>
      <c r="F696" s="41"/>
      <c r="G696" s="41"/>
      <c r="H696" s="41"/>
      <c r="I696" s="41"/>
      <c r="J696" s="41"/>
      <c r="K696" s="41"/>
      <c r="L696" s="41"/>
      <c r="M696" s="41"/>
      <c r="N696" s="41"/>
      <c r="O696" s="41"/>
      <c r="P696" s="41"/>
      <c r="Q696" s="64"/>
      <c r="R696" s="41"/>
      <c r="S696" s="41"/>
      <c r="T696" s="41"/>
      <c r="U696" s="41"/>
      <c r="V696" s="41"/>
      <c r="W696" s="41"/>
      <c r="X696" s="41"/>
      <c r="Y696" s="41"/>
      <c r="Z696" s="41"/>
      <c r="AA696" s="41"/>
    </row>
    <row r="697" spans="1:27" ht="15.75" hidden="1" customHeight="1" x14ac:dyDescent="0.25">
      <c r="A697" s="51"/>
      <c r="B697" s="41"/>
      <c r="C697" s="41"/>
      <c r="D697" s="41"/>
      <c r="E697" s="41"/>
      <c r="F697" s="41"/>
      <c r="G697" s="41"/>
      <c r="H697" s="41"/>
      <c r="I697" s="41"/>
      <c r="J697" s="41"/>
      <c r="K697" s="41"/>
      <c r="L697" s="41"/>
      <c r="M697" s="41"/>
      <c r="N697" s="41"/>
      <c r="O697" s="41"/>
      <c r="P697" s="41"/>
      <c r="Q697" s="64"/>
      <c r="R697" s="41"/>
      <c r="S697" s="41"/>
      <c r="T697" s="41"/>
      <c r="U697" s="41"/>
      <c r="V697" s="41"/>
      <c r="W697" s="41"/>
      <c r="X697" s="41"/>
      <c r="Y697" s="41"/>
      <c r="Z697" s="41"/>
      <c r="AA697" s="41"/>
    </row>
    <row r="698" spans="1:27" ht="15.75" hidden="1" customHeight="1" x14ac:dyDescent="0.25">
      <c r="A698" s="51"/>
      <c r="B698" s="41"/>
      <c r="C698" s="41"/>
      <c r="D698" s="41"/>
      <c r="E698" s="41"/>
      <c r="F698" s="41"/>
      <c r="G698" s="41"/>
      <c r="H698" s="41"/>
      <c r="I698" s="41"/>
      <c r="J698" s="41"/>
      <c r="K698" s="41"/>
      <c r="L698" s="41"/>
      <c r="M698" s="41"/>
      <c r="N698" s="41"/>
      <c r="O698" s="41"/>
      <c r="P698" s="41"/>
      <c r="Q698" s="64"/>
      <c r="R698" s="41"/>
      <c r="S698" s="41"/>
      <c r="T698" s="41"/>
      <c r="U698" s="41"/>
      <c r="V698" s="41"/>
      <c r="W698" s="41"/>
      <c r="X698" s="41"/>
      <c r="Y698" s="41"/>
      <c r="Z698" s="41"/>
      <c r="AA698" s="41"/>
    </row>
    <row r="699" spans="1:27" ht="15.75" hidden="1" customHeight="1" x14ac:dyDescent="0.25">
      <c r="A699" s="51"/>
      <c r="B699" s="41"/>
      <c r="C699" s="41"/>
      <c r="D699" s="41"/>
      <c r="E699" s="41"/>
      <c r="F699" s="41"/>
      <c r="G699" s="41"/>
      <c r="H699" s="41"/>
      <c r="I699" s="41"/>
      <c r="J699" s="41"/>
      <c r="K699" s="41"/>
      <c r="L699" s="41"/>
      <c r="M699" s="41"/>
      <c r="N699" s="41"/>
      <c r="O699" s="41"/>
      <c r="P699" s="41"/>
      <c r="Q699" s="64"/>
      <c r="R699" s="41"/>
      <c r="S699" s="41"/>
      <c r="T699" s="41"/>
      <c r="U699" s="41"/>
      <c r="V699" s="41"/>
      <c r="W699" s="41"/>
      <c r="X699" s="41"/>
      <c r="Y699" s="41"/>
      <c r="Z699" s="41"/>
      <c r="AA699" s="41"/>
    </row>
    <row r="700" spans="1:27" ht="15.75" hidden="1" customHeight="1" x14ac:dyDescent="0.25">
      <c r="A700" s="51"/>
      <c r="B700" s="41"/>
      <c r="C700" s="41"/>
      <c r="D700" s="41"/>
      <c r="E700" s="41"/>
      <c r="F700" s="41"/>
      <c r="G700" s="41"/>
      <c r="H700" s="41"/>
      <c r="I700" s="41"/>
      <c r="J700" s="41"/>
      <c r="K700" s="41"/>
      <c r="L700" s="41"/>
      <c r="M700" s="41"/>
      <c r="N700" s="41"/>
      <c r="O700" s="41"/>
      <c r="P700" s="41"/>
      <c r="Q700" s="64"/>
      <c r="R700" s="41"/>
      <c r="S700" s="41"/>
      <c r="T700" s="41"/>
      <c r="U700" s="41"/>
      <c r="V700" s="41"/>
      <c r="W700" s="41"/>
      <c r="X700" s="41"/>
      <c r="Y700" s="41"/>
      <c r="Z700" s="41"/>
      <c r="AA700" s="41"/>
    </row>
    <row r="701" spans="1:27" ht="15.75" hidden="1" customHeight="1" x14ac:dyDescent="0.25">
      <c r="A701" s="51"/>
      <c r="B701" s="41"/>
      <c r="C701" s="41"/>
      <c r="D701" s="41"/>
      <c r="E701" s="41"/>
      <c r="F701" s="41"/>
      <c r="G701" s="41"/>
      <c r="H701" s="41"/>
      <c r="I701" s="41"/>
      <c r="J701" s="41"/>
      <c r="K701" s="41"/>
      <c r="L701" s="41"/>
      <c r="M701" s="41"/>
      <c r="N701" s="41"/>
      <c r="O701" s="41"/>
      <c r="P701" s="41"/>
      <c r="Q701" s="64"/>
      <c r="R701" s="41"/>
      <c r="S701" s="41"/>
      <c r="T701" s="41"/>
      <c r="U701" s="41"/>
      <c r="V701" s="41"/>
      <c r="W701" s="41"/>
      <c r="X701" s="41"/>
      <c r="Y701" s="41"/>
      <c r="Z701" s="41"/>
      <c r="AA701" s="41"/>
    </row>
    <row r="702" spans="1:27" ht="15.75" hidden="1" customHeight="1" x14ac:dyDescent="0.25">
      <c r="A702" s="51"/>
      <c r="B702" s="41"/>
      <c r="C702" s="41"/>
      <c r="D702" s="41"/>
      <c r="E702" s="41"/>
      <c r="F702" s="41"/>
      <c r="G702" s="41"/>
      <c r="H702" s="41"/>
      <c r="I702" s="41"/>
      <c r="J702" s="41"/>
      <c r="K702" s="41"/>
      <c r="L702" s="41"/>
      <c r="M702" s="41"/>
      <c r="N702" s="41"/>
      <c r="O702" s="41"/>
      <c r="P702" s="41"/>
      <c r="Q702" s="64"/>
      <c r="R702" s="41"/>
      <c r="S702" s="41"/>
      <c r="T702" s="41"/>
      <c r="U702" s="41"/>
      <c r="V702" s="41"/>
      <c r="W702" s="41"/>
      <c r="X702" s="41"/>
      <c r="Y702" s="41"/>
      <c r="Z702" s="41"/>
      <c r="AA702" s="41"/>
    </row>
    <row r="703" spans="1:27" ht="15.75" hidden="1" customHeight="1" x14ac:dyDescent="0.25">
      <c r="A703" s="51"/>
      <c r="B703" s="41"/>
      <c r="C703" s="41"/>
      <c r="D703" s="41"/>
      <c r="E703" s="41"/>
      <c r="F703" s="41"/>
      <c r="G703" s="41"/>
      <c r="H703" s="41"/>
      <c r="I703" s="41"/>
      <c r="J703" s="41"/>
      <c r="K703" s="41"/>
      <c r="L703" s="41"/>
      <c r="M703" s="41"/>
      <c r="N703" s="41"/>
      <c r="O703" s="41"/>
      <c r="P703" s="41"/>
      <c r="Q703" s="64"/>
      <c r="R703" s="41"/>
      <c r="S703" s="41"/>
      <c r="T703" s="41"/>
      <c r="U703" s="41"/>
      <c r="V703" s="41"/>
      <c r="W703" s="41"/>
      <c r="X703" s="41"/>
      <c r="Y703" s="41"/>
      <c r="Z703" s="41"/>
      <c r="AA703" s="41"/>
    </row>
    <row r="704" spans="1:27" ht="15.75" hidden="1" customHeight="1" x14ac:dyDescent="0.25">
      <c r="A704" s="51"/>
      <c r="B704" s="41"/>
      <c r="C704" s="41"/>
      <c r="D704" s="41"/>
      <c r="E704" s="41"/>
      <c r="F704" s="41"/>
      <c r="G704" s="41"/>
      <c r="H704" s="41"/>
      <c r="I704" s="41"/>
      <c r="J704" s="41"/>
      <c r="K704" s="41"/>
      <c r="L704" s="41"/>
      <c r="M704" s="41"/>
      <c r="N704" s="41"/>
      <c r="O704" s="41"/>
      <c r="P704" s="41"/>
      <c r="Q704" s="64"/>
      <c r="R704" s="41"/>
      <c r="S704" s="41"/>
      <c r="T704" s="41"/>
      <c r="U704" s="41"/>
      <c r="V704" s="41"/>
      <c r="W704" s="41"/>
      <c r="X704" s="41"/>
      <c r="Y704" s="41"/>
      <c r="Z704" s="41"/>
      <c r="AA704" s="41"/>
    </row>
    <row r="705" spans="1:27" ht="15.75" hidden="1" customHeight="1" x14ac:dyDescent="0.25">
      <c r="A705" s="51"/>
      <c r="B705" s="41"/>
      <c r="C705" s="41"/>
      <c r="D705" s="41"/>
      <c r="E705" s="41"/>
      <c r="F705" s="41"/>
      <c r="G705" s="41"/>
      <c r="H705" s="41"/>
      <c r="I705" s="41"/>
      <c r="J705" s="41"/>
      <c r="K705" s="41"/>
      <c r="L705" s="41"/>
      <c r="M705" s="41"/>
      <c r="N705" s="41"/>
      <c r="O705" s="41"/>
      <c r="P705" s="41"/>
      <c r="Q705" s="64"/>
      <c r="R705" s="41"/>
      <c r="S705" s="41"/>
      <c r="T705" s="41"/>
      <c r="U705" s="41"/>
      <c r="V705" s="41"/>
      <c r="W705" s="41"/>
      <c r="X705" s="41"/>
      <c r="Y705" s="41"/>
      <c r="Z705" s="41"/>
      <c r="AA705" s="41"/>
    </row>
    <row r="706" spans="1:27" ht="15.75" hidden="1" customHeight="1" x14ac:dyDescent="0.25">
      <c r="A706" s="51"/>
      <c r="B706" s="41"/>
      <c r="C706" s="41"/>
      <c r="D706" s="41"/>
      <c r="E706" s="41"/>
      <c r="F706" s="41"/>
      <c r="G706" s="41"/>
      <c r="H706" s="41"/>
      <c r="I706" s="41"/>
      <c r="J706" s="41"/>
      <c r="K706" s="41"/>
      <c r="L706" s="41"/>
      <c r="M706" s="41"/>
      <c r="N706" s="41"/>
      <c r="O706" s="41"/>
      <c r="P706" s="41"/>
      <c r="Q706" s="64"/>
      <c r="R706" s="41"/>
      <c r="S706" s="41"/>
      <c r="T706" s="41"/>
      <c r="U706" s="41"/>
      <c r="V706" s="41"/>
      <c r="W706" s="41"/>
      <c r="X706" s="41"/>
      <c r="Y706" s="41"/>
      <c r="Z706" s="41"/>
      <c r="AA706" s="41"/>
    </row>
    <row r="707" spans="1:27" ht="15.75" hidden="1" customHeight="1" x14ac:dyDescent="0.25">
      <c r="A707" s="51"/>
      <c r="B707" s="41"/>
      <c r="C707" s="41"/>
      <c r="D707" s="41"/>
      <c r="E707" s="41"/>
      <c r="F707" s="41"/>
      <c r="G707" s="41"/>
      <c r="H707" s="41"/>
      <c r="I707" s="41"/>
      <c r="J707" s="41"/>
      <c r="K707" s="41"/>
      <c r="L707" s="41"/>
      <c r="M707" s="41"/>
      <c r="N707" s="41"/>
      <c r="O707" s="41"/>
      <c r="P707" s="41"/>
      <c r="Q707" s="64"/>
      <c r="R707" s="41"/>
      <c r="S707" s="41"/>
      <c r="T707" s="41"/>
      <c r="U707" s="41"/>
      <c r="V707" s="41"/>
      <c r="W707" s="41"/>
      <c r="X707" s="41"/>
      <c r="Y707" s="41"/>
      <c r="Z707" s="41"/>
      <c r="AA707" s="41"/>
    </row>
    <row r="708" spans="1:27" ht="15.75" hidden="1" customHeight="1" x14ac:dyDescent="0.25">
      <c r="A708" s="51"/>
      <c r="B708" s="41"/>
      <c r="C708" s="41"/>
      <c r="D708" s="41"/>
      <c r="E708" s="41"/>
      <c r="F708" s="41"/>
      <c r="G708" s="41"/>
      <c r="H708" s="41"/>
      <c r="I708" s="41"/>
      <c r="J708" s="41"/>
      <c r="K708" s="41"/>
      <c r="L708" s="41"/>
      <c r="M708" s="41"/>
      <c r="N708" s="41"/>
      <c r="O708" s="41"/>
      <c r="P708" s="41"/>
      <c r="Q708" s="64"/>
      <c r="R708" s="41"/>
      <c r="S708" s="41"/>
      <c r="T708" s="41"/>
      <c r="U708" s="41"/>
      <c r="V708" s="41"/>
      <c r="W708" s="41"/>
      <c r="X708" s="41"/>
      <c r="Y708" s="41"/>
      <c r="Z708" s="41"/>
      <c r="AA708" s="41"/>
    </row>
    <row r="709" spans="1:27" ht="15.75" hidden="1" customHeight="1" x14ac:dyDescent="0.25">
      <c r="A709" s="51"/>
      <c r="B709" s="41"/>
      <c r="C709" s="41"/>
      <c r="D709" s="41"/>
      <c r="E709" s="41"/>
      <c r="F709" s="41"/>
      <c r="G709" s="41"/>
      <c r="H709" s="41"/>
      <c r="I709" s="41"/>
      <c r="J709" s="41"/>
      <c r="K709" s="41"/>
      <c r="L709" s="41"/>
      <c r="M709" s="41"/>
      <c r="N709" s="41"/>
      <c r="O709" s="41"/>
      <c r="P709" s="41"/>
      <c r="Q709" s="64"/>
      <c r="R709" s="41"/>
      <c r="S709" s="41"/>
      <c r="T709" s="41"/>
      <c r="U709" s="41"/>
      <c r="V709" s="41"/>
      <c r="W709" s="41"/>
      <c r="X709" s="41"/>
      <c r="Y709" s="41"/>
      <c r="Z709" s="41"/>
      <c r="AA709" s="41"/>
    </row>
    <row r="710" spans="1:27" ht="15.75" hidden="1" customHeight="1" x14ac:dyDescent="0.25">
      <c r="A710" s="51"/>
      <c r="B710" s="41"/>
      <c r="C710" s="41"/>
      <c r="D710" s="41"/>
      <c r="E710" s="41"/>
      <c r="F710" s="41"/>
      <c r="G710" s="41"/>
      <c r="H710" s="41"/>
      <c r="I710" s="41"/>
      <c r="J710" s="41"/>
      <c r="K710" s="41"/>
      <c r="L710" s="41"/>
      <c r="M710" s="41"/>
      <c r="N710" s="41"/>
      <c r="O710" s="41"/>
      <c r="P710" s="41"/>
      <c r="Q710" s="64"/>
      <c r="R710" s="41"/>
      <c r="S710" s="41"/>
      <c r="T710" s="41"/>
      <c r="U710" s="41"/>
      <c r="V710" s="41"/>
      <c r="W710" s="41"/>
      <c r="X710" s="41"/>
      <c r="Y710" s="41"/>
      <c r="Z710" s="41"/>
      <c r="AA710" s="41"/>
    </row>
    <row r="711" spans="1:27" ht="15.75" hidden="1" customHeight="1" x14ac:dyDescent="0.25">
      <c r="A711" s="51"/>
      <c r="B711" s="41"/>
      <c r="C711" s="41"/>
      <c r="D711" s="41"/>
      <c r="E711" s="41"/>
      <c r="F711" s="41"/>
      <c r="G711" s="41"/>
      <c r="H711" s="41"/>
      <c r="I711" s="41"/>
      <c r="J711" s="41"/>
      <c r="K711" s="41"/>
      <c r="L711" s="41"/>
      <c r="M711" s="41"/>
      <c r="N711" s="41"/>
      <c r="O711" s="41"/>
      <c r="P711" s="41"/>
      <c r="Q711" s="64"/>
      <c r="R711" s="41"/>
      <c r="S711" s="41"/>
      <c r="T711" s="41"/>
      <c r="U711" s="41"/>
      <c r="V711" s="41"/>
      <c r="W711" s="41"/>
      <c r="X711" s="41"/>
      <c r="Y711" s="41"/>
      <c r="Z711" s="41"/>
      <c r="AA711" s="41"/>
    </row>
    <row r="712" spans="1:27" ht="15.75" hidden="1" customHeight="1" x14ac:dyDescent="0.25">
      <c r="A712" s="51"/>
      <c r="B712" s="41"/>
      <c r="C712" s="41"/>
      <c r="D712" s="41"/>
      <c r="E712" s="41"/>
      <c r="F712" s="41"/>
      <c r="G712" s="41"/>
      <c r="H712" s="41"/>
      <c r="I712" s="41"/>
      <c r="J712" s="41"/>
      <c r="K712" s="41"/>
      <c r="L712" s="41"/>
      <c r="M712" s="41"/>
      <c r="N712" s="41"/>
      <c r="O712" s="41"/>
      <c r="P712" s="41"/>
      <c r="Q712" s="64"/>
      <c r="R712" s="41"/>
      <c r="S712" s="41"/>
      <c r="T712" s="41"/>
      <c r="U712" s="41"/>
      <c r="V712" s="41"/>
      <c r="W712" s="41"/>
      <c r="X712" s="41"/>
      <c r="Y712" s="41"/>
      <c r="Z712" s="41"/>
      <c r="AA712" s="41"/>
    </row>
    <row r="713" spans="1:27" ht="15.75" hidden="1" customHeight="1" x14ac:dyDescent="0.25">
      <c r="A713" s="51"/>
      <c r="B713" s="41"/>
      <c r="C713" s="41"/>
      <c r="D713" s="41"/>
      <c r="E713" s="41"/>
      <c r="F713" s="41"/>
      <c r="G713" s="41"/>
      <c r="H713" s="41"/>
      <c r="I713" s="41"/>
      <c r="J713" s="41"/>
      <c r="K713" s="41"/>
      <c r="L713" s="41"/>
      <c r="M713" s="41"/>
      <c r="N713" s="41"/>
      <c r="O713" s="41"/>
      <c r="P713" s="41"/>
      <c r="Q713" s="64"/>
      <c r="R713" s="41"/>
      <c r="S713" s="41"/>
      <c r="T713" s="41"/>
      <c r="U713" s="41"/>
      <c r="V713" s="41"/>
      <c r="W713" s="41"/>
      <c r="X713" s="41"/>
      <c r="Y713" s="41"/>
      <c r="Z713" s="41"/>
      <c r="AA713" s="41"/>
    </row>
    <row r="714" spans="1:27" ht="15.75" hidden="1" customHeight="1" x14ac:dyDescent="0.25">
      <c r="A714" s="51"/>
      <c r="B714" s="41"/>
      <c r="C714" s="41"/>
      <c r="D714" s="41"/>
      <c r="E714" s="41"/>
      <c r="F714" s="41"/>
      <c r="G714" s="41"/>
      <c r="H714" s="41"/>
      <c r="I714" s="41"/>
      <c r="J714" s="41"/>
      <c r="K714" s="41"/>
      <c r="L714" s="41"/>
      <c r="M714" s="41"/>
      <c r="N714" s="41"/>
      <c r="O714" s="41"/>
      <c r="P714" s="41"/>
      <c r="Q714" s="64"/>
      <c r="R714" s="41"/>
      <c r="S714" s="41"/>
      <c r="T714" s="41"/>
      <c r="U714" s="41"/>
      <c r="V714" s="41"/>
      <c r="W714" s="41"/>
      <c r="X714" s="41"/>
      <c r="Y714" s="41"/>
      <c r="Z714" s="41"/>
      <c r="AA714" s="41"/>
    </row>
    <row r="715" spans="1:27" ht="15.75" hidden="1" customHeight="1" x14ac:dyDescent="0.25">
      <c r="A715" s="51"/>
      <c r="B715" s="41"/>
      <c r="C715" s="41"/>
      <c r="D715" s="41"/>
      <c r="E715" s="41"/>
      <c r="F715" s="41"/>
      <c r="G715" s="41"/>
      <c r="H715" s="41"/>
      <c r="I715" s="41"/>
      <c r="J715" s="41"/>
      <c r="K715" s="41"/>
      <c r="L715" s="41"/>
      <c r="M715" s="41"/>
      <c r="N715" s="41"/>
      <c r="O715" s="41"/>
      <c r="P715" s="41"/>
      <c r="Q715" s="64"/>
      <c r="R715" s="41"/>
      <c r="S715" s="41"/>
      <c r="T715" s="41"/>
      <c r="U715" s="41"/>
      <c r="V715" s="41"/>
      <c r="W715" s="41"/>
      <c r="X715" s="41"/>
      <c r="Y715" s="41"/>
      <c r="Z715" s="41"/>
      <c r="AA715" s="41"/>
    </row>
    <row r="716" spans="1:27" ht="15.75" hidden="1" customHeight="1" x14ac:dyDescent="0.25">
      <c r="A716" s="51"/>
      <c r="B716" s="41"/>
      <c r="C716" s="41"/>
      <c r="D716" s="41"/>
      <c r="E716" s="41"/>
      <c r="F716" s="41"/>
      <c r="G716" s="41"/>
      <c r="H716" s="41"/>
      <c r="I716" s="41"/>
      <c r="J716" s="41"/>
      <c r="K716" s="41"/>
      <c r="L716" s="41"/>
      <c r="M716" s="41"/>
      <c r="N716" s="41"/>
      <c r="O716" s="41"/>
      <c r="P716" s="41"/>
      <c r="Q716" s="64"/>
      <c r="R716" s="41"/>
      <c r="S716" s="41"/>
      <c r="T716" s="41"/>
      <c r="U716" s="41"/>
      <c r="V716" s="41"/>
      <c r="W716" s="41"/>
      <c r="X716" s="41"/>
      <c r="Y716" s="41"/>
      <c r="Z716" s="41"/>
      <c r="AA716" s="41"/>
    </row>
    <row r="717" spans="1:27" ht="15.75" hidden="1" customHeight="1" x14ac:dyDescent="0.25">
      <c r="A717" s="51"/>
      <c r="B717" s="41"/>
      <c r="C717" s="41"/>
      <c r="D717" s="41"/>
      <c r="E717" s="41"/>
      <c r="F717" s="41"/>
      <c r="G717" s="41"/>
      <c r="H717" s="41"/>
      <c r="I717" s="41"/>
      <c r="J717" s="41"/>
      <c r="K717" s="41"/>
      <c r="L717" s="41"/>
      <c r="M717" s="41"/>
      <c r="N717" s="41"/>
      <c r="O717" s="41"/>
      <c r="P717" s="41"/>
      <c r="Q717" s="64"/>
      <c r="R717" s="41"/>
      <c r="S717" s="41"/>
      <c r="T717" s="41"/>
      <c r="U717" s="41"/>
      <c r="V717" s="41"/>
      <c r="W717" s="41"/>
      <c r="X717" s="41"/>
      <c r="Y717" s="41"/>
      <c r="Z717" s="41"/>
      <c r="AA717" s="41"/>
    </row>
    <row r="718" spans="1:27" ht="15.75" hidden="1" customHeight="1" x14ac:dyDescent="0.25">
      <c r="A718" s="51"/>
      <c r="B718" s="41"/>
      <c r="C718" s="41"/>
      <c r="D718" s="41"/>
      <c r="E718" s="41"/>
      <c r="F718" s="41"/>
      <c r="G718" s="41"/>
      <c r="H718" s="41"/>
      <c r="I718" s="41"/>
      <c r="J718" s="41"/>
      <c r="K718" s="41"/>
      <c r="L718" s="41"/>
      <c r="M718" s="41"/>
      <c r="N718" s="41"/>
      <c r="O718" s="41"/>
      <c r="P718" s="41"/>
      <c r="Q718" s="64"/>
      <c r="R718" s="41"/>
      <c r="S718" s="41"/>
      <c r="T718" s="41"/>
      <c r="U718" s="41"/>
      <c r="V718" s="41"/>
      <c r="W718" s="41"/>
      <c r="X718" s="41"/>
      <c r="Y718" s="41"/>
      <c r="Z718" s="41"/>
      <c r="AA718" s="41"/>
    </row>
    <row r="719" spans="1:27" ht="15.75" hidden="1" customHeight="1" x14ac:dyDescent="0.25">
      <c r="A719" s="51"/>
      <c r="B719" s="41"/>
      <c r="C719" s="41"/>
      <c r="D719" s="41"/>
      <c r="E719" s="41"/>
      <c r="F719" s="41"/>
      <c r="G719" s="41"/>
      <c r="H719" s="41"/>
      <c r="I719" s="41"/>
      <c r="J719" s="41"/>
      <c r="K719" s="41"/>
      <c r="L719" s="41"/>
      <c r="M719" s="41"/>
      <c r="N719" s="41"/>
      <c r="O719" s="41"/>
      <c r="P719" s="41"/>
      <c r="Q719" s="64"/>
      <c r="R719" s="41"/>
      <c r="S719" s="41"/>
      <c r="T719" s="41"/>
      <c r="U719" s="41"/>
      <c r="V719" s="41"/>
      <c r="W719" s="41"/>
      <c r="X719" s="41"/>
      <c r="Y719" s="41"/>
      <c r="Z719" s="41"/>
      <c r="AA719" s="41"/>
    </row>
    <row r="720" spans="1:27" ht="15.75" hidden="1" customHeight="1" x14ac:dyDescent="0.25">
      <c r="A720" s="51"/>
      <c r="B720" s="41"/>
      <c r="C720" s="41"/>
      <c r="D720" s="41"/>
      <c r="E720" s="41"/>
      <c r="F720" s="41"/>
      <c r="G720" s="41"/>
      <c r="H720" s="41"/>
      <c r="I720" s="41"/>
      <c r="J720" s="41"/>
      <c r="K720" s="41"/>
      <c r="L720" s="41"/>
      <c r="M720" s="41"/>
      <c r="N720" s="41"/>
      <c r="O720" s="41"/>
      <c r="P720" s="41"/>
      <c r="Q720" s="64"/>
      <c r="R720" s="41"/>
      <c r="S720" s="41"/>
      <c r="T720" s="41"/>
      <c r="U720" s="41"/>
      <c r="V720" s="41"/>
      <c r="W720" s="41"/>
      <c r="X720" s="41"/>
      <c r="Y720" s="41"/>
      <c r="Z720" s="41"/>
      <c r="AA720" s="41"/>
    </row>
    <row r="721" spans="1:27" ht="15.75" hidden="1" customHeight="1" x14ac:dyDescent="0.25">
      <c r="A721" s="51"/>
      <c r="B721" s="41"/>
      <c r="C721" s="41"/>
      <c r="D721" s="41"/>
      <c r="E721" s="41"/>
      <c r="F721" s="41"/>
      <c r="G721" s="41"/>
      <c r="H721" s="41"/>
      <c r="I721" s="41"/>
      <c r="J721" s="41"/>
      <c r="K721" s="41"/>
      <c r="L721" s="41"/>
      <c r="M721" s="41"/>
      <c r="N721" s="41"/>
      <c r="O721" s="41"/>
      <c r="P721" s="41"/>
      <c r="Q721" s="64"/>
      <c r="R721" s="41"/>
      <c r="S721" s="41"/>
      <c r="T721" s="41"/>
      <c r="U721" s="41"/>
      <c r="V721" s="41"/>
      <c r="W721" s="41"/>
      <c r="X721" s="41"/>
      <c r="Y721" s="41"/>
      <c r="Z721" s="41"/>
      <c r="AA721" s="41"/>
    </row>
    <row r="722" spans="1:27" ht="15.75" hidden="1" customHeight="1" x14ac:dyDescent="0.25">
      <c r="A722" s="51"/>
      <c r="B722" s="41"/>
      <c r="C722" s="41"/>
      <c r="D722" s="41"/>
      <c r="E722" s="41"/>
      <c r="F722" s="41"/>
      <c r="G722" s="41"/>
      <c r="H722" s="41"/>
      <c r="I722" s="41"/>
      <c r="J722" s="41"/>
      <c r="K722" s="41"/>
      <c r="L722" s="41"/>
      <c r="M722" s="41"/>
      <c r="N722" s="41"/>
      <c r="O722" s="41"/>
      <c r="P722" s="41"/>
      <c r="Q722" s="64"/>
      <c r="R722" s="41"/>
      <c r="S722" s="41"/>
      <c r="T722" s="41"/>
      <c r="U722" s="41"/>
      <c r="V722" s="41"/>
      <c r="W722" s="41"/>
      <c r="X722" s="41"/>
      <c r="Y722" s="41"/>
      <c r="Z722" s="41"/>
      <c r="AA722" s="41"/>
    </row>
    <row r="723" spans="1:27" ht="15.75" hidden="1" customHeight="1" x14ac:dyDescent="0.25">
      <c r="A723" s="51"/>
      <c r="B723" s="41"/>
      <c r="C723" s="41"/>
      <c r="D723" s="41"/>
      <c r="E723" s="41"/>
      <c r="F723" s="41"/>
      <c r="G723" s="41"/>
      <c r="H723" s="41"/>
      <c r="I723" s="41"/>
      <c r="J723" s="41"/>
      <c r="K723" s="41"/>
      <c r="L723" s="41"/>
      <c r="M723" s="41"/>
      <c r="N723" s="41"/>
      <c r="O723" s="41"/>
      <c r="P723" s="41"/>
      <c r="Q723" s="64"/>
      <c r="R723" s="41"/>
      <c r="S723" s="41"/>
      <c r="T723" s="41"/>
      <c r="U723" s="41"/>
      <c r="V723" s="41"/>
      <c r="W723" s="41"/>
      <c r="X723" s="41"/>
      <c r="Y723" s="41"/>
      <c r="Z723" s="41"/>
      <c r="AA723" s="41"/>
    </row>
    <row r="724" spans="1:27" ht="15.75" hidden="1" customHeight="1" x14ac:dyDescent="0.25">
      <c r="A724" s="51"/>
      <c r="B724" s="41"/>
      <c r="C724" s="41"/>
      <c r="D724" s="41"/>
      <c r="E724" s="41"/>
      <c r="F724" s="41"/>
      <c r="G724" s="41"/>
      <c r="H724" s="41"/>
      <c r="I724" s="41"/>
      <c r="J724" s="41"/>
      <c r="K724" s="41"/>
      <c r="L724" s="41"/>
      <c r="M724" s="41"/>
      <c r="N724" s="41"/>
      <c r="O724" s="41"/>
      <c r="P724" s="41"/>
      <c r="Q724" s="64"/>
      <c r="R724" s="41"/>
      <c r="S724" s="41"/>
      <c r="T724" s="41"/>
      <c r="U724" s="41"/>
      <c r="V724" s="41"/>
      <c r="W724" s="41"/>
      <c r="X724" s="41"/>
      <c r="Y724" s="41"/>
      <c r="Z724" s="41"/>
      <c r="AA724" s="41"/>
    </row>
    <row r="725" spans="1:27" ht="15.75" hidden="1" customHeight="1" x14ac:dyDescent="0.25">
      <c r="A725" s="51"/>
      <c r="B725" s="41"/>
      <c r="C725" s="41"/>
      <c r="D725" s="41"/>
      <c r="E725" s="41"/>
      <c r="F725" s="41"/>
      <c r="G725" s="41"/>
      <c r="H725" s="41"/>
      <c r="I725" s="41"/>
      <c r="J725" s="41"/>
      <c r="K725" s="41"/>
      <c r="L725" s="41"/>
      <c r="M725" s="41"/>
      <c r="N725" s="41"/>
      <c r="O725" s="41"/>
      <c r="P725" s="41"/>
      <c r="Q725" s="64"/>
      <c r="R725" s="41"/>
      <c r="S725" s="41"/>
      <c r="T725" s="41"/>
      <c r="U725" s="41"/>
      <c r="V725" s="41"/>
      <c r="W725" s="41"/>
      <c r="X725" s="41"/>
      <c r="Y725" s="41"/>
      <c r="Z725" s="41"/>
      <c r="AA725" s="41"/>
    </row>
    <row r="726" spans="1:27" ht="15.75" hidden="1" customHeight="1" x14ac:dyDescent="0.25">
      <c r="A726" s="51"/>
      <c r="B726" s="41"/>
      <c r="C726" s="41"/>
      <c r="D726" s="41"/>
      <c r="E726" s="41"/>
      <c r="F726" s="41"/>
      <c r="G726" s="41"/>
      <c r="H726" s="41"/>
      <c r="I726" s="41"/>
      <c r="J726" s="41"/>
      <c r="K726" s="41"/>
      <c r="L726" s="41"/>
      <c r="M726" s="41"/>
      <c r="N726" s="41"/>
      <c r="O726" s="41"/>
      <c r="P726" s="41"/>
      <c r="Q726" s="64"/>
      <c r="R726" s="41"/>
      <c r="S726" s="41"/>
      <c r="T726" s="41"/>
      <c r="U726" s="41"/>
      <c r="V726" s="41"/>
      <c r="W726" s="41"/>
      <c r="X726" s="41"/>
      <c r="Y726" s="41"/>
      <c r="Z726" s="41"/>
      <c r="AA726" s="41"/>
    </row>
    <row r="727" spans="1:27" ht="15.75" hidden="1" customHeight="1" x14ac:dyDescent="0.25">
      <c r="A727" s="51"/>
      <c r="B727" s="41"/>
      <c r="C727" s="41"/>
      <c r="D727" s="41"/>
      <c r="E727" s="41"/>
      <c r="F727" s="41"/>
      <c r="G727" s="41"/>
      <c r="H727" s="41"/>
      <c r="I727" s="41"/>
      <c r="J727" s="41"/>
      <c r="K727" s="41"/>
      <c r="L727" s="41"/>
      <c r="M727" s="41"/>
      <c r="N727" s="41"/>
      <c r="O727" s="41"/>
      <c r="P727" s="41"/>
      <c r="Q727" s="64"/>
      <c r="R727" s="41"/>
      <c r="S727" s="41"/>
      <c r="T727" s="41"/>
      <c r="U727" s="41"/>
      <c r="V727" s="41"/>
      <c r="W727" s="41"/>
      <c r="X727" s="41"/>
      <c r="Y727" s="41"/>
      <c r="Z727" s="41"/>
      <c r="AA727" s="41"/>
    </row>
    <row r="728" spans="1:27" ht="15.75" hidden="1" customHeight="1" x14ac:dyDescent="0.25">
      <c r="A728" s="51"/>
      <c r="B728" s="41"/>
      <c r="C728" s="41"/>
      <c r="D728" s="41"/>
      <c r="E728" s="41"/>
      <c r="F728" s="41"/>
      <c r="G728" s="41"/>
      <c r="H728" s="41"/>
      <c r="I728" s="41"/>
      <c r="J728" s="41"/>
      <c r="K728" s="41"/>
      <c r="L728" s="41"/>
      <c r="M728" s="41"/>
      <c r="N728" s="41"/>
      <c r="O728" s="41"/>
      <c r="P728" s="41"/>
      <c r="Q728" s="64"/>
      <c r="R728" s="41"/>
      <c r="S728" s="41"/>
      <c r="T728" s="41"/>
      <c r="U728" s="41"/>
      <c r="V728" s="41"/>
      <c r="W728" s="41"/>
      <c r="X728" s="41"/>
      <c r="Y728" s="41"/>
      <c r="Z728" s="41"/>
      <c r="AA728" s="41"/>
    </row>
    <row r="729" spans="1:27" ht="15.75" hidden="1" customHeight="1" x14ac:dyDescent="0.25">
      <c r="A729" s="51"/>
      <c r="B729" s="41"/>
      <c r="C729" s="41"/>
      <c r="D729" s="41"/>
      <c r="E729" s="41"/>
      <c r="F729" s="41"/>
      <c r="G729" s="41"/>
      <c r="H729" s="41"/>
      <c r="I729" s="41"/>
      <c r="J729" s="41"/>
      <c r="K729" s="41"/>
      <c r="L729" s="41"/>
      <c r="M729" s="41"/>
      <c r="N729" s="41"/>
      <c r="O729" s="41"/>
      <c r="P729" s="41"/>
      <c r="Q729" s="64"/>
      <c r="R729" s="41"/>
      <c r="S729" s="41"/>
      <c r="T729" s="41"/>
      <c r="U729" s="41"/>
      <c r="V729" s="41"/>
      <c r="W729" s="41"/>
      <c r="X729" s="41"/>
      <c r="Y729" s="41"/>
      <c r="Z729" s="41"/>
      <c r="AA729" s="41"/>
    </row>
    <row r="730" spans="1:27" ht="15.75" hidden="1" customHeight="1" x14ac:dyDescent="0.25">
      <c r="A730" s="51"/>
      <c r="B730" s="41"/>
      <c r="C730" s="41"/>
      <c r="D730" s="41"/>
      <c r="E730" s="41"/>
      <c r="F730" s="41"/>
      <c r="G730" s="41"/>
      <c r="H730" s="41"/>
      <c r="I730" s="41"/>
      <c r="J730" s="41"/>
      <c r="K730" s="41"/>
      <c r="L730" s="41"/>
      <c r="M730" s="41"/>
      <c r="N730" s="41"/>
      <c r="O730" s="41"/>
      <c r="P730" s="41"/>
      <c r="Q730" s="64"/>
      <c r="R730" s="41"/>
      <c r="S730" s="41"/>
      <c r="T730" s="41"/>
      <c r="U730" s="41"/>
      <c r="V730" s="41"/>
      <c r="W730" s="41"/>
      <c r="X730" s="41"/>
      <c r="Y730" s="41"/>
      <c r="Z730" s="41"/>
      <c r="AA730" s="41"/>
    </row>
    <row r="731" spans="1:27" ht="15.75" hidden="1" customHeight="1" x14ac:dyDescent="0.25">
      <c r="A731" s="51"/>
      <c r="B731" s="41"/>
      <c r="C731" s="41"/>
      <c r="D731" s="41"/>
      <c r="E731" s="41"/>
      <c r="F731" s="41"/>
      <c r="G731" s="41"/>
      <c r="H731" s="41"/>
      <c r="I731" s="41"/>
      <c r="J731" s="41"/>
      <c r="K731" s="41"/>
      <c r="L731" s="41"/>
      <c r="M731" s="41"/>
      <c r="N731" s="41"/>
      <c r="O731" s="41"/>
      <c r="P731" s="41"/>
      <c r="Q731" s="64"/>
      <c r="R731" s="41"/>
      <c r="S731" s="41"/>
      <c r="T731" s="41"/>
      <c r="U731" s="41"/>
      <c r="V731" s="41"/>
      <c r="W731" s="41"/>
      <c r="X731" s="41"/>
      <c r="Y731" s="41"/>
      <c r="Z731" s="41"/>
      <c r="AA731" s="41"/>
    </row>
    <row r="732" spans="1:27" ht="15.75" hidden="1" customHeight="1" x14ac:dyDescent="0.25">
      <c r="A732" s="51"/>
      <c r="B732" s="41"/>
      <c r="C732" s="41"/>
      <c r="D732" s="41"/>
      <c r="E732" s="41"/>
      <c r="F732" s="41"/>
      <c r="G732" s="41"/>
      <c r="H732" s="41"/>
      <c r="I732" s="41"/>
      <c r="J732" s="41"/>
      <c r="K732" s="41"/>
      <c r="L732" s="41"/>
      <c r="M732" s="41"/>
      <c r="N732" s="41"/>
      <c r="O732" s="41"/>
      <c r="P732" s="41"/>
      <c r="Q732" s="64"/>
      <c r="R732" s="41"/>
      <c r="S732" s="41"/>
      <c r="T732" s="41"/>
      <c r="U732" s="41"/>
      <c r="V732" s="41"/>
      <c r="W732" s="41"/>
      <c r="X732" s="41"/>
      <c r="Y732" s="41"/>
      <c r="Z732" s="41"/>
      <c r="AA732" s="41"/>
    </row>
    <row r="733" spans="1:27" ht="15.75" hidden="1" customHeight="1" x14ac:dyDescent="0.25">
      <c r="A733" s="51"/>
      <c r="B733" s="41"/>
      <c r="C733" s="41"/>
      <c r="D733" s="41"/>
      <c r="E733" s="41"/>
      <c r="F733" s="41"/>
      <c r="G733" s="41"/>
      <c r="H733" s="41"/>
      <c r="I733" s="41"/>
      <c r="J733" s="41"/>
      <c r="K733" s="41"/>
      <c r="L733" s="41"/>
      <c r="M733" s="41"/>
      <c r="N733" s="41"/>
      <c r="O733" s="41"/>
      <c r="P733" s="41"/>
      <c r="Q733" s="64"/>
      <c r="R733" s="41"/>
      <c r="S733" s="41"/>
      <c r="T733" s="41"/>
      <c r="U733" s="41"/>
      <c r="V733" s="41"/>
      <c r="W733" s="41"/>
      <c r="X733" s="41"/>
      <c r="Y733" s="41"/>
      <c r="Z733" s="41"/>
      <c r="AA733" s="41"/>
    </row>
    <row r="734" spans="1:27" ht="15.75" hidden="1" customHeight="1" x14ac:dyDescent="0.25">
      <c r="A734" s="51"/>
      <c r="B734" s="41"/>
      <c r="C734" s="41"/>
      <c r="D734" s="41"/>
      <c r="E734" s="41"/>
      <c r="F734" s="41"/>
      <c r="G734" s="41"/>
      <c r="H734" s="41"/>
      <c r="I734" s="41"/>
      <c r="J734" s="41"/>
      <c r="K734" s="41"/>
      <c r="L734" s="41"/>
      <c r="M734" s="41"/>
      <c r="N734" s="41"/>
      <c r="O734" s="41"/>
      <c r="P734" s="41"/>
      <c r="Q734" s="64"/>
      <c r="R734" s="41"/>
      <c r="S734" s="41"/>
      <c r="T734" s="41"/>
      <c r="U734" s="41"/>
      <c r="V734" s="41"/>
      <c r="W734" s="41"/>
      <c r="X734" s="41"/>
      <c r="Y734" s="41"/>
      <c r="Z734" s="41"/>
      <c r="AA734" s="41"/>
    </row>
    <row r="735" spans="1:27" ht="15.75" hidden="1" customHeight="1" x14ac:dyDescent="0.25">
      <c r="A735" s="51"/>
      <c r="B735" s="41"/>
      <c r="C735" s="41"/>
      <c r="D735" s="41"/>
      <c r="E735" s="41"/>
      <c r="F735" s="41"/>
      <c r="G735" s="41"/>
      <c r="H735" s="41"/>
      <c r="I735" s="41"/>
      <c r="J735" s="41"/>
      <c r="K735" s="41"/>
      <c r="L735" s="41"/>
      <c r="M735" s="41"/>
      <c r="N735" s="41"/>
      <c r="O735" s="41"/>
      <c r="P735" s="41"/>
      <c r="Q735" s="64"/>
      <c r="R735" s="41"/>
      <c r="S735" s="41"/>
      <c r="T735" s="41"/>
      <c r="U735" s="41"/>
      <c r="V735" s="41"/>
      <c r="W735" s="41"/>
      <c r="X735" s="41"/>
      <c r="Y735" s="41"/>
      <c r="Z735" s="41"/>
      <c r="AA735" s="41"/>
    </row>
    <row r="736" spans="1:27" ht="15.75" hidden="1" customHeight="1" x14ac:dyDescent="0.25">
      <c r="A736" s="51"/>
      <c r="B736" s="41"/>
      <c r="C736" s="41"/>
      <c r="D736" s="41"/>
      <c r="E736" s="41"/>
      <c r="F736" s="41"/>
      <c r="G736" s="41"/>
      <c r="H736" s="41"/>
      <c r="I736" s="41"/>
      <c r="J736" s="41"/>
      <c r="K736" s="41"/>
      <c r="L736" s="41"/>
      <c r="M736" s="41"/>
      <c r="N736" s="41"/>
      <c r="O736" s="41"/>
      <c r="P736" s="41"/>
      <c r="Q736" s="64"/>
      <c r="R736" s="41"/>
      <c r="S736" s="41"/>
      <c r="T736" s="41"/>
      <c r="U736" s="41"/>
      <c r="V736" s="41"/>
      <c r="W736" s="41"/>
      <c r="X736" s="41"/>
      <c r="Y736" s="41"/>
      <c r="Z736" s="41"/>
      <c r="AA736" s="41"/>
    </row>
    <row r="737" spans="1:27" ht="15.75" hidden="1" customHeight="1" x14ac:dyDescent="0.25">
      <c r="A737" s="51"/>
      <c r="B737" s="41"/>
      <c r="C737" s="41"/>
      <c r="D737" s="41"/>
      <c r="E737" s="41"/>
      <c r="F737" s="41"/>
      <c r="G737" s="41"/>
      <c r="H737" s="41"/>
      <c r="I737" s="41"/>
      <c r="J737" s="41"/>
      <c r="K737" s="41"/>
      <c r="L737" s="41"/>
      <c r="M737" s="41"/>
      <c r="N737" s="41"/>
      <c r="O737" s="41"/>
      <c r="P737" s="41"/>
      <c r="Q737" s="64"/>
      <c r="R737" s="41"/>
      <c r="S737" s="41"/>
      <c r="T737" s="41"/>
      <c r="U737" s="41"/>
      <c r="V737" s="41"/>
      <c r="W737" s="41"/>
      <c r="X737" s="41"/>
      <c r="Y737" s="41"/>
      <c r="Z737" s="41"/>
      <c r="AA737" s="41"/>
    </row>
    <row r="738" spans="1:27" ht="15.75" hidden="1" customHeight="1" x14ac:dyDescent="0.25">
      <c r="A738" s="51"/>
      <c r="B738" s="41"/>
      <c r="C738" s="41"/>
      <c r="D738" s="41"/>
      <c r="E738" s="41"/>
      <c r="F738" s="41"/>
      <c r="G738" s="41"/>
      <c r="H738" s="41"/>
      <c r="I738" s="41"/>
      <c r="J738" s="41"/>
      <c r="K738" s="41"/>
      <c r="L738" s="41"/>
      <c r="M738" s="41"/>
      <c r="N738" s="41"/>
      <c r="O738" s="41"/>
      <c r="P738" s="41"/>
      <c r="Q738" s="64"/>
      <c r="R738" s="41"/>
      <c r="S738" s="41"/>
      <c r="T738" s="41"/>
      <c r="U738" s="41"/>
      <c r="V738" s="41"/>
      <c r="W738" s="41"/>
      <c r="X738" s="41"/>
      <c r="Y738" s="41"/>
      <c r="Z738" s="41"/>
      <c r="AA738" s="41"/>
    </row>
    <row r="739" spans="1:27" ht="15.75" hidden="1" customHeight="1" x14ac:dyDescent="0.25">
      <c r="A739" s="51"/>
      <c r="B739" s="41"/>
      <c r="C739" s="41"/>
      <c r="D739" s="41"/>
      <c r="E739" s="41"/>
      <c r="F739" s="41"/>
      <c r="G739" s="41"/>
      <c r="H739" s="41"/>
      <c r="I739" s="41"/>
      <c r="J739" s="41"/>
      <c r="K739" s="41"/>
      <c r="L739" s="41"/>
      <c r="M739" s="41"/>
      <c r="N739" s="41"/>
      <c r="O739" s="41"/>
      <c r="P739" s="41"/>
      <c r="Q739" s="64"/>
      <c r="R739" s="41"/>
      <c r="S739" s="41"/>
      <c r="T739" s="41"/>
      <c r="U739" s="41"/>
      <c r="V739" s="41"/>
      <c r="W739" s="41"/>
      <c r="X739" s="41"/>
      <c r="Y739" s="41"/>
      <c r="Z739" s="41"/>
      <c r="AA739" s="41"/>
    </row>
    <row r="740" spans="1:27" ht="15.75" hidden="1" customHeight="1" x14ac:dyDescent="0.25">
      <c r="A740" s="51"/>
      <c r="B740" s="41"/>
      <c r="C740" s="41"/>
      <c r="D740" s="41"/>
      <c r="E740" s="41"/>
      <c r="F740" s="41"/>
      <c r="G740" s="41"/>
      <c r="H740" s="41"/>
      <c r="I740" s="41"/>
      <c r="J740" s="41"/>
      <c r="K740" s="41"/>
      <c r="L740" s="41"/>
      <c r="M740" s="41"/>
      <c r="N740" s="41"/>
      <c r="O740" s="41"/>
      <c r="P740" s="41"/>
      <c r="Q740" s="64"/>
      <c r="R740" s="41"/>
      <c r="S740" s="41"/>
      <c r="T740" s="41"/>
      <c r="U740" s="41"/>
      <c r="V740" s="41"/>
      <c r="W740" s="41"/>
      <c r="X740" s="41"/>
      <c r="Y740" s="41"/>
      <c r="Z740" s="41"/>
      <c r="AA740" s="41"/>
    </row>
    <row r="741" spans="1:27" ht="15.75" hidden="1" customHeight="1" x14ac:dyDescent="0.25">
      <c r="A741" s="51"/>
      <c r="B741" s="41"/>
      <c r="C741" s="41"/>
      <c r="D741" s="41"/>
      <c r="E741" s="41"/>
      <c r="F741" s="41"/>
      <c r="G741" s="41"/>
      <c r="H741" s="41"/>
      <c r="I741" s="41"/>
      <c r="J741" s="41"/>
      <c r="K741" s="41"/>
      <c r="L741" s="41"/>
      <c r="M741" s="41"/>
      <c r="N741" s="41"/>
      <c r="O741" s="41"/>
      <c r="P741" s="41"/>
      <c r="Q741" s="64"/>
      <c r="R741" s="41"/>
      <c r="S741" s="41"/>
      <c r="T741" s="41"/>
      <c r="U741" s="41"/>
      <c r="V741" s="41"/>
      <c r="W741" s="41"/>
      <c r="X741" s="41"/>
      <c r="Y741" s="41"/>
      <c r="Z741" s="41"/>
      <c r="AA741" s="41"/>
    </row>
    <row r="742" spans="1:27" ht="15.75" hidden="1" customHeight="1" x14ac:dyDescent="0.25">
      <c r="A742" s="51"/>
      <c r="B742" s="41"/>
      <c r="C742" s="41"/>
      <c r="D742" s="41"/>
      <c r="E742" s="41"/>
      <c r="F742" s="41"/>
      <c r="G742" s="41"/>
      <c r="H742" s="41"/>
      <c r="I742" s="41"/>
      <c r="J742" s="41"/>
      <c r="K742" s="41"/>
      <c r="L742" s="41"/>
      <c r="M742" s="41"/>
      <c r="N742" s="41"/>
      <c r="O742" s="41"/>
      <c r="P742" s="41"/>
      <c r="Q742" s="64"/>
      <c r="R742" s="41"/>
      <c r="S742" s="41"/>
      <c r="T742" s="41"/>
      <c r="U742" s="41"/>
      <c r="V742" s="41"/>
      <c r="W742" s="41"/>
      <c r="X742" s="41"/>
      <c r="Y742" s="41"/>
      <c r="Z742" s="41"/>
      <c r="AA742" s="41"/>
    </row>
    <row r="743" spans="1:27" ht="15.75" hidden="1" customHeight="1" x14ac:dyDescent="0.25">
      <c r="A743" s="51"/>
      <c r="B743" s="41"/>
      <c r="C743" s="41"/>
      <c r="D743" s="41"/>
      <c r="E743" s="41"/>
      <c r="F743" s="41"/>
      <c r="G743" s="41"/>
      <c r="H743" s="41"/>
      <c r="I743" s="41"/>
      <c r="J743" s="41"/>
      <c r="K743" s="41"/>
      <c r="L743" s="41"/>
      <c r="M743" s="41"/>
      <c r="N743" s="41"/>
      <c r="O743" s="41"/>
      <c r="P743" s="41"/>
      <c r="Q743" s="64"/>
      <c r="R743" s="41"/>
      <c r="S743" s="41"/>
      <c r="T743" s="41"/>
      <c r="U743" s="41"/>
      <c r="V743" s="41"/>
      <c r="W743" s="41"/>
      <c r="X743" s="41"/>
      <c r="Y743" s="41"/>
      <c r="Z743" s="41"/>
      <c r="AA743" s="41"/>
    </row>
    <row r="744" spans="1:27" ht="15.75" hidden="1" customHeight="1" x14ac:dyDescent="0.25">
      <c r="A744" s="51"/>
      <c r="B744" s="41"/>
      <c r="C744" s="41"/>
      <c r="D744" s="41"/>
      <c r="E744" s="41"/>
      <c r="F744" s="41"/>
      <c r="G744" s="41"/>
      <c r="H744" s="41"/>
      <c r="I744" s="41"/>
      <c r="J744" s="41"/>
      <c r="K744" s="41"/>
      <c r="L744" s="41"/>
      <c r="M744" s="41"/>
      <c r="N744" s="41"/>
      <c r="O744" s="41"/>
      <c r="P744" s="41"/>
      <c r="Q744" s="64"/>
      <c r="R744" s="41"/>
      <c r="S744" s="41"/>
      <c r="T744" s="41"/>
      <c r="U744" s="41"/>
      <c r="V744" s="41"/>
      <c r="W744" s="41"/>
      <c r="X744" s="41"/>
      <c r="Y744" s="41"/>
      <c r="Z744" s="41"/>
      <c r="AA744" s="41"/>
    </row>
    <row r="745" spans="1:27" ht="15.75" hidden="1" customHeight="1" x14ac:dyDescent="0.25">
      <c r="A745" s="51"/>
      <c r="B745" s="41"/>
      <c r="C745" s="41"/>
      <c r="D745" s="41"/>
      <c r="E745" s="41"/>
      <c r="F745" s="41"/>
      <c r="G745" s="41"/>
      <c r="H745" s="41"/>
      <c r="I745" s="41"/>
      <c r="J745" s="41"/>
      <c r="K745" s="41"/>
      <c r="L745" s="41"/>
      <c r="M745" s="41"/>
      <c r="N745" s="41"/>
      <c r="O745" s="41"/>
      <c r="P745" s="41"/>
      <c r="Q745" s="64"/>
      <c r="R745" s="41"/>
      <c r="S745" s="41"/>
      <c r="T745" s="41"/>
      <c r="U745" s="41"/>
      <c r="V745" s="41"/>
      <c r="W745" s="41"/>
      <c r="X745" s="41"/>
      <c r="Y745" s="41"/>
      <c r="Z745" s="41"/>
      <c r="AA745" s="41"/>
    </row>
    <row r="746" spans="1:27" ht="15.75" hidden="1" customHeight="1" x14ac:dyDescent="0.25">
      <c r="A746" s="51"/>
      <c r="B746" s="41"/>
      <c r="C746" s="41"/>
      <c r="D746" s="41"/>
      <c r="E746" s="41"/>
      <c r="F746" s="41"/>
      <c r="G746" s="41"/>
      <c r="H746" s="41"/>
      <c r="I746" s="41"/>
      <c r="J746" s="41"/>
      <c r="K746" s="41"/>
      <c r="L746" s="41"/>
      <c r="M746" s="41"/>
      <c r="N746" s="41"/>
      <c r="O746" s="41"/>
      <c r="P746" s="41"/>
      <c r="Q746" s="64"/>
      <c r="R746" s="41"/>
      <c r="S746" s="41"/>
      <c r="T746" s="41"/>
      <c r="U746" s="41"/>
      <c r="V746" s="41"/>
      <c r="W746" s="41"/>
      <c r="X746" s="41"/>
      <c r="Y746" s="41"/>
      <c r="Z746" s="41"/>
      <c r="AA746" s="41"/>
    </row>
    <row r="747" spans="1:27" ht="15.75" hidden="1" customHeight="1" x14ac:dyDescent="0.25">
      <c r="A747" s="51"/>
      <c r="B747" s="41"/>
      <c r="C747" s="41"/>
      <c r="D747" s="41"/>
      <c r="E747" s="41"/>
      <c r="F747" s="41"/>
      <c r="G747" s="41"/>
      <c r="H747" s="41"/>
      <c r="I747" s="41"/>
      <c r="J747" s="41"/>
      <c r="K747" s="41"/>
      <c r="L747" s="41"/>
      <c r="M747" s="41"/>
      <c r="N747" s="41"/>
      <c r="O747" s="41"/>
      <c r="P747" s="41"/>
      <c r="Q747" s="64"/>
      <c r="R747" s="41"/>
      <c r="S747" s="41"/>
      <c r="T747" s="41"/>
      <c r="U747" s="41"/>
      <c r="V747" s="41"/>
      <c r="W747" s="41"/>
      <c r="X747" s="41"/>
      <c r="Y747" s="41"/>
      <c r="Z747" s="41"/>
      <c r="AA747" s="41"/>
    </row>
    <row r="748" spans="1:27" ht="15.75" hidden="1" customHeight="1" x14ac:dyDescent="0.25">
      <c r="A748" s="51"/>
      <c r="B748" s="41"/>
      <c r="C748" s="41"/>
      <c r="D748" s="41"/>
      <c r="E748" s="41"/>
      <c r="F748" s="41"/>
      <c r="G748" s="41"/>
      <c r="H748" s="41"/>
      <c r="I748" s="41"/>
      <c r="J748" s="41"/>
      <c r="K748" s="41"/>
      <c r="L748" s="41"/>
      <c r="M748" s="41"/>
      <c r="N748" s="41"/>
      <c r="O748" s="41"/>
      <c r="P748" s="41"/>
      <c r="Q748" s="64"/>
      <c r="R748" s="41"/>
      <c r="S748" s="41"/>
      <c r="T748" s="41"/>
      <c r="U748" s="41"/>
      <c r="V748" s="41"/>
      <c r="W748" s="41"/>
      <c r="X748" s="41"/>
      <c r="Y748" s="41"/>
      <c r="Z748" s="41"/>
      <c r="AA748" s="41"/>
    </row>
    <row r="749" spans="1:27" ht="15.75" hidden="1" customHeight="1" x14ac:dyDescent="0.25">
      <c r="A749" s="51"/>
      <c r="B749" s="41"/>
      <c r="C749" s="41"/>
      <c r="D749" s="41"/>
      <c r="E749" s="41"/>
      <c r="F749" s="41"/>
      <c r="G749" s="41"/>
      <c r="H749" s="41"/>
      <c r="I749" s="41"/>
      <c r="J749" s="41"/>
      <c r="K749" s="41"/>
      <c r="L749" s="41"/>
      <c r="M749" s="41"/>
      <c r="N749" s="41"/>
      <c r="O749" s="41"/>
      <c r="P749" s="41"/>
      <c r="Q749" s="64"/>
      <c r="R749" s="41"/>
      <c r="S749" s="41"/>
      <c r="T749" s="41"/>
      <c r="U749" s="41"/>
      <c r="V749" s="41"/>
      <c r="W749" s="41"/>
      <c r="X749" s="41"/>
      <c r="Y749" s="41"/>
      <c r="Z749" s="41"/>
      <c r="AA749" s="41"/>
    </row>
    <row r="750" spans="1:27" ht="15.75" hidden="1" customHeight="1" x14ac:dyDescent="0.25">
      <c r="A750" s="51"/>
      <c r="B750" s="41"/>
      <c r="C750" s="41"/>
      <c r="D750" s="41"/>
      <c r="E750" s="41"/>
      <c r="F750" s="41"/>
      <c r="G750" s="41"/>
      <c r="H750" s="41"/>
      <c r="I750" s="41"/>
      <c r="J750" s="41"/>
      <c r="K750" s="41"/>
      <c r="L750" s="41"/>
      <c r="M750" s="41"/>
      <c r="N750" s="41"/>
      <c r="O750" s="41"/>
      <c r="P750" s="41"/>
      <c r="Q750" s="64"/>
      <c r="R750" s="41"/>
      <c r="S750" s="41"/>
      <c r="T750" s="41"/>
      <c r="U750" s="41"/>
      <c r="V750" s="41"/>
      <c r="W750" s="41"/>
      <c r="X750" s="41"/>
      <c r="Y750" s="41"/>
      <c r="Z750" s="41"/>
      <c r="AA750" s="41"/>
    </row>
    <row r="751" spans="1:27" ht="15.75" hidden="1" customHeight="1" x14ac:dyDescent="0.25">
      <c r="A751" s="51"/>
      <c r="B751" s="41"/>
      <c r="C751" s="41"/>
      <c r="D751" s="41"/>
      <c r="E751" s="41"/>
      <c r="F751" s="41"/>
      <c r="G751" s="41"/>
      <c r="H751" s="41"/>
      <c r="I751" s="41"/>
      <c r="J751" s="41"/>
      <c r="K751" s="41"/>
      <c r="L751" s="41"/>
      <c r="M751" s="41"/>
      <c r="N751" s="41"/>
      <c r="O751" s="41"/>
      <c r="P751" s="41"/>
      <c r="Q751" s="64"/>
      <c r="R751" s="41"/>
      <c r="S751" s="41"/>
      <c r="T751" s="41"/>
      <c r="U751" s="41"/>
      <c r="V751" s="41"/>
      <c r="W751" s="41"/>
      <c r="X751" s="41"/>
      <c r="Y751" s="41"/>
      <c r="Z751" s="41"/>
      <c r="AA751" s="41"/>
    </row>
    <row r="752" spans="1:27" ht="15.75" hidden="1" customHeight="1" x14ac:dyDescent="0.25">
      <c r="A752" s="51"/>
      <c r="B752" s="41"/>
      <c r="C752" s="41"/>
      <c r="D752" s="41"/>
      <c r="E752" s="41"/>
      <c r="F752" s="41"/>
      <c r="G752" s="41"/>
      <c r="H752" s="41"/>
      <c r="I752" s="41"/>
      <c r="J752" s="41"/>
      <c r="K752" s="41"/>
      <c r="L752" s="41"/>
      <c r="M752" s="41"/>
      <c r="N752" s="41"/>
      <c r="O752" s="41"/>
      <c r="P752" s="41"/>
      <c r="Q752" s="64"/>
      <c r="R752" s="41"/>
      <c r="S752" s="41"/>
      <c r="T752" s="41"/>
      <c r="U752" s="41"/>
      <c r="V752" s="41"/>
      <c r="W752" s="41"/>
      <c r="X752" s="41"/>
      <c r="Y752" s="41"/>
      <c r="Z752" s="41"/>
      <c r="AA752" s="41"/>
    </row>
    <row r="753" spans="1:27" ht="15.75" hidden="1" customHeight="1" x14ac:dyDescent="0.25">
      <c r="A753" s="51"/>
      <c r="B753" s="41"/>
      <c r="C753" s="41"/>
      <c r="D753" s="41"/>
      <c r="E753" s="41"/>
      <c r="F753" s="41"/>
      <c r="G753" s="41"/>
      <c r="H753" s="41"/>
      <c r="I753" s="41"/>
      <c r="J753" s="41"/>
      <c r="K753" s="41"/>
      <c r="L753" s="41"/>
      <c r="M753" s="41"/>
      <c r="N753" s="41"/>
      <c r="O753" s="41"/>
      <c r="P753" s="41"/>
      <c r="Q753" s="64"/>
      <c r="R753" s="41"/>
      <c r="S753" s="41"/>
      <c r="T753" s="41"/>
      <c r="U753" s="41"/>
      <c r="V753" s="41"/>
      <c r="W753" s="41"/>
      <c r="X753" s="41"/>
      <c r="Y753" s="41"/>
      <c r="Z753" s="41"/>
      <c r="AA753" s="41"/>
    </row>
    <row r="754" spans="1:27" ht="15.75" hidden="1" customHeight="1" x14ac:dyDescent="0.25">
      <c r="A754" s="51"/>
      <c r="B754" s="41"/>
      <c r="C754" s="41"/>
      <c r="D754" s="41"/>
      <c r="E754" s="41"/>
      <c r="F754" s="41"/>
      <c r="G754" s="41"/>
      <c r="H754" s="41"/>
      <c r="I754" s="41"/>
      <c r="J754" s="41"/>
      <c r="K754" s="41"/>
      <c r="L754" s="41"/>
      <c r="M754" s="41"/>
      <c r="N754" s="41"/>
      <c r="O754" s="41"/>
      <c r="P754" s="41"/>
      <c r="Q754" s="64"/>
      <c r="R754" s="41"/>
      <c r="S754" s="41"/>
      <c r="T754" s="41"/>
      <c r="U754" s="41"/>
      <c r="V754" s="41"/>
      <c r="W754" s="41"/>
      <c r="X754" s="41"/>
      <c r="Y754" s="41"/>
      <c r="Z754" s="41"/>
      <c r="AA754" s="41"/>
    </row>
    <row r="755" spans="1:27" ht="15.75" hidden="1" customHeight="1" x14ac:dyDescent="0.25">
      <c r="A755" s="51"/>
      <c r="B755" s="41"/>
      <c r="C755" s="41"/>
      <c r="D755" s="41"/>
      <c r="E755" s="41"/>
      <c r="F755" s="41"/>
      <c r="G755" s="41"/>
      <c r="H755" s="41"/>
      <c r="I755" s="41"/>
      <c r="J755" s="41"/>
      <c r="K755" s="41"/>
      <c r="L755" s="41"/>
      <c r="M755" s="41"/>
      <c r="N755" s="41"/>
      <c r="O755" s="41"/>
      <c r="P755" s="41"/>
      <c r="Q755" s="64"/>
      <c r="R755" s="41"/>
      <c r="S755" s="41"/>
      <c r="T755" s="41"/>
      <c r="U755" s="41"/>
      <c r="V755" s="41"/>
      <c r="W755" s="41"/>
      <c r="X755" s="41"/>
      <c r="Y755" s="41"/>
      <c r="Z755" s="41"/>
      <c r="AA755" s="41"/>
    </row>
    <row r="756" spans="1:27" ht="15.75" hidden="1" customHeight="1" x14ac:dyDescent="0.25">
      <c r="A756" s="51"/>
      <c r="B756" s="41"/>
      <c r="C756" s="41"/>
      <c r="D756" s="41"/>
      <c r="E756" s="41"/>
      <c r="F756" s="41"/>
      <c r="G756" s="41"/>
      <c r="H756" s="41"/>
      <c r="I756" s="41"/>
      <c r="J756" s="41"/>
      <c r="K756" s="41"/>
      <c r="L756" s="41"/>
      <c r="M756" s="41"/>
      <c r="N756" s="41"/>
      <c r="O756" s="41"/>
      <c r="P756" s="41"/>
      <c r="Q756" s="64"/>
      <c r="R756" s="41"/>
      <c r="S756" s="41"/>
      <c r="T756" s="41"/>
      <c r="U756" s="41"/>
      <c r="V756" s="41"/>
      <c r="W756" s="41"/>
      <c r="X756" s="41"/>
      <c r="Y756" s="41"/>
      <c r="Z756" s="41"/>
      <c r="AA756" s="41"/>
    </row>
    <row r="757" spans="1:27" ht="15.75" hidden="1" customHeight="1" x14ac:dyDescent="0.25">
      <c r="A757" s="51"/>
      <c r="B757" s="41"/>
      <c r="C757" s="41"/>
      <c r="D757" s="41"/>
      <c r="E757" s="41"/>
      <c r="F757" s="41"/>
      <c r="G757" s="41"/>
      <c r="H757" s="41"/>
      <c r="I757" s="41"/>
      <c r="J757" s="41"/>
      <c r="K757" s="41"/>
      <c r="L757" s="41"/>
      <c r="M757" s="41"/>
      <c r="N757" s="41"/>
      <c r="O757" s="41"/>
      <c r="P757" s="41"/>
      <c r="Q757" s="64"/>
      <c r="R757" s="41"/>
      <c r="S757" s="41"/>
      <c r="T757" s="41"/>
      <c r="U757" s="41"/>
      <c r="V757" s="41"/>
      <c r="W757" s="41"/>
      <c r="X757" s="41"/>
      <c r="Y757" s="41"/>
      <c r="Z757" s="41"/>
      <c r="AA757" s="41"/>
    </row>
    <row r="758" spans="1:27" ht="15.75" hidden="1" customHeight="1" x14ac:dyDescent="0.25">
      <c r="A758" s="51"/>
      <c r="B758" s="41"/>
      <c r="C758" s="41"/>
      <c r="D758" s="41"/>
      <c r="E758" s="41"/>
      <c r="F758" s="41"/>
      <c r="G758" s="41"/>
      <c r="H758" s="41"/>
      <c r="I758" s="41"/>
      <c r="J758" s="41"/>
      <c r="K758" s="41"/>
      <c r="L758" s="41"/>
      <c r="M758" s="41"/>
      <c r="N758" s="41"/>
      <c r="O758" s="41"/>
      <c r="P758" s="41"/>
      <c r="Q758" s="64"/>
      <c r="R758" s="41"/>
      <c r="S758" s="41"/>
      <c r="T758" s="41"/>
      <c r="U758" s="41"/>
      <c r="V758" s="41"/>
      <c r="W758" s="41"/>
      <c r="X758" s="41"/>
      <c r="Y758" s="41"/>
      <c r="Z758" s="41"/>
      <c r="AA758" s="41"/>
    </row>
    <row r="759" spans="1:27" ht="15.75" hidden="1" customHeight="1" x14ac:dyDescent="0.25">
      <c r="A759" s="51"/>
      <c r="B759" s="41"/>
      <c r="C759" s="41"/>
      <c r="D759" s="41"/>
      <c r="E759" s="41"/>
      <c r="F759" s="41"/>
      <c r="G759" s="41"/>
      <c r="H759" s="41"/>
      <c r="I759" s="41"/>
      <c r="J759" s="41"/>
      <c r="K759" s="41"/>
      <c r="L759" s="41"/>
      <c r="M759" s="41"/>
      <c r="N759" s="41"/>
      <c r="O759" s="41"/>
      <c r="P759" s="41"/>
      <c r="Q759" s="64"/>
      <c r="R759" s="41"/>
      <c r="S759" s="41"/>
      <c r="T759" s="41"/>
      <c r="U759" s="41"/>
      <c r="V759" s="41"/>
      <c r="W759" s="41"/>
      <c r="X759" s="41"/>
      <c r="Y759" s="41"/>
      <c r="Z759" s="41"/>
      <c r="AA759" s="41"/>
    </row>
    <row r="760" spans="1:27" ht="15.75" hidden="1" customHeight="1" x14ac:dyDescent="0.25">
      <c r="A760" s="51"/>
      <c r="B760" s="41"/>
      <c r="C760" s="41"/>
      <c r="D760" s="41"/>
      <c r="E760" s="41"/>
      <c r="F760" s="41"/>
      <c r="G760" s="41"/>
      <c r="H760" s="41"/>
      <c r="I760" s="41"/>
      <c r="J760" s="41"/>
      <c r="K760" s="41"/>
      <c r="L760" s="41"/>
      <c r="M760" s="41"/>
      <c r="N760" s="41"/>
      <c r="O760" s="41"/>
      <c r="P760" s="41"/>
      <c r="Q760" s="64"/>
      <c r="R760" s="41"/>
      <c r="S760" s="41"/>
      <c r="T760" s="41"/>
      <c r="U760" s="41"/>
      <c r="V760" s="41"/>
      <c r="W760" s="41"/>
      <c r="X760" s="41"/>
      <c r="Y760" s="41"/>
      <c r="Z760" s="41"/>
      <c r="AA760" s="41"/>
    </row>
    <row r="761" spans="1:27" ht="15.75" hidden="1" customHeight="1" x14ac:dyDescent="0.25">
      <c r="A761" s="51"/>
      <c r="B761" s="41"/>
      <c r="C761" s="41"/>
      <c r="D761" s="41"/>
      <c r="E761" s="41"/>
      <c r="F761" s="41"/>
      <c r="G761" s="41"/>
      <c r="H761" s="41"/>
      <c r="I761" s="41"/>
      <c r="J761" s="41"/>
      <c r="K761" s="41"/>
      <c r="L761" s="41"/>
      <c r="M761" s="41"/>
      <c r="N761" s="41"/>
      <c r="O761" s="41"/>
      <c r="P761" s="41"/>
      <c r="Q761" s="64"/>
      <c r="R761" s="41"/>
      <c r="S761" s="41"/>
      <c r="T761" s="41"/>
      <c r="U761" s="41"/>
      <c r="V761" s="41"/>
      <c r="W761" s="41"/>
      <c r="X761" s="41"/>
      <c r="Y761" s="41"/>
      <c r="Z761" s="41"/>
      <c r="AA761" s="41"/>
    </row>
    <row r="762" spans="1:27" ht="15.75" hidden="1" customHeight="1" x14ac:dyDescent="0.25">
      <c r="A762" s="51"/>
      <c r="B762" s="41"/>
      <c r="C762" s="41"/>
      <c r="D762" s="41"/>
      <c r="E762" s="41"/>
      <c r="F762" s="41"/>
      <c r="G762" s="41"/>
      <c r="H762" s="41"/>
      <c r="I762" s="41"/>
      <c r="J762" s="41"/>
      <c r="K762" s="41"/>
      <c r="L762" s="41"/>
      <c r="M762" s="41"/>
      <c r="N762" s="41"/>
      <c r="O762" s="41"/>
      <c r="P762" s="41"/>
      <c r="Q762" s="64"/>
      <c r="R762" s="41"/>
      <c r="S762" s="41"/>
      <c r="T762" s="41"/>
      <c r="U762" s="41"/>
      <c r="V762" s="41"/>
      <c r="W762" s="41"/>
      <c r="X762" s="41"/>
      <c r="Y762" s="41"/>
      <c r="Z762" s="41"/>
      <c r="AA762" s="41"/>
    </row>
    <row r="763" spans="1:27" ht="15.75" hidden="1" customHeight="1" x14ac:dyDescent="0.25">
      <c r="A763" s="51"/>
      <c r="B763" s="41"/>
      <c r="C763" s="41"/>
      <c r="D763" s="41"/>
      <c r="E763" s="41"/>
      <c r="F763" s="41"/>
      <c r="G763" s="41"/>
      <c r="H763" s="41"/>
      <c r="I763" s="41"/>
      <c r="J763" s="41"/>
      <c r="K763" s="41"/>
      <c r="L763" s="41"/>
      <c r="M763" s="41"/>
      <c r="N763" s="41"/>
      <c r="O763" s="41"/>
      <c r="P763" s="41"/>
      <c r="Q763" s="64"/>
      <c r="R763" s="41"/>
      <c r="S763" s="41"/>
      <c r="T763" s="41"/>
      <c r="U763" s="41"/>
      <c r="V763" s="41"/>
      <c r="W763" s="41"/>
      <c r="X763" s="41"/>
      <c r="Y763" s="41"/>
      <c r="Z763" s="41"/>
      <c r="AA763" s="41"/>
    </row>
    <row r="764" spans="1:27" ht="15.75" hidden="1" customHeight="1" x14ac:dyDescent="0.25">
      <c r="A764" s="51"/>
      <c r="B764" s="41"/>
      <c r="C764" s="41"/>
      <c r="D764" s="41"/>
      <c r="E764" s="41"/>
      <c r="F764" s="41"/>
      <c r="G764" s="41"/>
      <c r="H764" s="41"/>
      <c r="I764" s="41"/>
      <c r="J764" s="41"/>
      <c r="K764" s="41"/>
      <c r="L764" s="41"/>
      <c r="M764" s="41"/>
      <c r="N764" s="41"/>
      <c r="O764" s="41"/>
      <c r="P764" s="41"/>
      <c r="Q764" s="64"/>
      <c r="R764" s="41"/>
      <c r="S764" s="41"/>
      <c r="T764" s="41"/>
      <c r="U764" s="41"/>
      <c r="V764" s="41"/>
      <c r="W764" s="41"/>
      <c r="X764" s="41"/>
      <c r="Y764" s="41"/>
      <c r="Z764" s="41"/>
      <c r="AA764" s="41"/>
    </row>
    <row r="765" spans="1:27" ht="15.75" hidden="1" customHeight="1" x14ac:dyDescent="0.25">
      <c r="A765" s="51"/>
      <c r="B765" s="41"/>
      <c r="C765" s="41"/>
      <c r="D765" s="41"/>
      <c r="E765" s="41"/>
      <c r="F765" s="41"/>
      <c r="G765" s="41"/>
      <c r="H765" s="41"/>
      <c r="I765" s="41"/>
      <c r="J765" s="41"/>
      <c r="K765" s="41"/>
      <c r="L765" s="41"/>
      <c r="M765" s="41"/>
      <c r="N765" s="41"/>
      <c r="O765" s="41"/>
      <c r="P765" s="41"/>
      <c r="Q765" s="64"/>
      <c r="R765" s="41"/>
      <c r="S765" s="41"/>
      <c r="T765" s="41"/>
      <c r="U765" s="41"/>
      <c r="V765" s="41"/>
      <c r="W765" s="41"/>
      <c r="X765" s="41"/>
      <c r="Y765" s="41"/>
      <c r="Z765" s="41"/>
      <c r="AA765" s="41"/>
    </row>
    <row r="766" spans="1:27" ht="15.75" hidden="1" customHeight="1" x14ac:dyDescent="0.25">
      <c r="A766" s="51"/>
      <c r="B766" s="41"/>
      <c r="C766" s="41"/>
      <c r="D766" s="41"/>
      <c r="E766" s="41"/>
      <c r="F766" s="41"/>
      <c r="G766" s="41"/>
      <c r="H766" s="41"/>
      <c r="I766" s="41"/>
      <c r="J766" s="41"/>
      <c r="K766" s="41"/>
      <c r="L766" s="41"/>
      <c r="M766" s="41"/>
      <c r="N766" s="41"/>
      <c r="O766" s="41"/>
      <c r="P766" s="41"/>
      <c r="Q766" s="64"/>
      <c r="R766" s="41"/>
      <c r="S766" s="41"/>
      <c r="T766" s="41"/>
      <c r="U766" s="41"/>
      <c r="V766" s="41"/>
      <c r="W766" s="41"/>
      <c r="X766" s="41"/>
      <c r="Y766" s="41"/>
      <c r="Z766" s="41"/>
      <c r="AA766" s="41"/>
    </row>
    <row r="767" spans="1:27" ht="15.75" hidden="1" customHeight="1" x14ac:dyDescent="0.25">
      <c r="A767" s="51"/>
      <c r="B767" s="41"/>
      <c r="C767" s="41"/>
      <c r="D767" s="41"/>
      <c r="E767" s="41"/>
      <c r="F767" s="41"/>
      <c r="G767" s="41"/>
      <c r="H767" s="41"/>
      <c r="I767" s="41"/>
      <c r="J767" s="41"/>
      <c r="K767" s="41"/>
      <c r="L767" s="41"/>
      <c r="M767" s="41"/>
      <c r="N767" s="41"/>
      <c r="O767" s="41"/>
      <c r="P767" s="41"/>
      <c r="Q767" s="64"/>
      <c r="R767" s="41"/>
      <c r="S767" s="41"/>
      <c r="T767" s="41"/>
      <c r="U767" s="41"/>
      <c r="V767" s="41"/>
      <c r="W767" s="41"/>
      <c r="X767" s="41"/>
      <c r="Y767" s="41"/>
      <c r="Z767" s="41"/>
      <c r="AA767" s="41"/>
    </row>
    <row r="768" spans="1:27" ht="15.75" hidden="1" customHeight="1" x14ac:dyDescent="0.25">
      <c r="A768" s="51"/>
      <c r="B768" s="41"/>
      <c r="C768" s="41"/>
      <c r="D768" s="41"/>
      <c r="E768" s="41"/>
      <c r="F768" s="41"/>
      <c r="G768" s="41"/>
      <c r="H768" s="41"/>
      <c r="I768" s="41"/>
      <c r="J768" s="41"/>
      <c r="K768" s="41"/>
      <c r="L768" s="41"/>
      <c r="M768" s="41"/>
      <c r="N768" s="41"/>
      <c r="O768" s="41"/>
      <c r="P768" s="41"/>
      <c r="Q768" s="64"/>
      <c r="R768" s="41"/>
      <c r="S768" s="41"/>
      <c r="T768" s="41"/>
      <c r="U768" s="41"/>
      <c r="V768" s="41"/>
      <c r="W768" s="41"/>
      <c r="X768" s="41"/>
      <c r="Y768" s="41"/>
      <c r="Z768" s="41"/>
      <c r="AA768" s="41"/>
    </row>
    <row r="769" spans="1:27" ht="15.75" hidden="1" customHeight="1" x14ac:dyDescent="0.25">
      <c r="A769" s="51"/>
      <c r="B769" s="41"/>
      <c r="C769" s="41"/>
      <c r="D769" s="41"/>
      <c r="E769" s="41"/>
      <c r="F769" s="41"/>
      <c r="G769" s="41"/>
      <c r="H769" s="41"/>
      <c r="I769" s="41"/>
      <c r="J769" s="41"/>
      <c r="K769" s="41"/>
      <c r="L769" s="41"/>
      <c r="M769" s="41"/>
      <c r="N769" s="41"/>
      <c r="O769" s="41"/>
      <c r="P769" s="41"/>
      <c r="Q769" s="64"/>
      <c r="R769" s="41"/>
      <c r="S769" s="41"/>
      <c r="T769" s="41"/>
      <c r="U769" s="41"/>
      <c r="V769" s="41"/>
      <c r="W769" s="41"/>
      <c r="X769" s="41"/>
      <c r="Y769" s="41"/>
      <c r="Z769" s="41"/>
      <c r="AA769" s="41"/>
    </row>
    <row r="770" spans="1:27" ht="15.75" hidden="1" customHeight="1" x14ac:dyDescent="0.25">
      <c r="A770" s="51"/>
      <c r="B770" s="41"/>
      <c r="C770" s="41"/>
      <c r="D770" s="41"/>
      <c r="E770" s="41"/>
      <c r="F770" s="41"/>
      <c r="G770" s="41"/>
      <c r="H770" s="41"/>
      <c r="I770" s="41"/>
      <c r="J770" s="41"/>
      <c r="K770" s="41"/>
      <c r="L770" s="41"/>
      <c r="M770" s="41"/>
      <c r="N770" s="41"/>
      <c r="O770" s="41"/>
      <c r="P770" s="41"/>
      <c r="Q770" s="64"/>
      <c r="R770" s="41"/>
      <c r="S770" s="41"/>
      <c r="T770" s="41"/>
      <c r="U770" s="41"/>
      <c r="V770" s="41"/>
      <c r="W770" s="41"/>
      <c r="X770" s="41"/>
      <c r="Y770" s="41"/>
      <c r="Z770" s="41"/>
      <c r="AA770" s="41"/>
    </row>
    <row r="771" spans="1:27" ht="15.75" hidden="1" customHeight="1" x14ac:dyDescent="0.25">
      <c r="A771" s="51"/>
      <c r="B771" s="41"/>
      <c r="C771" s="41"/>
      <c r="D771" s="41"/>
      <c r="E771" s="41"/>
      <c r="F771" s="41"/>
      <c r="G771" s="41"/>
      <c r="H771" s="41"/>
      <c r="I771" s="41"/>
      <c r="J771" s="41"/>
      <c r="K771" s="41"/>
      <c r="L771" s="41"/>
      <c r="M771" s="41"/>
      <c r="N771" s="41"/>
      <c r="O771" s="41"/>
      <c r="P771" s="41"/>
      <c r="Q771" s="64"/>
      <c r="R771" s="41"/>
      <c r="S771" s="41"/>
      <c r="T771" s="41"/>
      <c r="U771" s="41"/>
      <c r="V771" s="41"/>
      <c r="W771" s="41"/>
      <c r="X771" s="41"/>
      <c r="Y771" s="41"/>
      <c r="Z771" s="41"/>
      <c r="AA771" s="41"/>
    </row>
    <row r="772" spans="1:27" ht="15.75" hidden="1" customHeight="1" x14ac:dyDescent="0.25">
      <c r="A772" s="51"/>
      <c r="B772" s="41"/>
      <c r="C772" s="41"/>
      <c r="D772" s="41"/>
      <c r="E772" s="41"/>
      <c r="F772" s="41"/>
      <c r="G772" s="41"/>
      <c r="H772" s="41"/>
      <c r="I772" s="41"/>
      <c r="J772" s="41"/>
      <c r="K772" s="41"/>
      <c r="L772" s="41"/>
      <c r="M772" s="41"/>
      <c r="N772" s="41"/>
      <c r="O772" s="41"/>
      <c r="P772" s="41"/>
      <c r="Q772" s="64"/>
      <c r="R772" s="41"/>
      <c r="S772" s="41"/>
      <c r="T772" s="41"/>
      <c r="U772" s="41"/>
      <c r="V772" s="41"/>
      <c r="W772" s="41"/>
      <c r="X772" s="41"/>
      <c r="Y772" s="41"/>
      <c r="Z772" s="41"/>
      <c r="AA772" s="41"/>
    </row>
    <row r="773" spans="1:27" ht="15.75" hidden="1" customHeight="1" x14ac:dyDescent="0.25">
      <c r="A773" s="51"/>
      <c r="B773" s="41"/>
      <c r="C773" s="41"/>
      <c r="D773" s="41"/>
      <c r="E773" s="41"/>
      <c r="F773" s="41"/>
      <c r="G773" s="41"/>
      <c r="H773" s="41"/>
      <c r="I773" s="41"/>
      <c r="J773" s="41"/>
      <c r="K773" s="41"/>
      <c r="L773" s="41"/>
      <c r="M773" s="41"/>
      <c r="N773" s="41"/>
      <c r="O773" s="41"/>
      <c r="P773" s="41"/>
      <c r="Q773" s="64"/>
      <c r="R773" s="41"/>
      <c r="S773" s="41"/>
      <c r="T773" s="41"/>
      <c r="U773" s="41"/>
      <c r="V773" s="41"/>
      <c r="W773" s="41"/>
      <c r="X773" s="41"/>
      <c r="Y773" s="41"/>
      <c r="Z773" s="41"/>
      <c r="AA773" s="41"/>
    </row>
    <row r="774" spans="1:27" ht="15.75" hidden="1" customHeight="1" x14ac:dyDescent="0.25">
      <c r="A774" s="51"/>
      <c r="B774" s="41"/>
      <c r="C774" s="41"/>
      <c r="D774" s="41"/>
      <c r="E774" s="41"/>
      <c r="F774" s="41"/>
      <c r="G774" s="41"/>
      <c r="H774" s="41"/>
      <c r="I774" s="41"/>
      <c r="J774" s="41"/>
      <c r="K774" s="41"/>
      <c r="L774" s="41"/>
      <c r="M774" s="41"/>
      <c r="N774" s="41"/>
      <c r="O774" s="41"/>
      <c r="P774" s="41"/>
      <c r="Q774" s="64"/>
      <c r="R774" s="41"/>
      <c r="S774" s="41"/>
      <c r="T774" s="41"/>
      <c r="U774" s="41"/>
      <c r="V774" s="41"/>
      <c r="W774" s="41"/>
      <c r="X774" s="41"/>
      <c r="Y774" s="41"/>
      <c r="Z774" s="41"/>
      <c r="AA774" s="41"/>
    </row>
    <row r="775" spans="1:27" ht="15.75" hidden="1" customHeight="1" x14ac:dyDescent="0.25">
      <c r="A775" s="51"/>
      <c r="B775" s="41"/>
      <c r="C775" s="41"/>
      <c r="D775" s="41"/>
      <c r="E775" s="41"/>
      <c r="F775" s="41"/>
      <c r="G775" s="41"/>
      <c r="H775" s="41"/>
      <c r="I775" s="41"/>
      <c r="J775" s="41"/>
      <c r="K775" s="41"/>
      <c r="L775" s="41"/>
      <c r="M775" s="41"/>
      <c r="N775" s="41"/>
      <c r="O775" s="41"/>
      <c r="P775" s="41"/>
      <c r="Q775" s="64"/>
      <c r="R775" s="41"/>
      <c r="S775" s="41"/>
      <c r="T775" s="41"/>
      <c r="U775" s="41"/>
      <c r="V775" s="41"/>
      <c r="W775" s="41"/>
      <c r="X775" s="41"/>
      <c r="Y775" s="41"/>
      <c r="Z775" s="41"/>
      <c r="AA775" s="41"/>
    </row>
    <row r="776" spans="1:27" ht="15.75" hidden="1" customHeight="1" x14ac:dyDescent="0.25">
      <c r="A776" s="51"/>
      <c r="B776" s="41"/>
      <c r="C776" s="41"/>
      <c r="D776" s="41"/>
      <c r="E776" s="41"/>
      <c r="F776" s="41"/>
      <c r="G776" s="41"/>
      <c r="H776" s="41"/>
      <c r="I776" s="41"/>
      <c r="J776" s="41"/>
      <c r="K776" s="41"/>
      <c r="L776" s="41"/>
      <c r="M776" s="41"/>
      <c r="N776" s="41"/>
      <c r="O776" s="41"/>
      <c r="P776" s="41"/>
      <c r="Q776" s="64"/>
      <c r="R776" s="41"/>
      <c r="S776" s="41"/>
      <c r="T776" s="41"/>
      <c r="U776" s="41"/>
      <c r="V776" s="41"/>
      <c r="W776" s="41"/>
      <c r="X776" s="41"/>
      <c r="Y776" s="41"/>
      <c r="Z776" s="41"/>
      <c r="AA776" s="41"/>
    </row>
    <row r="777" spans="1:27" ht="15.75" hidden="1" customHeight="1" x14ac:dyDescent="0.25">
      <c r="A777" s="51"/>
      <c r="B777" s="41"/>
      <c r="C777" s="41"/>
      <c r="D777" s="41"/>
      <c r="E777" s="41"/>
      <c r="F777" s="41"/>
      <c r="G777" s="41"/>
      <c r="H777" s="41"/>
      <c r="I777" s="41"/>
      <c r="J777" s="41"/>
      <c r="K777" s="41"/>
      <c r="L777" s="41"/>
      <c r="M777" s="41"/>
      <c r="N777" s="41"/>
      <c r="O777" s="41"/>
      <c r="P777" s="41"/>
      <c r="Q777" s="64"/>
      <c r="R777" s="41"/>
      <c r="S777" s="41"/>
      <c r="T777" s="41"/>
      <c r="U777" s="41"/>
      <c r="V777" s="41"/>
      <c r="W777" s="41"/>
      <c r="X777" s="41"/>
      <c r="Y777" s="41"/>
      <c r="Z777" s="41"/>
      <c r="AA777" s="41"/>
    </row>
    <row r="778" spans="1:27" ht="15.75" hidden="1" customHeight="1" x14ac:dyDescent="0.25">
      <c r="A778" s="51"/>
      <c r="B778" s="41"/>
      <c r="C778" s="41"/>
      <c r="D778" s="41"/>
      <c r="E778" s="41"/>
      <c r="F778" s="41"/>
      <c r="G778" s="41"/>
      <c r="H778" s="41"/>
      <c r="I778" s="41"/>
      <c r="J778" s="41"/>
      <c r="K778" s="41"/>
      <c r="L778" s="41"/>
      <c r="M778" s="41"/>
      <c r="N778" s="41"/>
      <c r="O778" s="41"/>
      <c r="P778" s="41"/>
      <c r="Q778" s="64"/>
      <c r="R778" s="41"/>
      <c r="S778" s="41"/>
      <c r="T778" s="41"/>
      <c r="U778" s="41"/>
      <c r="V778" s="41"/>
      <c r="W778" s="41"/>
      <c r="X778" s="41"/>
      <c r="Y778" s="41"/>
      <c r="Z778" s="41"/>
      <c r="AA778" s="41"/>
    </row>
    <row r="779" spans="1:27" ht="15.75" hidden="1" customHeight="1" x14ac:dyDescent="0.25">
      <c r="A779" s="51"/>
      <c r="B779" s="41"/>
      <c r="C779" s="41"/>
      <c r="D779" s="41"/>
      <c r="E779" s="41"/>
      <c r="F779" s="41"/>
      <c r="G779" s="41"/>
      <c r="H779" s="41"/>
      <c r="I779" s="41"/>
      <c r="J779" s="41"/>
      <c r="K779" s="41"/>
      <c r="L779" s="41"/>
      <c r="M779" s="41"/>
      <c r="N779" s="41"/>
      <c r="O779" s="41"/>
      <c r="P779" s="41"/>
      <c r="Q779" s="64"/>
      <c r="R779" s="41"/>
      <c r="S779" s="41"/>
      <c r="T779" s="41"/>
      <c r="U779" s="41"/>
      <c r="V779" s="41"/>
      <c r="W779" s="41"/>
      <c r="X779" s="41"/>
      <c r="Y779" s="41"/>
      <c r="Z779" s="41"/>
      <c r="AA779" s="41"/>
    </row>
    <row r="780" spans="1:27" ht="15.75" hidden="1" customHeight="1" x14ac:dyDescent="0.25">
      <c r="A780" s="51"/>
      <c r="B780" s="41"/>
      <c r="C780" s="41"/>
      <c r="D780" s="41"/>
      <c r="E780" s="41"/>
      <c r="F780" s="41"/>
      <c r="G780" s="41"/>
      <c r="H780" s="41"/>
      <c r="I780" s="41"/>
      <c r="J780" s="41"/>
      <c r="K780" s="41"/>
      <c r="L780" s="41"/>
      <c r="M780" s="41"/>
      <c r="N780" s="41"/>
      <c r="O780" s="41"/>
      <c r="P780" s="41"/>
      <c r="Q780" s="64"/>
      <c r="R780" s="41"/>
      <c r="S780" s="41"/>
      <c r="T780" s="41"/>
      <c r="U780" s="41"/>
      <c r="V780" s="41"/>
      <c r="W780" s="41"/>
      <c r="X780" s="41"/>
      <c r="Y780" s="41"/>
      <c r="Z780" s="41"/>
      <c r="AA780" s="41"/>
    </row>
    <row r="781" spans="1:27" ht="15.75" hidden="1" customHeight="1" x14ac:dyDescent="0.25">
      <c r="A781" s="51"/>
      <c r="B781" s="41"/>
      <c r="C781" s="41"/>
      <c r="D781" s="41"/>
      <c r="E781" s="41"/>
      <c r="F781" s="41"/>
      <c r="G781" s="41"/>
      <c r="H781" s="41"/>
      <c r="I781" s="41"/>
      <c r="J781" s="41"/>
      <c r="K781" s="41"/>
      <c r="L781" s="41"/>
      <c r="M781" s="41"/>
      <c r="N781" s="41"/>
      <c r="O781" s="41"/>
      <c r="P781" s="41"/>
      <c r="Q781" s="64"/>
      <c r="R781" s="41"/>
      <c r="S781" s="41"/>
      <c r="T781" s="41"/>
      <c r="U781" s="41"/>
      <c r="V781" s="41"/>
      <c r="W781" s="41"/>
      <c r="X781" s="41"/>
      <c r="Y781" s="41"/>
      <c r="Z781" s="41"/>
      <c r="AA781" s="41"/>
    </row>
    <row r="782" spans="1:27" ht="15.75" hidden="1" customHeight="1" x14ac:dyDescent="0.25">
      <c r="A782" s="51"/>
      <c r="B782" s="41"/>
      <c r="C782" s="41"/>
      <c r="D782" s="41"/>
      <c r="E782" s="41"/>
      <c r="F782" s="41"/>
      <c r="G782" s="41"/>
      <c r="H782" s="41"/>
      <c r="I782" s="41"/>
      <c r="J782" s="41"/>
      <c r="K782" s="41"/>
      <c r="L782" s="41"/>
      <c r="M782" s="41"/>
      <c r="N782" s="41"/>
      <c r="O782" s="41"/>
      <c r="P782" s="41"/>
      <c r="Q782" s="64"/>
      <c r="R782" s="41"/>
      <c r="S782" s="41"/>
      <c r="T782" s="41"/>
      <c r="U782" s="41"/>
      <c r="V782" s="41"/>
      <c r="W782" s="41"/>
      <c r="X782" s="41"/>
      <c r="Y782" s="41"/>
      <c r="Z782" s="41"/>
      <c r="AA782" s="41"/>
    </row>
    <row r="783" spans="1:27" ht="15.75" hidden="1" customHeight="1" x14ac:dyDescent="0.25">
      <c r="A783" s="51"/>
      <c r="B783" s="41"/>
      <c r="C783" s="41"/>
      <c r="D783" s="41"/>
      <c r="E783" s="41"/>
      <c r="F783" s="41"/>
      <c r="G783" s="41"/>
      <c r="H783" s="41"/>
      <c r="I783" s="41"/>
      <c r="J783" s="41"/>
      <c r="K783" s="41"/>
      <c r="L783" s="41"/>
      <c r="M783" s="41"/>
      <c r="N783" s="41"/>
      <c r="O783" s="41"/>
      <c r="P783" s="41"/>
      <c r="Q783" s="64"/>
      <c r="R783" s="41"/>
      <c r="S783" s="41"/>
      <c r="T783" s="41"/>
      <c r="U783" s="41"/>
      <c r="V783" s="41"/>
      <c r="W783" s="41"/>
      <c r="X783" s="41"/>
      <c r="Y783" s="41"/>
      <c r="Z783" s="41"/>
      <c r="AA783" s="41"/>
    </row>
    <row r="784" spans="1:27" ht="15.75" hidden="1" customHeight="1" x14ac:dyDescent="0.25">
      <c r="A784" s="51"/>
      <c r="B784" s="41"/>
      <c r="C784" s="41"/>
      <c r="D784" s="41"/>
      <c r="E784" s="41"/>
      <c r="F784" s="41"/>
      <c r="G784" s="41"/>
      <c r="H784" s="41"/>
      <c r="I784" s="41"/>
      <c r="J784" s="41"/>
      <c r="K784" s="41"/>
      <c r="L784" s="41"/>
      <c r="M784" s="41"/>
      <c r="N784" s="41"/>
      <c r="O784" s="41"/>
      <c r="P784" s="41"/>
      <c r="Q784" s="64"/>
      <c r="R784" s="41"/>
      <c r="S784" s="41"/>
      <c r="T784" s="41"/>
      <c r="U784" s="41"/>
      <c r="V784" s="41"/>
      <c r="W784" s="41"/>
      <c r="X784" s="41"/>
      <c r="Y784" s="41"/>
      <c r="Z784" s="41"/>
      <c r="AA784" s="41"/>
    </row>
    <row r="785" spans="1:27" ht="15.75" hidden="1" customHeight="1" x14ac:dyDescent="0.25">
      <c r="A785" s="51"/>
      <c r="B785" s="41"/>
      <c r="C785" s="41"/>
      <c r="D785" s="41"/>
      <c r="E785" s="41"/>
      <c r="F785" s="41"/>
      <c r="G785" s="41"/>
      <c r="H785" s="41"/>
      <c r="I785" s="41"/>
      <c r="J785" s="41"/>
      <c r="K785" s="41"/>
      <c r="L785" s="41"/>
      <c r="M785" s="41"/>
      <c r="N785" s="41"/>
      <c r="O785" s="41"/>
      <c r="P785" s="41"/>
      <c r="Q785" s="64"/>
      <c r="R785" s="41"/>
      <c r="S785" s="41"/>
      <c r="T785" s="41"/>
      <c r="U785" s="41"/>
      <c r="V785" s="41"/>
      <c r="W785" s="41"/>
      <c r="X785" s="41"/>
      <c r="Y785" s="41"/>
      <c r="Z785" s="41"/>
      <c r="AA785" s="41"/>
    </row>
    <row r="786" spans="1:27" ht="15.75" hidden="1" customHeight="1" x14ac:dyDescent="0.25">
      <c r="A786" s="51"/>
      <c r="B786" s="41"/>
      <c r="C786" s="41"/>
      <c r="D786" s="41"/>
      <c r="E786" s="41"/>
      <c r="F786" s="41"/>
      <c r="G786" s="41"/>
      <c r="H786" s="41"/>
      <c r="I786" s="41"/>
      <c r="J786" s="41"/>
      <c r="K786" s="41"/>
      <c r="L786" s="41"/>
      <c r="M786" s="41"/>
      <c r="N786" s="41"/>
      <c r="O786" s="41"/>
      <c r="P786" s="41"/>
      <c r="Q786" s="64"/>
      <c r="R786" s="41"/>
      <c r="S786" s="41"/>
      <c r="T786" s="41"/>
      <c r="U786" s="41"/>
      <c r="V786" s="41"/>
      <c r="W786" s="41"/>
      <c r="X786" s="41"/>
      <c r="Y786" s="41"/>
      <c r="Z786" s="41"/>
      <c r="AA786" s="41"/>
    </row>
    <row r="787" spans="1:27" ht="15.75" hidden="1" customHeight="1" x14ac:dyDescent="0.25">
      <c r="A787" s="51"/>
      <c r="B787" s="41"/>
      <c r="C787" s="41"/>
      <c r="D787" s="41"/>
      <c r="E787" s="41"/>
      <c r="F787" s="41"/>
      <c r="G787" s="41"/>
      <c r="H787" s="41"/>
      <c r="I787" s="41"/>
      <c r="J787" s="41"/>
      <c r="K787" s="41"/>
      <c r="L787" s="41"/>
      <c r="M787" s="41"/>
      <c r="N787" s="41"/>
      <c r="O787" s="41"/>
      <c r="P787" s="41"/>
      <c r="Q787" s="64"/>
      <c r="R787" s="41"/>
      <c r="S787" s="41"/>
      <c r="T787" s="41"/>
      <c r="U787" s="41"/>
      <c r="V787" s="41"/>
      <c r="W787" s="41"/>
      <c r="X787" s="41"/>
      <c r="Y787" s="41"/>
      <c r="Z787" s="41"/>
      <c r="AA787" s="41"/>
    </row>
    <row r="788" spans="1:27" ht="15.75" hidden="1" customHeight="1" x14ac:dyDescent="0.25">
      <c r="A788" s="51"/>
      <c r="B788" s="41"/>
      <c r="C788" s="41"/>
      <c r="D788" s="41"/>
      <c r="E788" s="41"/>
      <c r="F788" s="41"/>
      <c r="G788" s="41"/>
      <c r="H788" s="41"/>
      <c r="I788" s="41"/>
      <c r="J788" s="41"/>
      <c r="K788" s="41"/>
      <c r="L788" s="41"/>
      <c r="M788" s="41"/>
      <c r="N788" s="41"/>
      <c r="O788" s="41"/>
      <c r="P788" s="41"/>
      <c r="Q788" s="64"/>
      <c r="R788" s="41"/>
      <c r="S788" s="41"/>
      <c r="T788" s="41"/>
      <c r="U788" s="41"/>
      <c r="V788" s="41"/>
      <c r="W788" s="41"/>
      <c r="X788" s="41"/>
      <c r="Y788" s="41"/>
      <c r="Z788" s="41"/>
      <c r="AA788" s="41"/>
    </row>
    <row r="789" spans="1:27" ht="15.75" hidden="1" customHeight="1" x14ac:dyDescent="0.25">
      <c r="A789" s="51"/>
      <c r="B789" s="41"/>
      <c r="C789" s="41"/>
      <c r="D789" s="41"/>
      <c r="E789" s="41"/>
      <c r="F789" s="41"/>
      <c r="G789" s="41"/>
      <c r="H789" s="41"/>
      <c r="I789" s="41"/>
      <c r="J789" s="41"/>
      <c r="K789" s="41"/>
      <c r="L789" s="41"/>
      <c r="M789" s="41"/>
      <c r="N789" s="41"/>
      <c r="O789" s="41"/>
      <c r="P789" s="41"/>
      <c r="Q789" s="64"/>
      <c r="R789" s="41"/>
      <c r="S789" s="41"/>
      <c r="T789" s="41"/>
      <c r="U789" s="41"/>
      <c r="V789" s="41"/>
      <c r="W789" s="41"/>
      <c r="X789" s="41"/>
      <c r="Y789" s="41"/>
      <c r="Z789" s="41"/>
      <c r="AA789" s="41"/>
    </row>
    <row r="790" spans="1:27" ht="15.75" hidden="1" customHeight="1" x14ac:dyDescent="0.25">
      <c r="A790" s="51"/>
      <c r="B790" s="41"/>
      <c r="C790" s="41"/>
      <c r="D790" s="41"/>
      <c r="E790" s="41"/>
      <c r="F790" s="41"/>
      <c r="G790" s="41"/>
      <c r="H790" s="41"/>
      <c r="I790" s="41"/>
      <c r="J790" s="41"/>
      <c r="K790" s="41"/>
      <c r="L790" s="41"/>
      <c r="M790" s="41"/>
      <c r="N790" s="41"/>
      <c r="O790" s="41"/>
      <c r="P790" s="41"/>
      <c r="Q790" s="64"/>
      <c r="R790" s="41"/>
      <c r="S790" s="41"/>
      <c r="T790" s="41"/>
      <c r="U790" s="41"/>
      <c r="V790" s="41"/>
      <c r="W790" s="41"/>
      <c r="X790" s="41"/>
      <c r="Y790" s="41"/>
      <c r="Z790" s="41"/>
      <c r="AA790" s="41"/>
    </row>
    <row r="791" spans="1:27" ht="15.75" hidden="1" customHeight="1" x14ac:dyDescent="0.25">
      <c r="A791" s="51"/>
      <c r="B791" s="41"/>
      <c r="C791" s="41"/>
      <c r="D791" s="41"/>
      <c r="E791" s="41"/>
      <c r="F791" s="41"/>
      <c r="G791" s="41"/>
      <c r="H791" s="41"/>
      <c r="I791" s="41"/>
      <c r="J791" s="41"/>
      <c r="K791" s="41"/>
      <c r="L791" s="41"/>
      <c r="M791" s="41"/>
      <c r="N791" s="41"/>
      <c r="O791" s="41"/>
      <c r="P791" s="41"/>
      <c r="Q791" s="64"/>
      <c r="R791" s="41"/>
      <c r="S791" s="41"/>
      <c r="T791" s="41"/>
      <c r="U791" s="41"/>
      <c r="V791" s="41"/>
      <c r="W791" s="41"/>
      <c r="X791" s="41"/>
      <c r="Y791" s="41"/>
      <c r="Z791" s="41"/>
      <c r="AA791" s="41"/>
    </row>
    <row r="792" spans="1:27" ht="15.75" hidden="1" customHeight="1" x14ac:dyDescent="0.25">
      <c r="A792" s="51"/>
      <c r="B792" s="41"/>
      <c r="C792" s="41"/>
      <c r="D792" s="41"/>
      <c r="E792" s="41"/>
      <c r="F792" s="41"/>
      <c r="G792" s="41"/>
      <c r="H792" s="41"/>
      <c r="I792" s="41"/>
      <c r="J792" s="41"/>
      <c r="K792" s="41"/>
      <c r="L792" s="41"/>
      <c r="M792" s="41"/>
      <c r="N792" s="41"/>
      <c r="O792" s="41"/>
      <c r="P792" s="41"/>
      <c r="Q792" s="64"/>
      <c r="R792" s="41"/>
      <c r="S792" s="41"/>
      <c r="T792" s="41"/>
      <c r="U792" s="41"/>
      <c r="V792" s="41"/>
      <c r="W792" s="41"/>
      <c r="X792" s="41"/>
      <c r="Y792" s="41"/>
      <c r="Z792" s="41"/>
      <c r="AA792" s="41"/>
    </row>
    <row r="793" spans="1:27" ht="15.75" hidden="1" customHeight="1" x14ac:dyDescent="0.25">
      <c r="A793" s="51"/>
      <c r="B793" s="41"/>
      <c r="C793" s="41"/>
      <c r="D793" s="41"/>
      <c r="E793" s="41"/>
      <c r="F793" s="41"/>
      <c r="G793" s="41"/>
      <c r="H793" s="41"/>
      <c r="I793" s="41"/>
      <c r="J793" s="41"/>
      <c r="K793" s="41"/>
      <c r="L793" s="41"/>
      <c r="M793" s="41"/>
      <c r="N793" s="41"/>
      <c r="O793" s="41"/>
      <c r="P793" s="41"/>
      <c r="Q793" s="64"/>
      <c r="R793" s="41"/>
      <c r="S793" s="41"/>
      <c r="T793" s="41"/>
      <c r="U793" s="41"/>
      <c r="V793" s="41"/>
      <c r="W793" s="41"/>
      <c r="X793" s="41"/>
      <c r="Y793" s="41"/>
      <c r="Z793" s="41"/>
      <c r="AA793" s="41"/>
    </row>
    <row r="794" spans="1:27" ht="15.75" hidden="1" customHeight="1" x14ac:dyDescent="0.25">
      <c r="A794" s="51"/>
      <c r="B794" s="41"/>
      <c r="C794" s="41"/>
      <c r="D794" s="41"/>
      <c r="E794" s="41"/>
      <c r="F794" s="41"/>
      <c r="G794" s="41"/>
      <c r="H794" s="41"/>
      <c r="I794" s="41"/>
      <c r="J794" s="41"/>
      <c r="K794" s="41"/>
      <c r="L794" s="41"/>
      <c r="M794" s="41"/>
      <c r="N794" s="41"/>
      <c r="O794" s="41"/>
      <c r="P794" s="41"/>
      <c r="Q794" s="64"/>
      <c r="R794" s="41"/>
      <c r="S794" s="41"/>
      <c r="T794" s="41"/>
      <c r="U794" s="41"/>
      <c r="V794" s="41"/>
      <c r="W794" s="41"/>
      <c r="X794" s="41"/>
      <c r="Y794" s="41"/>
      <c r="Z794" s="41"/>
      <c r="AA794" s="41"/>
    </row>
    <row r="795" spans="1:27" ht="15.75" hidden="1" customHeight="1" x14ac:dyDescent="0.25">
      <c r="A795" s="51"/>
      <c r="B795" s="41"/>
      <c r="C795" s="41"/>
      <c r="D795" s="41"/>
      <c r="E795" s="41"/>
      <c r="F795" s="41"/>
      <c r="G795" s="41"/>
      <c r="H795" s="41"/>
      <c r="I795" s="41"/>
      <c r="J795" s="41"/>
      <c r="K795" s="41"/>
      <c r="L795" s="41"/>
      <c r="M795" s="41"/>
      <c r="N795" s="41"/>
      <c r="O795" s="41"/>
      <c r="P795" s="41"/>
      <c r="Q795" s="64"/>
      <c r="R795" s="41"/>
      <c r="S795" s="41"/>
      <c r="T795" s="41"/>
      <c r="U795" s="41"/>
      <c r="V795" s="41"/>
      <c r="W795" s="41"/>
      <c r="X795" s="41"/>
      <c r="Y795" s="41"/>
      <c r="Z795" s="41"/>
      <c r="AA795" s="41"/>
    </row>
    <row r="796" spans="1:27" ht="15.75" hidden="1" customHeight="1" x14ac:dyDescent="0.25">
      <c r="A796" s="51"/>
      <c r="B796" s="41"/>
      <c r="C796" s="41"/>
      <c r="D796" s="41"/>
      <c r="E796" s="41"/>
      <c r="F796" s="41"/>
      <c r="G796" s="41"/>
      <c r="H796" s="41"/>
      <c r="I796" s="41"/>
      <c r="J796" s="41"/>
      <c r="K796" s="41"/>
      <c r="L796" s="41"/>
      <c r="M796" s="41"/>
      <c r="N796" s="41"/>
      <c r="O796" s="41"/>
      <c r="P796" s="41"/>
      <c r="Q796" s="64"/>
      <c r="R796" s="41"/>
      <c r="S796" s="41"/>
      <c r="T796" s="41"/>
      <c r="U796" s="41"/>
      <c r="V796" s="41"/>
      <c r="W796" s="41"/>
      <c r="X796" s="41"/>
      <c r="Y796" s="41"/>
      <c r="Z796" s="41"/>
      <c r="AA796" s="41"/>
    </row>
    <row r="797" spans="1:27" ht="15.75" hidden="1" customHeight="1" x14ac:dyDescent="0.25">
      <c r="A797" s="51"/>
      <c r="B797" s="41"/>
      <c r="C797" s="41"/>
      <c r="D797" s="41"/>
      <c r="E797" s="41"/>
      <c r="F797" s="41"/>
      <c r="G797" s="41"/>
      <c r="H797" s="41"/>
      <c r="I797" s="41"/>
      <c r="J797" s="41"/>
      <c r="K797" s="41"/>
      <c r="L797" s="41"/>
      <c r="M797" s="41"/>
      <c r="N797" s="41"/>
      <c r="O797" s="41"/>
      <c r="P797" s="41"/>
      <c r="Q797" s="64"/>
      <c r="R797" s="41"/>
      <c r="S797" s="41"/>
      <c r="T797" s="41"/>
      <c r="U797" s="41"/>
      <c r="V797" s="41"/>
      <c r="W797" s="41"/>
      <c r="X797" s="41"/>
      <c r="Y797" s="41"/>
      <c r="Z797" s="41"/>
      <c r="AA797" s="41"/>
    </row>
    <row r="798" spans="1:27" ht="15.75" hidden="1" customHeight="1" x14ac:dyDescent="0.25">
      <c r="A798" s="51"/>
      <c r="B798" s="41"/>
      <c r="C798" s="41"/>
      <c r="D798" s="41"/>
      <c r="E798" s="41"/>
      <c r="F798" s="41"/>
      <c r="G798" s="41"/>
      <c r="H798" s="41"/>
      <c r="I798" s="41"/>
      <c r="J798" s="41"/>
      <c r="K798" s="41"/>
      <c r="L798" s="41"/>
      <c r="M798" s="41"/>
      <c r="N798" s="41"/>
      <c r="O798" s="41"/>
      <c r="P798" s="41"/>
      <c r="Q798" s="64"/>
      <c r="R798" s="41"/>
      <c r="S798" s="41"/>
      <c r="T798" s="41"/>
      <c r="U798" s="41"/>
      <c r="V798" s="41"/>
      <c r="W798" s="41"/>
      <c r="X798" s="41"/>
      <c r="Y798" s="41"/>
      <c r="Z798" s="41"/>
      <c r="AA798" s="41"/>
    </row>
    <row r="799" spans="1:27" ht="15.75" hidden="1" customHeight="1" x14ac:dyDescent="0.25">
      <c r="A799" s="51"/>
      <c r="B799" s="41"/>
      <c r="C799" s="41"/>
      <c r="D799" s="41"/>
      <c r="E799" s="41"/>
      <c r="F799" s="41"/>
      <c r="G799" s="41"/>
      <c r="H799" s="41"/>
      <c r="I799" s="41"/>
      <c r="J799" s="41"/>
      <c r="K799" s="41"/>
      <c r="L799" s="41"/>
      <c r="M799" s="41"/>
      <c r="N799" s="41"/>
      <c r="O799" s="41"/>
      <c r="P799" s="41"/>
      <c r="Q799" s="64"/>
      <c r="R799" s="41"/>
      <c r="S799" s="41"/>
      <c r="T799" s="41"/>
      <c r="U799" s="41"/>
      <c r="V799" s="41"/>
      <c r="W799" s="41"/>
      <c r="X799" s="41"/>
      <c r="Y799" s="41"/>
      <c r="Z799" s="41"/>
      <c r="AA799" s="41"/>
    </row>
    <row r="800" spans="1:27" ht="15.75" hidden="1" customHeight="1" x14ac:dyDescent="0.25">
      <c r="A800" s="51"/>
      <c r="B800" s="41"/>
      <c r="C800" s="41"/>
      <c r="D800" s="41"/>
      <c r="E800" s="41"/>
      <c r="F800" s="41"/>
      <c r="G800" s="41"/>
      <c r="H800" s="41"/>
      <c r="I800" s="41"/>
      <c r="J800" s="41"/>
      <c r="K800" s="41"/>
      <c r="L800" s="41"/>
      <c r="M800" s="41"/>
      <c r="N800" s="41"/>
      <c r="O800" s="41"/>
      <c r="P800" s="41"/>
      <c r="Q800" s="64"/>
      <c r="R800" s="41"/>
      <c r="S800" s="41"/>
      <c r="T800" s="41"/>
      <c r="U800" s="41"/>
      <c r="V800" s="41"/>
      <c r="W800" s="41"/>
      <c r="X800" s="41"/>
      <c r="Y800" s="41"/>
      <c r="Z800" s="41"/>
      <c r="AA800" s="41"/>
    </row>
    <row r="801" spans="1:27" ht="15.75" hidden="1" customHeight="1" x14ac:dyDescent="0.25">
      <c r="A801" s="51"/>
      <c r="B801" s="41"/>
      <c r="C801" s="41"/>
      <c r="D801" s="41"/>
      <c r="E801" s="41"/>
      <c r="F801" s="41"/>
      <c r="G801" s="41"/>
      <c r="H801" s="41"/>
      <c r="I801" s="41"/>
      <c r="J801" s="41"/>
      <c r="K801" s="41"/>
      <c r="L801" s="41"/>
      <c r="M801" s="41"/>
      <c r="N801" s="41"/>
      <c r="O801" s="41"/>
      <c r="P801" s="41"/>
      <c r="Q801" s="64"/>
      <c r="R801" s="41"/>
      <c r="S801" s="41"/>
      <c r="T801" s="41"/>
      <c r="U801" s="41"/>
      <c r="V801" s="41"/>
      <c r="W801" s="41"/>
      <c r="X801" s="41"/>
      <c r="Y801" s="41"/>
      <c r="Z801" s="41"/>
      <c r="AA801" s="41"/>
    </row>
    <row r="802" spans="1:27" ht="15.75" hidden="1" customHeight="1" x14ac:dyDescent="0.25">
      <c r="A802" s="51"/>
      <c r="B802" s="41"/>
      <c r="C802" s="41"/>
      <c r="D802" s="41"/>
      <c r="E802" s="41"/>
      <c r="F802" s="41"/>
      <c r="G802" s="41"/>
      <c r="H802" s="41"/>
      <c r="I802" s="41"/>
      <c r="J802" s="41"/>
      <c r="K802" s="41"/>
      <c r="L802" s="41"/>
      <c r="M802" s="41"/>
      <c r="N802" s="41"/>
      <c r="O802" s="41"/>
      <c r="P802" s="41"/>
      <c r="Q802" s="64"/>
      <c r="R802" s="41"/>
      <c r="S802" s="41"/>
      <c r="T802" s="41"/>
      <c r="U802" s="41"/>
      <c r="V802" s="41"/>
      <c r="W802" s="41"/>
      <c r="X802" s="41"/>
      <c r="Y802" s="41"/>
      <c r="Z802" s="41"/>
      <c r="AA802" s="41"/>
    </row>
    <row r="803" spans="1:27" ht="15.75" hidden="1" customHeight="1" x14ac:dyDescent="0.25">
      <c r="A803" s="51"/>
      <c r="B803" s="41"/>
      <c r="C803" s="41"/>
      <c r="D803" s="41"/>
      <c r="E803" s="41"/>
      <c r="F803" s="41"/>
      <c r="G803" s="41"/>
      <c r="H803" s="41"/>
      <c r="I803" s="41"/>
      <c r="J803" s="41"/>
      <c r="K803" s="41"/>
      <c r="L803" s="41"/>
      <c r="M803" s="41"/>
      <c r="N803" s="41"/>
      <c r="O803" s="41"/>
      <c r="P803" s="41"/>
      <c r="Q803" s="64"/>
      <c r="R803" s="41"/>
      <c r="S803" s="41"/>
      <c r="T803" s="41"/>
      <c r="U803" s="41"/>
      <c r="V803" s="41"/>
      <c r="W803" s="41"/>
      <c r="X803" s="41"/>
      <c r="Y803" s="41"/>
      <c r="Z803" s="41"/>
      <c r="AA803" s="41"/>
    </row>
    <row r="804" spans="1:27" ht="15.75" hidden="1" customHeight="1" x14ac:dyDescent="0.25">
      <c r="A804" s="51"/>
      <c r="B804" s="41"/>
      <c r="C804" s="41"/>
      <c r="D804" s="41"/>
      <c r="E804" s="41"/>
      <c r="F804" s="41"/>
      <c r="G804" s="41"/>
      <c r="H804" s="41"/>
      <c r="I804" s="41"/>
      <c r="J804" s="41"/>
      <c r="K804" s="41"/>
      <c r="L804" s="41"/>
      <c r="M804" s="41"/>
      <c r="N804" s="41"/>
      <c r="O804" s="41"/>
      <c r="P804" s="41"/>
      <c r="Q804" s="64"/>
      <c r="R804" s="41"/>
      <c r="S804" s="41"/>
      <c r="T804" s="41"/>
      <c r="U804" s="41"/>
      <c r="V804" s="41"/>
      <c r="W804" s="41"/>
      <c r="X804" s="41"/>
      <c r="Y804" s="41"/>
      <c r="Z804" s="41"/>
      <c r="AA804" s="41"/>
    </row>
    <row r="805" spans="1:27" ht="15.75" hidden="1" customHeight="1" x14ac:dyDescent="0.25">
      <c r="A805" s="51"/>
      <c r="B805" s="41"/>
      <c r="C805" s="41"/>
      <c r="D805" s="41"/>
      <c r="E805" s="41"/>
      <c r="F805" s="41"/>
      <c r="G805" s="41"/>
      <c r="H805" s="41"/>
      <c r="I805" s="41"/>
      <c r="J805" s="41"/>
      <c r="K805" s="41"/>
      <c r="L805" s="41"/>
      <c r="M805" s="41"/>
      <c r="N805" s="41"/>
      <c r="O805" s="41"/>
      <c r="P805" s="41"/>
      <c r="Q805" s="64"/>
      <c r="R805" s="41"/>
      <c r="S805" s="41"/>
      <c r="T805" s="41"/>
      <c r="U805" s="41"/>
      <c r="V805" s="41"/>
      <c r="W805" s="41"/>
      <c r="X805" s="41"/>
      <c r="Y805" s="41"/>
      <c r="Z805" s="41"/>
      <c r="AA805" s="41"/>
    </row>
    <row r="806" spans="1:27" ht="15.75" hidden="1" customHeight="1" x14ac:dyDescent="0.25">
      <c r="A806" s="51"/>
      <c r="B806" s="41"/>
      <c r="C806" s="41"/>
      <c r="D806" s="41"/>
      <c r="E806" s="41"/>
      <c r="F806" s="41"/>
      <c r="G806" s="41"/>
      <c r="H806" s="41"/>
      <c r="I806" s="41"/>
      <c r="J806" s="41"/>
      <c r="K806" s="41"/>
      <c r="L806" s="41"/>
      <c r="M806" s="41"/>
      <c r="N806" s="41"/>
      <c r="O806" s="41"/>
      <c r="P806" s="41"/>
      <c r="Q806" s="64"/>
      <c r="R806" s="41"/>
      <c r="S806" s="41"/>
      <c r="T806" s="41"/>
      <c r="U806" s="41"/>
      <c r="V806" s="41"/>
      <c r="W806" s="41"/>
      <c r="X806" s="41"/>
      <c r="Y806" s="41"/>
      <c r="Z806" s="41"/>
      <c r="AA806" s="41"/>
    </row>
    <row r="807" spans="1:27" ht="15.75" hidden="1" customHeight="1" x14ac:dyDescent="0.25">
      <c r="A807" s="51"/>
      <c r="B807" s="41"/>
      <c r="C807" s="41"/>
      <c r="D807" s="41"/>
      <c r="E807" s="41"/>
      <c r="F807" s="41"/>
      <c r="G807" s="41"/>
      <c r="H807" s="41"/>
      <c r="I807" s="41"/>
      <c r="J807" s="41"/>
      <c r="K807" s="41"/>
      <c r="L807" s="41"/>
      <c r="M807" s="41"/>
      <c r="N807" s="41"/>
      <c r="O807" s="41"/>
      <c r="P807" s="41"/>
      <c r="Q807" s="64"/>
      <c r="R807" s="41"/>
      <c r="S807" s="41"/>
      <c r="T807" s="41"/>
      <c r="U807" s="41"/>
      <c r="V807" s="41"/>
      <c r="W807" s="41"/>
      <c r="X807" s="41"/>
      <c r="Y807" s="41"/>
      <c r="Z807" s="41"/>
      <c r="AA807" s="41"/>
    </row>
    <row r="808" spans="1:27" ht="15.75" hidden="1" customHeight="1" x14ac:dyDescent="0.25">
      <c r="A808" s="51"/>
      <c r="B808" s="41"/>
      <c r="C808" s="41"/>
      <c r="D808" s="41"/>
      <c r="E808" s="41"/>
      <c r="F808" s="41"/>
      <c r="G808" s="41"/>
      <c r="H808" s="41"/>
      <c r="I808" s="41"/>
      <c r="J808" s="41"/>
      <c r="K808" s="41"/>
      <c r="L808" s="41"/>
      <c r="M808" s="41"/>
      <c r="N808" s="41"/>
      <c r="O808" s="41"/>
      <c r="P808" s="41"/>
      <c r="Q808" s="64"/>
      <c r="R808" s="41"/>
      <c r="S808" s="41"/>
      <c r="T808" s="41"/>
      <c r="U808" s="41"/>
      <c r="V808" s="41"/>
      <c r="W808" s="41"/>
      <c r="X808" s="41"/>
      <c r="Y808" s="41"/>
      <c r="Z808" s="41"/>
      <c r="AA808" s="41"/>
    </row>
    <row r="809" spans="1:27" ht="15.75" hidden="1" customHeight="1" x14ac:dyDescent="0.25">
      <c r="A809" s="51"/>
      <c r="B809" s="41"/>
      <c r="C809" s="41"/>
      <c r="D809" s="41"/>
      <c r="E809" s="41"/>
      <c r="F809" s="41"/>
      <c r="G809" s="41"/>
      <c r="H809" s="41"/>
      <c r="I809" s="41"/>
      <c r="J809" s="41"/>
      <c r="K809" s="41"/>
      <c r="L809" s="41"/>
      <c r="M809" s="41"/>
      <c r="N809" s="41"/>
      <c r="O809" s="41"/>
      <c r="P809" s="41"/>
      <c r="Q809" s="64"/>
      <c r="R809" s="41"/>
      <c r="S809" s="41"/>
      <c r="T809" s="41"/>
      <c r="U809" s="41"/>
      <c r="V809" s="41"/>
      <c r="W809" s="41"/>
      <c r="X809" s="41"/>
      <c r="Y809" s="41"/>
      <c r="Z809" s="41"/>
      <c r="AA809" s="41"/>
    </row>
    <row r="810" spans="1:27" ht="15.75" hidden="1" customHeight="1" x14ac:dyDescent="0.25">
      <c r="A810" s="51"/>
      <c r="B810" s="41"/>
      <c r="C810" s="41"/>
      <c r="D810" s="41"/>
      <c r="E810" s="41"/>
      <c r="F810" s="41"/>
      <c r="G810" s="41"/>
      <c r="H810" s="41"/>
      <c r="I810" s="41"/>
      <c r="J810" s="41"/>
      <c r="K810" s="41"/>
      <c r="L810" s="41"/>
      <c r="M810" s="41"/>
      <c r="N810" s="41"/>
      <c r="O810" s="41"/>
      <c r="P810" s="41"/>
      <c r="Q810" s="64"/>
      <c r="R810" s="41"/>
      <c r="S810" s="41"/>
      <c r="T810" s="41"/>
      <c r="U810" s="41"/>
      <c r="V810" s="41"/>
      <c r="W810" s="41"/>
      <c r="X810" s="41"/>
      <c r="Y810" s="41"/>
      <c r="Z810" s="41"/>
      <c r="AA810" s="41"/>
    </row>
    <row r="811" spans="1:27" ht="15.75" hidden="1" customHeight="1" x14ac:dyDescent="0.25">
      <c r="A811" s="51"/>
      <c r="B811" s="41"/>
      <c r="C811" s="41"/>
      <c r="D811" s="41"/>
      <c r="E811" s="41"/>
      <c r="F811" s="41"/>
      <c r="G811" s="41"/>
      <c r="H811" s="41"/>
      <c r="I811" s="41"/>
      <c r="J811" s="41"/>
      <c r="K811" s="41"/>
      <c r="L811" s="41"/>
      <c r="M811" s="41"/>
      <c r="N811" s="41"/>
      <c r="O811" s="41"/>
      <c r="P811" s="41"/>
      <c r="Q811" s="64"/>
      <c r="R811" s="41"/>
      <c r="S811" s="41"/>
      <c r="T811" s="41"/>
      <c r="U811" s="41"/>
      <c r="V811" s="41"/>
      <c r="W811" s="41"/>
      <c r="X811" s="41"/>
      <c r="Y811" s="41"/>
      <c r="Z811" s="41"/>
      <c r="AA811" s="41"/>
    </row>
    <row r="812" spans="1:27" ht="15.75" hidden="1" customHeight="1" x14ac:dyDescent="0.25">
      <c r="A812" s="51"/>
      <c r="B812" s="41"/>
      <c r="C812" s="41"/>
      <c r="D812" s="41"/>
      <c r="E812" s="41"/>
      <c r="F812" s="41"/>
      <c r="G812" s="41"/>
      <c r="H812" s="41"/>
      <c r="I812" s="41"/>
      <c r="J812" s="41"/>
      <c r="K812" s="41"/>
      <c r="L812" s="41"/>
      <c r="M812" s="41"/>
      <c r="N812" s="41"/>
      <c r="O812" s="41"/>
      <c r="P812" s="41"/>
      <c r="Q812" s="64"/>
      <c r="R812" s="41"/>
      <c r="S812" s="41"/>
      <c r="T812" s="41"/>
      <c r="U812" s="41"/>
      <c r="V812" s="41"/>
      <c r="W812" s="41"/>
      <c r="X812" s="41"/>
      <c r="Y812" s="41"/>
      <c r="Z812" s="41"/>
      <c r="AA812" s="41"/>
    </row>
    <row r="813" spans="1:27" ht="15.75" hidden="1" customHeight="1" x14ac:dyDescent="0.25">
      <c r="A813" s="51"/>
      <c r="B813" s="41"/>
      <c r="C813" s="41"/>
      <c r="D813" s="41"/>
      <c r="E813" s="41"/>
      <c r="F813" s="41"/>
      <c r="G813" s="41"/>
      <c r="H813" s="41"/>
      <c r="I813" s="41"/>
      <c r="J813" s="41"/>
      <c r="K813" s="41"/>
      <c r="L813" s="41"/>
      <c r="M813" s="41"/>
      <c r="N813" s="41"/>
      <c r="O813" s="41"/>
      <c r="P813" s="41"/>
      <c r="Q813" s="64"/>
      <c r="R813" s="41"/>
      <c r="S813" s="41"/>
      <c r="T813" s="41"/>
      <c r="U813" s="41"/>
      <c r="V813" s="41"/>
      <c r="W813" s="41"/>
      <c r="X813" s="41"/>
      <c r="Y813" s="41"/>
      <c r="Z813" s="41"/>
      <c r="AA813" s="41"/>
    </row>
    <row r="814" spans="1:27" ht="15.75" hidden="1" customHeight="1" x14ac:dyDescent="0.25">
      <c r="A814" s="51"/>
      <c r="B814" s="41"/>
      <c r="C814" s="41"/>
      <c r="D814" s="41"/>
      <c r="E814" s="41"/>
      <c r="F814" s="41"/>
      <c r="G814" s="41"/>
      <c r="H814" s="41"/>
      <c r="I814" s="41"/>
      <c r="J814" s="41"/>
      <c r="K814" s="41"/>
      <c r="L814" s="41"/>
      <c r="M814" s="41"/>
      <c r="N814" s="41"/>
      <c r="O814" s="41"/>
      <c r="P814" s="41"/>
      <c r="Q814" s="64"/>
      <c r="R814" s="41"/>
      <c r="S814" s="41"/>
      <c r="T814" s="41"/>
      <c r="U814" s="41"/>
      <c r="V814" s="41"/>
      <c r="W814" s="41"/>
      <c r="X814" s="41"/>
      <c r="Y814" s="41"/>
      <c r="Z814" s="41"/>
      <c r="AA814" s="41"/>
    </row>
    <row r="815" spans="1:27" ht="15.75" hidden="1" customHeight="1" x14ac:dyDescent="0.25">
      <c r="A815" s="51"/>
      <c r="B815" s="41"/>
      <c r="C815" s="41"/>
      <c r="D815" s="41"/>
      <c r="E815" s="41"/>
      <c r="F815" s="41"/>
      <c r="G815" s="41"/>
      <c r="H815" s="41"/>
      <c r="I815" s="41"/>
      <c r="J815" s="41"/>
      <c r="K815" s="41"/>
      <c r="L815" s="41"/>
      <c r="M815" s="41"/>
      <c r="N815" s="41"/>
      <c r="O815" s="41"/>
      <c r="P815" s="41"/>
      <c r="Q815" s="64"/>
      <c r="R815" s="41"/>
      <c r="S815" s="41"/>
      <c r="T815" s="41"/>
      <c r="U815" s="41"/>
      <c r="V815" s="41"/>
      <c r="W815" s="41"/>
      <c r="X815" s="41"/>
      <c r="Y815" s="41"/>
      <c r="Z815" s="41"/>
      <c r="AA815" s="41"/>
    </row>
    <row r="816" spans="1:27" ht="15.75" hidden="1" customHeight="1" x14ac:dyDescent="0.25">
      <c r="A816" s="51"/>
      <c r="B816" s="41"/>
      <c r="C816" s="41"/>
      <c r="D816" s="41"/>
      <c r="E816" s="41"/>
      <c r="F816" s="41"/>
      <c r="G816" s="41"/>
      <c r="H816" s="41"/>
      <c r="I816" s="41"/>
      <c r="J816" s="41"/>
      <c r="K816" s="41"/>
      <c r="L816" s="41"/>
      <c r="M816" s="41"/>
      <c r="N816" s="41"/>
      <c r="O816" s="41"/>
      <c r="P816" s="41"/>
      <c r="Q816" s="64"/>
      <c r="R816" s="41"/>
      <c r="S816" s="41"/>
      <c r="T816" s="41"/>
      <c r="U816" s="41"/>
      <c r="V816" s="41"/>
      <c r="W816" s="41"/>
      <c r="X816" s="41"/>
      <c r="Y816" s="41"/>
      <c r="Z816" s="41"/>
      <c r="AA816" s="41"/>
    </row>
    <row r="817" spans="1:27" ht="15.75" hidden="1" customHeight="1" x14ac:dyDescent="0.25">
      <c r="A817" s="51"/>
      <c r="B817" s="41"/>
      <c r="C817" s="41"/>
      <c r="D817" s="41"/>
      <c r="E817" s="41"/>
      <c r="F817" s="41"/>
      <c r="G817" s="41"/>
      <c r="H817" s="41"/>
      <c r="I817" s="41"/>
      <c r="J817" s="41"/>
      <c r="K817" s="41"/>
      <c r="L817" s="41"/>
      <c r="M817" s="41"/>
      <c r="N817" s="41"/>
      <c r="O817" s="41"/>
      <c r="P817" s="41"/>
      <c r="Q817" s="64"/>
      <c r="R817" s="41"/>
      <c r="S817" s="41"/>
      <c r="T817" s="41"/>
      <c r="U817" s="41"/>
      <c r="V817" s="41"/>
      <c r="W817" s="41"/>
      <c r="X817" s="41"/>
      <c r="Y817" s="41"/>
      <c r="Z817" s="41"/>
      <c r="AA817" s="41"/>
    </row>
    <row r="818" spans="1:27" ht="15.75" hidden="1" customHeight="1" x14ac:dyDescent="0.25">
      <c r="A818" s="51"/>
      <c r="B818" s="41"/>
      <c r="C818" s="41"/>
      <c r="D818" s="41"/>
      <c r="E818" s="41"/>
      <c r="F818" s="41"/>
      <c r="G818" s="41"/>
      <c r="H818" s="41"/>
      <c r="I818" s="41"/>
      <c r="J818" s="41"/>
      <c r="K818" s="41"/>
      <c r="L818" s="41"/>
      <c r="M818" s="41"/>
      <c r="N818" s="41"/>
      <c r="O818" s="41"/>
      <c r="P818" s="41"/>
      <c r="Q818" s="64"/>
      <c r="R818" s="41"/>
      <c r="S818" s="41"/>
      <c r="T818" s="41"/>
      <c r="U818" s="41"/>
      <c r="V818" s="41"/>
      <c r="W818" s="41"/>
      <c r="X818" s="41"/>
      <c r="Y818" s="41"/>
      <c r="Z818" s="41"/>
      <c r="AA818" s="41"/>
    </row>
    <row r="819" spans="1:27" ht="15.75" hidden="1" customHeight="1" x14ac:dyDescent="0.25">
      <c r="A819" s="51"/>
      <c r="B819" s="41"/>
      <c r="C819" s="41"/>
      <c r="D819" s="41"/>
      <c r="E819" s="41"/>
      <c r="F819" s="41"/>
      <c r="G819" s="41"/>
      <c r="H819" s="41"/>
      <c r="I819" s="41"/>
      <c r="J819" s="41"/>
      <c r="K819" s="41"/>
      <c r="L819" s="41"/>
      <c r="M819" s="41"/>
      <c r="N819" s="41"/>
      <c r="O819" s="41"/>
      <c r="P819" s="41"/>
      <c r="Q819" s="64"/>
      <c r="R819" s="41"/>
      <c r="S819" s="41"/>
      <c r="T819" s="41"/>
      <c r="U819" s="41"/>
      <c r="V819" s="41"/>
      <c r="W819" s="41"/>
      <c r="X819" s="41"/>
      <c r="Y819" s="41"/>
      <c r="Z819" s="41"/>
      <c r="AA819" s="41"/>
    </row>
    <row r="820" spans="1:27" ht="15.75" hidden="1" customHeight="1" x14ac:dyDescent="0.25">
      <c r="A820" s="51"/>
      <c r="B820" s="41"/>
      <c r="C820" s="41"/>
      <c r="D820" s="41"/>
      <c r="E820" s="41"/>
      <c r="F820" s="41"/>
      <c r="G820" s="41"/>
      <c r="H820" s="41"/>
      <c r="I820" s="41"/>
      <c r="J820" s="41"/>
      <c r="K820" s="41"/>
      <c r="L820" s="41"/>
      <c r="M820" s="41"/>
      <c r="N820" s="41"/>
      <c r="O820" s="41"/>
      <c r="P820" s="41"/>
      <c r="Q820" s="64"/>
      <c r="R820" s="41"/>
      <c r="S820" s="41"/>
      <c r="T820" s="41"/>
      <c r="U820" s="41"/>
      <c r="V820" s="41"/>
      <c r="W820" s="41"/>
      <c r="X820" s="41"/>
      <c r="Y820" s="41"/>
      <c r="Z820" s="41"/>
      <c r="AA820" s="41"/>
    </row>
    <row r="821" spans="1:27" ht="15.75" hidden="1" customHeight="1" x14ac:dyDescent="0.25">
      <c r="A821" s="51"/>
      <c r="B821" s="41"/>
      <c r="C821" s="41"/>
      <c r="D821" s="41"/>
      <c r="E821" s="41"/>
      <c r="F821" s="41"/>
      <c r="G821" s="41"/>
      <c r="H821" s="41"/>
      <c r="I821" s="41"/>
      <c r="J821" s="41"/>
      <c r="K821" s="41"/>
      <c r="L821" s="41"/>
      <c r="M821" s="41"/>
      <c r="N821" s="41"/>
      <c r="O821" s="41"/>
      <c r="P821" s="41"/>
      <c r="Q821" s="64"/>
      <c r="R821" s="41"/>
      <c r="S821" s="41"/>
      <c r="T821" s="41"/>
      <c r="U821" s="41"/>
      <c r="V821" s="41"/>
      <c r="W821" s="41"/>
      <c r="X821" s="41"/>
      <c r="Y821" s="41"/>
      <c r="Z821" s="41"/>
      <c r="AA821" s="41"/>
    </row>
    <row r="822" spans="1:27" ht="15.75" hidden="1" customHeight="1" x14ac:dyDescent="0.25">
      <c r="A822" s="51"/>
      <c r="B822" s="41"/>
      <c r="C822" s="41"/>
      <c r="D822" s="41"/>
      <c r="E822" s="41"/>
      <c r="F822" s="41"/>
      <c r="G822" s="41"/>
      <c r="H822" s="41"/>
      <c r="I822" s="41"/>
      <c r="J822" s="41"/>
      <c r="K822" s="41"/>
      <c r="L822" s="41"/>
      <c r="M822" s="41"/>
      <c r="N822" s="41"/>
      <c r="O822" s="41"/>
      <c r="P822" s="41"/>
      <c r="Q822" s="64"/>
      <c r="R822" s="41"/>
      <c r="S822" s="41"/>
      <c r="T822" s="41"/>
      <c r="U822" s="41"/>
      <c r="V822" s="41"/>
      <c r="W822" s="41"/>
      <c r="X822" s="41"/>
      <c r="Y822" s="41"/>
      <c r="Z822" s="41"/>
      <c r="AA822" s="41"/>
    </row>
    <row r="823" spans="1:27" ht="15.75" hidden="1" customHeight="1" x14ac:dyDescent="0.25">
      <c r="A823" s="51"/>
      <c r="B823" s="41"/>
      <c r="C823" s="41"/>
      <c r="D823" s="41"/>
      <c r="E823" s="41"/>
      <c r="F823" s="41"/>
      <c r="G823" s="41"/>
      <c r="H823" s="41"/>
      <c r="I823" s="41"/>
      <c r="J823" s="41"/>
      <c r="K823" s="41"/>
      <c r="L823" s="41"/>
      <c r="M823" s="41"/>
      <c r="N823" s="41"/>
      <c r="O823" s="41"/>
      <c r="P823" s="41"/>
      <c r="Q823" s="64"/>
      <c r="R823" s="41"/>
      <c r="S823" s="41"/>
      <c r="T823" s="41"/>
      <c r="U823" s="41"/>
      <c r="V823" s="41"/>
      <c r="W823" s="41"/>
      <c r="X823" s="41"/>
      <c r="Y823" s="41"/>
      <c r="Z823" s="41"/>
      <c r="AA823" s="41"/>
    </row>
    <row r="824" spans="1:27" ht="15.75" hidden="1" customHeight="1" x14ac:dyDescent="0.25">
      <c r="A824" s="51"/>
      <c r="B824" s="41"/>
      <c r="C824" s="41"/>
      <c r="D824" s="41"/>
      <c r="E824" s="41"/>
      <c r="F824" s="41"/>
      <c r="G824" s="41"/>
      <c r="H824" s="41"/>
      <c r="I824" s="41"/>
      <c r="J824" s="41"/>
      <c r="K824" s="41"/>
      <c r="L824" s="41"/>
      <c r="M824" s="41"/>
      <c r="N824" s="41"/>
      <c r="O824" s="41"/>
      <c r="P824" s="41"/>
      <c r="Q824" s="64"/>
      <c r="R824" s="41"/>
      <c r="S824" s="41"/>
      <c r="T824" s="41"/>
      <c r="U824" s="41"/>
      <c r="V824" s="41"/>
      <c r="W824" s="41"/>
      <c r="X824" s="41"/>
      <c r="Y824" s="41"/>
      <c r="Z824" s="41"/>
      <c r="AA824" s="41"/>
    </row>
    <row r="825" spans="1:27" ht="15.75" hidden="1" customHeight="1" x14ac:dyDescent="0.25">
      <c r="A825" s="51"/>
      <c r="B825" s="41"/>
      <c r="C825" s="41"/>
      <c r="D825" s="41"/>
      <c r="E825" s="41"/>
      <c r="F825" s="41"/>
      <c r="G825" s="41"/>
      <c r="H825" s="41"/>
      <c r="I825" s="41"/>
      <c r="J825" s="41"/>
      <c r="K825" s="41"/>
      <c r="L825" s="41"/>
      <c r="M825" s="41"/>
      <c r="N825" s="41"/>
      <c r="O825" s="41"/>
      <c r="P825" s="41"/>
      <c r="Q825" s="64"/>
      <c r="R825" s="41"/>
      <c r="S825" s="41"/>
      <c r="T825" s="41"/>
      <c r="U825" s="41"/>
      <c r="V825" s="41"/>
      <c r="W825" s="41"/>
      <c r="X825" s="41"/>
      <c r="Y825" s="41"/>
      <c r="Z825" s="41"/>
      <c r="AA825" s="41"/>
    </row>
    <row r="826" spans="1:27" ht="15.75" hidden="1" customHeight="1" x14ac:dyDescent="0.25">
      <c r="A826" s="51"/>
      <c r="B826" s="41"/>
      <c r="C826" s="41"/>
      <c r="D826" s="41"/>
      <c r="E826" s="41"/>
      <c r="F826" s="41"/>
      <c r="G826" s="41"/>
      <c r="H826" s="41"/>
      <c r="I826" s="41"/>
      <c r="J826" s="41"/>
      <c r="K826" s="41"/>
      <c r="L826" s="41"/>
      <c r="M826" s="41"/>
      <c r="N826" s="41"/>
      <c r="O826" s="41"/>
      <c r="P826" s="41"/>
      <c r="Q826" s="64"/>
      <c r="R826" s="41"/>
      <c r="S826" s="41"/>
      <c r="T826" s="41"/>
      <c r="U826" s="41"/>
      <c r="V826" s="41"/>
      <c r="W826" s="41"/>
      <c r="X826" s="41"/>
      <c r="Y826" s="41"/>
      <c r="Z826" s="41"/>
      <c r="AA826" s="41"/>
    </row>
    <row r="827" spans="1:27" ht="15.75" hidden="1" customHeight="1" x14ac:dyDescent="0.25">
      <c r="A827" s="51"/>
      <c r="B827" s="41"/>
      <c r="C827" s="41"/>
      <c r="D827" s="41"/>
      <c r="E827" s="41"/>
      <c r="F827" s="41"/>
      <c r="G827" s="41"/>
      <c r="H827" s="41"/>
      <c r="I827" s="41"/>
      <c r="J827" s="41"/>
      <c r="K827" s="41"/>
      <c r="L827" s="41"/>
      <c r="M827" s="41"/>
      <c r="N827" s="41"/>
      <c r="O827" s="41"/>
      <c r="P827" s="41"/>
      <c r="Q827" s="64"/>
      <c r="R827" s="41"/>
      <c r="S827" s="41"/>
      <c r="T827" s="41"/>
      <c r="U827" s="41"/>
      <c r="V827" s="41"/>
      <c r="W827" s="41"/>
      <c r="X827" s="41"/>
      <c r="Y827" s="41"/>
      <c r="Z827" s="41"/>
      <c r="AA827" s="41"/>
    </row>
    <row r="828" spans="1:27" ht="15.75" hidden="1" customHeight="1" x14ac:dyDescent="0.25">
      <c r="A828" s="51"/>
      <c r="B828" s="41"/>
      <c r="C828" s="41"/>
      <c r="D828" s="41"/>
      <c r="E828" s="41"/>
      <c r="F828" s="41"/>
      <c r="G828" s="41"/>
      <c r="H828" s="41"/>
      <c r="I828" s="41"/>
      <c r="J828" s="41"/>
      <c r="K828" s="41"/>
      <c r="L828" s="41"/>
      <c r="M828" s="41"/>
      <c r="N828" s="41"/>
      <c r="O828" s="41"/>
      <c r="P828" s="41"/>
      <c r="Q828" s="64"/>
      <c r="R828" s="41"/>
      <c r="S828" s="41"/>
      <c r="T828" s="41"/>
      <c r="U828" s="41"/>
      <c r="V828" s="41"/>
      <c r="W828" s="41"/>
      <c r="X828" s="41"/>
      <c r="Y828" s="41"/>
      <c r="Z828" s="41"/>
      <c r="AA828" s="41"/>
    </row>
    <row r="829" spans="1:27" ht="15.75" hidden="1" customHeight="1" x14ac:dyDescent="0.25">
      <c r="A829" s="51"/>
      <c r="B829" s="41"/>
      <c r="C829" s="41"/>
      <c r="D829" s="41"/>
      <c r="E829" s="41"/>
      <c r="F829" s="41"/>
      <c r="G829" s="41"/>
      <c r="H829" s="41"/>
      <c r="I829" s="41"/>
      <c r="J829" s="41"/>
      <c r="K829" s="41"/>
      <c r="L829" s="41"/>
      <c r="M829" s="41"/>
      <c r="N829" s="41"/>
      <c r="O829" s="41"/>
      <c r="P829" s="41"/>
      <c r="Q829" s="64"/>
      <c r="R829" s="41"/>
      <c r="S829" s="41"/>
      <c r="T829" s="41"/>
      <c r="U829" s="41"/>
      <c r="V829" s="41"/>
      <c r="W829" s="41"/>
      <c r="X829" s="41"/>
      <c r="Y829" s="41"/>
      <c r="Z829" s="41"/>
      <c r="AA829" s="41"/>
    </row>
    <row r="830" spans="1:27" ht="15.75" hidden="1" customHeight="1" x14ac:dyDescent="0.25">
      <c r="A830" s="51"/>
      <c r="B830" s="41"/>
      <c r="C830" s="41"/>
      <c r="D830" s="41"/>
      <c r="E830" s="41"/>
      <c r="F830" s="41"/>
      <c r="G830" s="41"/>
      <c r="H830" s="41"/>
      <c r="I830" s="41"/>
      <c r="J830" s="41"/>
      <c r="K830" s="41"/>
      <c r="L830" s="41"/>
      <c r="M830" s="41"/>
      <c r="N830" s="41"/>
      <c r="O830" s="41"/>
      <c r="P830" s="41"/>
      <c r="Q830" s="64"/>
      <c r="R830" s="41"/>
      <c r="S830" s="41"/>
      <c r="T830" s="41"/>
      <c r="U830" s="41"/>
      <c r="V830" s="41"/>
      <c r="W830" s="41"/>
      <c r="X830" s="41"/>
      <c r="Y830" s="41"/>
      <c r="Z830" s="41"/>
      <c r="AA830" s="41"/>
    </row>
    <row r="831" spans="1:27" ht="15.75" hidden="1" customHeight="1" x14ac:dyDescent="0.25">
      <c r="A831" s="51"/>
      <c r="B831" s="41"/>
      <c r="C831" s="41"/>
      <c r="D831" s="41"/>
      <c r="E831" s="41"/>
      <c r="F831" s="41"/>
      <c r="G831" s="41"/>
      <c r="H831" s="41"/>
      <c r="I831" s="41"/>
      <c r="J831" s="41"/>
      <c r="K831" s="41"/>
      <c r="L831" s="41"/>
      <c r="M831" s="41"/>
      <c r="N831" s="41"/>
      <c r="O831" s="41"/>
      <c r="P831" s="41"/>
      <c r="Q831" s="64"/>
      <c r="R831" s="41"/>
      <c r="S831" s="41"/>
      <c r="T831" s="41"/>
      <c r="U831" s="41"/>
      <c r="V831" s="41"/>
      <c r="W831" s="41"/>
      <c r="X831" s="41"/>
      <c r="Y831" s="41"/>
      <c r="Z831" s="41"/>
      <c r="AA831" s="41"/>
    </row>
    <row r="832" spans="1:27" ht="15.75" hidden="1" customHeight="1" x14ac:dyDescent="0.25">
      <c r="A832" s="51"/>
      <c r="B832" s="41"/>
      <c r="C832" s="41"/>
      <c r="D832" s="41"/>
      <c r="E832" s="41"/>
      <c r="F832" s="41"/>
      <c r="G832" s="41"/>
      <c r="H832" s="41"/>
      <c r="I832" s="41"/>
      <c r="J832" s="41"/>
      <c r="K832" s="41"/>
      <c r="L832" s="41"/>
      <c r="M832" s="41"/>
      <c r="N832" s="41"/>
      <c r="O832" s="41"/>
      <c r="P832" s="41"/>
      <c r="Q832" s="64"/>
      <c r="R832" s="41"/>
      <c r="S832" s="41"/>
      <c r="T832" s="41"/>
      <c r="U832" s="41"/>
      <c r="V832" s="41"/>
      <c r="W832" s="41"/>
      <c r="X832" s="41"/>
      <c r="Y832" s="41"/>
      <c r="Z832" s="41"/>
      <c r="AA832" s="41"/>
    </row>
    <row r="833" spans="1:27" ht="15.75" hidden="1" customHeight="1" x14ac:dyDescent="0.25">
      <c r="A833" s="51"/>
      <c r="B833" s="41"/>
      <c r="C833" s="41"/>
      <c r="D833" s="41"/>
      <c r="E833" s="41"/>
      <c r="F833" s="41"/>
      <c r="G833" s="41"/>
      <c r="H833" s="41"/>
      <c r="I833" s="41"/>
      <c r="J833" s="41"/>
      <c r="K833" s="41"/>
      <c r="L833" s="41"/>
      <c r="M833" s="41"/>
      <c r="N833" s="41"/>
      <c r="O833" s="41"/>
      <c r="P833" s="41"/>
      <c r="Q833" s="64"/>
      <c r="R833" s="41"/>
      <c r="S833" s="41"/>
      <c r="T833" s="41"/>
      <c r="U833" s="41"/>
      <c r="V833" s="41"/>
      <c r="W833" s="41"/>
      <c r="X833" s="41"/>
      <c r="Y833" s="41"/>
      <c r="Z833" s="41"/>
      <c r="AA833" s="41"/>
    </row>
    <row r="834" spans="1:27" ht="15.75" hidden="1" customHeight="1" x14ac:dyDescent="0.25">
      <c r="A834" s="51"/>
      <c r="B834" s="41"/>
      <c r="C834" s="41"/>
      <c r="D834" s="41"/>
      <c r="E834" s="41"/>
      <c r="F834" s="41"/>
      <c r="G834" s="41"/>
      <c r="H834" s="41"/>
      <c r="I834" s="41"/>
      <c r="J834" s="41"/>
      <c r="K834" s="41"/>
      <c r="L834" s="41"/>
      <c r="M834" s="41"/>
      <c r="N834" s="41"/>
      <c r="O834" s="41"/>
      <c r="P834" s="41"/>
      <c r="Q834" s="64"/>
      <c r="R834" s="41"/>
      <c r="S834" s="41"/>
      <c r="T834" s="41"/>
      <c r="U834" s="41"/>
      <c r="V834" s="41"/>
      <c r="W834" s="41"/>
      <c r="X834" s="41"/>
      <c r="Y834" s="41"/>
      <c r="Z834" s="41"/>
      <c r="AA834" s="41"/>
    </row>
    <row r="835" spans="1:27" ht="15.75" hidden="1" customHeight="1" x14ac:dyDescent="0.25">
      <c r="A835" s="51"/>
      <c r="B835" s="41"/>
      <c r="C835" s="41"/>
      <c r="D835" s="41"/>
      <c r="E835" s="41"/>
      <c r="F835" s="41"/>
      <c r="G835" s="41"/>
      <c r="H835" s="41"/>
      <c r="I835" s="41"/>
      <c r="J835" s="41"/>
      <c r="K835" s="41"/>
      <c r="L835" s="41"/>
      <c r="M835" s="41"/>
      <c r="N835" s="41"/>
      <c r="O835" s="41"/>
      <c r="P835" s="41"/>
      <c r="Q835" s="64"/>
      <c r="R835" s="41"/>
      <c r="S835" s="41"/>
      <c r="T835" s="41"/>
      <c r="U835" s="41"/>
      <c r="V835" s="41"/>
      <c r="W835" s="41"/>
      <c r="X835" s="41"/>
      <c r="Y835" s="41"/>
      <c r="Z835" s="41"/>
      <c r="AA835" s="41"/>
    </row>
    <row r="836" spans="1:27" ht="15.75" hidden="1" customHeight="1" x14ac:dyDescent="0.25">
      <c r="A836" s="51"/>
      <c r="B836" s="41"/>
      <c r="C836" s="41"/>
      <c r="D836" s="41"/>
      <c r="E836" s="41"/>
      <c r="F836" s="41"/>
      <c r="G836" s="41"/>
      <c r="H836" s="41"/>
      <c r="I836" s="41"/>
      <c r="J836" s="41"/>
      <c r="K836" s="41"/>
      <c r="L836" s="41"/>
      <c r="M836" s="41"/>
      <c r="N836" s="41"/>
      <c r="O836" s="41"/>
      <c r="P836" s="41"/>
      <c r="Q836" s="64"/>
      <c r="R836" s="41"/>
      <c r="S836" s="41"/>
      <c r="T836" s="41"/>
      <c r="U836" s="41"/>
      <c r="V836" s="41"/>
      <c r="W836" s="41"/>
      <c r="X836" s="41"/>
      <c r="Y836" s="41"/>
      <c r="Z836" s="41"/>
      <c r="AA836" s="41"/>
    </row>
    <row r="837" spans="1:27" ht="15.75" hidden="1" customHeight="1" x14ac:dyDescent="0.25">
      <c r="A837" s="51"/>
      <c r="B837" s="41"/>
      <c r="C837" s="41"/>
      <c r="D837" s="41"/>
      <c r="E837" s="41"/>
      <c r="F837" s="41"/>
      <c r="G837" s="41"/>
      <c r="H837" s="41"/>
      <c r="I837" s="41"/>
      <c r="J837" s="41"/>
      <c r="K837" s="41"/>
      <c r="L837" s="41"/>
      <c r="M837" s="41"/>
      <c r="N837" s="41"/>
      <c r="O837" s="41"/>
      <c r="P837" s="41"/>
      <c r="Q837" s="64"/>
      <c r="R837" s="41"/>
      <c r="S837" s="41"/>
      <c r="T837" s="41"/>
      <c r="U837" s="41"/>
      <c r="V837" s="41"/>
      <c r="W837" s="41"/>
      <c r="X837" s="41"/>
      <c r="Y837" s="41"/>
      <c r="Z837" s="41"/>
      <c r="AA837" s="41"/>
    </row>
    <row r="838" spans="1:27" ht="15.75" hidden="1" customHeight="1" x14ac:dyDescent="0.25">
      <c r="A838" s="51"/>
      <c r="B838" s="41"/>
      <c r="C838" s="41"/>
      <c r="D838" s="41"/>
      <c r="E838" s="41"/>
      <c r="F838" s="41"/>
      <c r="G838" s="41"/>
      <c r="H838" s="41"/>
      <c r="I838" s="41"/>
      <c r="J838" s="41"/>
      <c r="K838" s="41"/>
      <c r="L838" s="41"/>
      <c r="M838" s="41"/>
      <c r="N838" s="41"/>
      <c r="O838" s="41"/>
      <c r="P838" s="41"/>
      <c r="Q838" s="64"/>
      <c r="R838" s="41"/>
      <c r="S838" s="41"/>
      <c r="T838" s="41"/>
      <c r="U838" s="41"/>
      <c r="V838" s="41"/>
      <c r="W838" s="41"/>
      <c r="X838" s="41"/>
      <c r="Y838" s="41"/>
      <c r="Z838" s="41"/>
      <c r="AA838" s="41"/>
    </row>
    <row r="839" spans="1:27" ht="15.75" hidden="1" customHeight="1" x14ac:dyDescent="0.25">
      <c r="A839" s="51"/>
      <c r="B839" s="41"/>
      <c r="C839" s="41"/>
      <c r="D839" s="41"/>
      <c r="E839" s="41"/>
      <c r="F839" s="41"/>
      <c r="G839" s="41"/>
      <c r="H839" s="41"/>
      <c r="I839" s="41"/>
      <c r="J839" s="41"/>
      <c r="K839" s="41"/>
      <c r="L839" s="41"/>
      <c r="M839" s="41"/>
      <c r="N839" s="41"/>
      <c r="O839" s="41"/>
      <c r="P839" s="41"/>
      <c r="Q839" s="64"/>
      <c r="R839" s="41"/>
      <c r="S839" s="41"/>
      <c r="T839" s="41"/>
      <c r="U839" s="41"/>
      <c r="V839" s="41"/>
      <c r="W839" s="41"/>
      <c r="X839" s="41"/>
      <c r="Y839" s="41"/>
      <c r="Z839" s="41"/>
      <c r="AA839" s="41"/>
    </row>
    <row r="840" spans="1:27" ht="15.75" hidden="1" customHeight="1" x14ac:dyDescent="0.25">
      <c r="A840" s="51"/>
      <c r="B840" s="41"/>
      <c r="C840" s="41"/>
      <c r="D840" s="41"/>
      <c r="E840" s="41"/>
      <c r="F840" s="41"/>
      <c r="G840" s="41"/>
      <c r="H840" s="41"/>
      <c r="I840" s="41"/>
      <c r="J840" s="41"/>
      <c r="K840" s="41"/>
      <c r="L840" s="41"/>
      <c r="M840" s="41"/>
      <c r="N840" s="41"/>
      <c r="O840" s="41"/>
      <c r="P840" s="41"/>
      <c r="Q840" s="64"/>
      <c r="R840" s="41"/>
      <c r="S840" s="41"/>
      <c r="T840" s="41"/>
      <c r="U840" s="41"/>
      <c r="V840" s="41"/>
      <c r="W840" s="41"/>
      <c r="X840" s="41"/>
      <c r="Y840" s="41"/>
      <c r="Z840" s="41"/>
      <c r="AA840" s="41"/>
    </row>
    <row r="841" spans="1:27" ht="15.75" hidden="1" customHeight="1" x14ac:dyDescent="0.25">
      <c r="A841" s="51"/>
      <c r="B841" s="41"/>
      <c r="C841" s="41"/>
      <c r="D841" s="41"/>
      <c r="E841" s="41"/>
      <c r="F841" s="41"/>
      <c r="G841" s="41"/>
      <c r="H841" s="41"/>
      <c r="I841" s="41"/>
      <c r="J841" s="41"/>
      <c r="K841" s="41"/>
      <c r="L841" s="41"/>
      <c r="M841" s="41"/>
      <c r="N841" s="41"/>
      <c r="O841" s="41"/>
      <c r="P841" s="41"/>
      <c r="Q841" s="64"/>
      <c r="R841" s="41"/>
      <c r="S841" s="41"/>
      <c r="T841" s="41"/>
      <c r="U841" s="41"/>
      <c r="V841" s="41"/>
      <c r="W841" s="41"/>
      <c r="X841" s="41"/>
      <c r="Y841" s="41"/>
      <c r="Z841" s="41"/>
      <c r="AA841" s="41"/>
    </row>
    <row r="842" spans="1:27" ht="15.75" hidden="1" customHeight="1" x14ac:dyDescent="0.25">
      <c r="A842" s="51"/>
      <c r="B842" s="41"/>
      <c r="C842" s="41"/>
      <c r="D842" s="41"/>
      <c r="E842" s="41"/>
      <c r="F842" s="41"/>
      <c r="G842" s="41"/>
      <c r="H842" s="41"/>
      <c r="I842" s="41"/>
      <c r="J842" s="41"/>
      <c r="K842" s="41"/>
      <c r="L842" s="41"/>
      <c r="M842" s="41"/>
      <c r="N842" s="41"/>
      <c r="O842" s="41"/>
      <c r="P842" s="41"/>
      <c r="Q842" s="64"/>
      <c r="R842" s="41"/>
      <c r="S842" s="41"/>
      <c r="T842" s="41"/>
      <c r="U842" s="41"/>
      <c r="V842" s="41"/>
      <c r="W842" s="41"/>
      <c r="X842" s="41"/>
      <c r="Y842" s="41"/>
      <c r="Z842" s="41"/>
      <c r="AA842" s="41"/>
    </row>
    <row r="843" spans="1:27" ht="15.75" hidden="1" customHeight="1" x14ac:dyDescent="0.25">
      <c r="A843" s="51"/>
      <c r="B843" s="41"/>
      <c r="C843" s="41"/>
      <c r="D843" s="41"/>
      <c r="E843" s="41"/>
      <c r="F843" s="41"/>
      <c r="G843" s="41"/>
      <c r="H843" s="41"/>
      <c r="I843" s="41"/>
      <c r="J843" s="41"/>
      <c r="K843" s="41"/>
      <c r="L843" s="41"/>
      <c r="M843" s="41"/>
      <c r="N843" s="41"/>
      <c r="O843" s="41"/>
      <c r="P843" s="41"/>
      <c r="Q843" s="64"/>
      <c r="R843" s="41"/>
      <c r="S843" s="41"/>
      <c r="T843" s="41"/>
      <c r="U843" s="41"/>
      <c r="V843" s="41"/>
      <c r="W843" s="41"/>
      <c r="X843" s="41"/>
      <c r="Y843" s="41"/>
      <c r="Z843" s="41"/>
      <c r="AA843" s="41"/>
    </row>
    <row r="844" spans="1:27" ht="15.75" hidden="1" customHeight="1" x14ac:dyDescent="0.25">
      <c r="A844" s="51"/>
      <c r="B844" s="41"/>
      <c r="C844" s="41"/>
      <c r="D844" s="41"/>
      <c r="E844" s="41"/>
      <c r="F844" s="41"/>
      <c r="G844" s="41"/>
      <c r="H844" s="41"/>
      <c r="I844" s="41"/>
      <c r="J844" s="41"/>
      <c r="K844" s="41"/>
      <c r="L844" s="41"/>
      <c r="M844" s="41"/>
      <c r="N844" s="41"/>
      <c r="O844" s="41"/>
      <c r="P844" s="41"/>
      <c r="Q844" s="64"/>
      <c r="R844" s="41"/>
      <c r="S844" s="41"/>
      <c r="T844" s="41"/>
      <c r="U844" s="41"/>
      <c r="V844" s="41"/>
      <c r="W844" s="41"/>
      <c r="X844" s="41"/>
      <c r="Y844" s="41"/>
      <c r="Z844" s="41"/>
      <c r="AA844" s="41"/>
    </row>
    <row r="845" spans="1:27" ht="15.75" hidden="1" customHeight="1" x14ac:dyDescent="0.25">
      <c r="A845" s="51"/>
      <c r="B845" s="41"/>
      <c r="C845" s="41"/>
      <c r="D845" s="41"/>
      <c r="E845" s="41"/>
      <c r="F845" s="41"/>
      <c r="G845" s="41"/>
      <c r="H845" s="41"/>
      <c r="I845" s="41"/>
      <c r="J845" s="41"/>
      <c r="K845" s="41"/>
      <c r="L845" s="41"/>
      <c r="M845" s="41"/>
      <c r="N845" s="41"/>
      <c r="O845" s="41"/>
      <c r="P845" s="41"/>
      <c r="Q845" s="64"/>
      <c r="R845" s="41"/>
      <c r="S845" s="41"/>
      <c r="T845" s="41"/>
      <c r="U845" s="41"/>
      <c r="V845" s="41"/>
      <c r="W845" s="41"/>
      <c r="X845" s="41"/>
      <c r="Y845" s="41"/>
      <c r="Z845" s="41"/>
      <c r="AA845" s="41"/>
    </row>
    <row r="846" spans="1:27" ht="15.75" hidden="1" customHeight="1" x14ac:dyDescent="0.25">
      <c r="A846" s="51"/>
      <c r="B846" s="41"/>
      <c r="C846" s="41"/>
      <c r="D846" s="41"/>
      <c r="E846" s="41"/>
      <c r="F846" s="41"/>
      <c r="G846" s="41"/>
      <c r="H846" s="41"/>
      <c r="I846" s="41"/>
      <c r="J846" s="41"/>
      <c r="K846" s="41"/>
      <c r="L846" s="41"/>
      <c r="M846" s="41"/>
      <c r="N846" s="41"/>
      <c r="O846" s="41"/>
      <c r="P846" s="41"/>
      <c r="Q846" s="64"/>
      <c r="R846" s="41"/>
      <c r="S846" s="41"/>
      <c r="T846" s="41"/>
      <c r="U846" s="41"/>
      <c r="V846" s="41"/>
      <c r="W846" s="41"/>
      <c r="X846" s="41"/>
      <c r="Y846" s="41"/>
      <c r="Z846" s="41"/>
      <c r="AA846" s="41"/>
    </row>
    <row r="847" spans="1:27" ht="15.75" hidden="1" customHeight="1" x14ac:dyDescent="0.25">
      <c r="A847" s="51"/>
      <c r="B847" s="41"/>
      <c r="C847" s="41"/>
      <c r="D847" s="41"/>
      <c r="E847" s="41"/>
      <c r="F847" s="41"/>
      <c r="G847" s="41"/>
      <c r="H847" s="41"/>
      <c r="I847" s="41"/>
      <c r="J847" s="41"/>
      <c r="K847" s="41"/>
      <c r="L847" s="41"/>
      <c r="M847" s="41"/>
      <c r="N847" s="41"/>
      <c r="O847" s="41"/>
      <c r="P847" s="41"/>
      <c r="Q847" s="64"/>
      <c r="R847" s="41"/>
      <c r="S847" s="41"/>
      <c r="T847" s="41"/>
      <c r="U847" s="41"/>
      <c r="V847" s="41"/>
      <c r="W847" s="41"/>
      <c r="X847" s="41"/>
      <c r="Y847" s="41"/>
      <c r="Z847" s="41"/>
      <c r="AA847" s="41"/>
    </row>
    <row r="848" spans="1:27" ht="15.75" hidden="1" customHeight="1" x14ac:dyDescent="0.25">
      <c r="A848" s="51"/>
      <c r="B848" s="41"/>
      <c r="C848" s="41"/>
      <c r="D848" s="41"/>
      <c r="E848" s="41"/>
      <c r="F848" s="41"/>
      <c r="G848" s="41"/>
      <c r="H848" s="41"/>
      <c r="I848" s="41"/>
      <c r="J848" s="41"/>
      <c r="K848" s="41"/>
      <c r="L848" s="41"/>
      <c r="M848" s="41"/>
      <c r="N848" s="41"/>
      <c r="O848" s="41"/>
      <c r="P848" s="41"/>
      <c r="Q848" s="64"/>
      <c r="R848" s="41"/>
      <c r="S848" s="41"/>
      <c r="T848" s="41"/>
      <c r="U848" s="41"/>
      <c r="V848" s="41"/>
      <c r="W848" s="41"/>
      <c r="X848" s="41"/>
      <c r="Y848" s="41"/>
      <c r="Z848" s="41"/>
      <c r="AA848" s="41"/>
    </row>
    <row r="849" spans="1:27" ht="15.75" hidden="1" customHeight="1" x14ac:dyDescent="0.25">
      <c r="A849" s="51"/>
      <c r="B849" s="41"/>
      <c r="C849" s="41"/>
      <c r="D849" s="41"/>
      <c r="E849" s="41"/>
      <c r="F849" s="41"/>
      <c r="G849" s="41"/>
      <c r="H849" s="41"/>
      <c r="I849" s="41"/>
      <c r="J849" s="41"/>
      <c r="K849" s="41"/>
      <c r="L849" s="41"/>
      <c r="M849" s="41"/>
      <c r="N849" s="41"/>
      <c r="O849" s="41"/>
      <c r="P849" s="41"/>
      <c r="Q849" s="64"/>
      <c r="R849" s="41"/>
      <c r="S849" s="41"/>
      <c r="T849" s="41"/>
      <c r="U849" s="41"/>
      <c r="V849" s="41"/>
      <c r="W849" s="41"/>
      <c r="X849" s="41"/>
      <c r="Y849" s="41"/>
      <c r="Z849" s="41"/>
      <c r="AA849" s="41"/>
    </row>
    <row r="850" spans="1:27" ht="15.75" hidden="1" customHeight="1" x14ac:dyDescent="0.25">
      <c r="A850" s="51"/>
      <c r="B850" s="41"/>
      <c r="C850" s="41"/>
      <c r="D850" s="41"/>
      <c r="E850" s="41"/>
      <c r="F850" s="41"/>
      <c r="G850" s="41"/>
      <c r="H850" s="41"/>
      <c r="I850" s="41"/>
      <c r="J850" s="41"/>
      <c r="K850" s="41"/>
      <c r="L850" s="41"/>
      <c r="M850" s="41"/>
      <c r="N850" s="41"/>
      <c r="O850" s="41"/>
      <c r="P850" s="41"/>
      <c r="Q850" s="64"/>
      <c r="R850" s="41"/>
      <c r="S850" s="41"/>
      <c r="T850" s="41"/>
      <c r="U850" s="41"/>
      <c r="V850" s="41"/>
      <c r="W850" s="41"/>
      <c r="X850" s="41"/>
      <c r="Y850" s="41"/>
      <c r="Z850" s="41"/>
      <c r="AA850" s="41"/>
    </row>
    <row r="851" spans="1:27" ht="15.75" hidden="1" customHeight="1" x14ac:dyDescent="0.25">
      <c r="A851" s="51"/>
      <c r="B851" s="41"/>
      <c r="C851" s="41"/>
      <c r="D851" s="41"/>
      <c r="E851" s="41"/>
      <c r="F851" s="41"/>
      <c r="G851" s="41"/>
      <c r="H851" s="41"/>
      <c r="I851" s="41"/>
      <c r="J851" s="41"/>
      <c r="K851" s="41"/>
      <c r="L851" s="41"/>
      <c r="M851" s="41"/>
      <c r="N851" s="41"/>
      <c r="O851" s="41"/>
      <c r="P851" s="41"/>
      <c r="Q851" s="64"/>
      <c r="R851" s="41"/>
      <c r="S851" s="41"/>
      <c r="T851" s="41"/>
      <c r="U851" s="41"/>
      <c r="V851" s="41"/>
      <c r="W851" s="41"/>
      <c r="X851" s="41"/>
      <c r="Y851" s="41"/>
      <c r="Z851" s="41"/>
      <c r="AA851" s="41"/>
    </row>
    <row r="852" spans="1:27" ht="15.75" hidden="1" customHeight="1" x14ac:dyDescent="0.25">
      <c r="A852" s="51"/>
      <c r="B852" s="41"/>
      <c r="C852" s="41"/>
      <c r="D852" s="41"/>
      <c r="E852" s="41"/>
      <c r="F852" s="41"/>
      <c r="G852" s="41"/>
      <c r="H852" s="41"/>
      <c r="I852" s="41"/>
      <c r="J852" s="41"/>
      <c r="K852" s="41"/>
      <c r="L852" s="41"/>
      <c r="M852" s="41"/>
      <c r="N852" s="41"/>
      <c r="O852" s="41"/>
      <c r="P852" s="41"/>
      <c r="Q852" s="64"/>
      <c r="R852" s="41"/>
      <c r="S852" s="41"/>
      <c r="T852" s="41"/>
      <c r="U852" s="41"/>
      <c r="V852" s="41"/>
      <c r="W852" s="41"/>
      <c r="X852" s="41"/>
      <c r="Y852" s="41"/>
      <c r="Z852" s="41"/>
      <c r="AA852" s="41"/>
    </row>
    <row r="853" spans="1:27" ht="15.75" hidden="1" customHeight="1" x14ac:dyDescent="0.25">
      <c r="A853" s="51"/>
      <c r="B853" s="41"/>
      <c r="C853" s="41"/>
      <c r="D853" s="41"/>
      <c r="E853" s="41"/>
      <c r="F853" s="41"/>
      <c r="G853" s="41"/>
      <c r="H853" s="41"/>
      <c r="I853" s="41"/>
      <c r="J853" s="41"/>
      <c r="K853" s="41"/>
      <c r="L853" s="41"/>
      <c r="M853" s="41"/>
      <c r="N853" s="41"/>
      <c r="O853" s="41"/>
      <c r="P853" s="41"/>
      <c r="Q853" s="64"/>
      <c r="R853" s="41"/>
      <c r="S853" s="41"/>
      <c r="T853" s="41"/>
      <c r="U853" s="41"/>
      <c r="V853" s="41"/>
      <c r="W853" s="41"/>
      <c r="X853" s="41"/>
      <c r="Y853" s="41"/>
      <c r="Z853" s="41"/>
      <c r="AA853" s="41"/>
    </row>
    <row r="854" spans="1:27" ht="15.75" hidden="1" customHeight="1" x14ac:dyDescent="0.25">
      <c r="A854" s="51"/>
      <c r="B854" s="41"/>
      <c r="C854" s="41"/>
      <c r="D854" s="41"/>
      <c r="E854" s="41"/>
      <c r="F854" s="41"/>
      <c r="G854" s="41"/>
      <c r="H854" s="41"/>
      <c r="I854" s="41"/>
      <c r="J854" s="41"/>
      <c r="K854" s="41"/>
      <c r="L854" s="41"/>
      <c r="M854" s="41"/>
      <c r="N854" s="41"/>
      <c r="O854" s="41"/>
      <c r="P854" s="41"/>
      <c r="Q854" s="64"/>
      <c r="R854" s="41"/>
      <c r="S854" s="41"/>
      <c r="T854" s="41"/>
      <c r="U854" s="41"/>
      <c r="V854" s="41"/>
      <c r="W854" s="41"/>
      <c r="X854" s="41"/>
      <c r="Y854" s="41"/>
      <c r="Z854" s="41"/>
      <c r="AA854" s="41"/>
    </row>
    <row r="855" spans="1:27" ht="15.75" hidden="1" customHeight="1" x14ac:dyDescent="0.25">
      <c r="A855" s="51"/>
      <c r="B855" s="41"/>
      <c r="C855" s="41"/>
      <c r="D855" s="41"/>
      <c r="E855" s="41"/>
      <c r="F855" s="41"/>
      <c r="G855" s="41"/>
      <c r="H855" s="41"/>
      <c r="I855" s="41"/>
      <c r="J855" s="41"/>
      <c r="K855" s="41"/>
      <c r="L855" s="41"/>
      <c r="M855" s="41"/>
      <c r="N855" s="41"/>
      <c r="O855" s="41"/>
      <c r="P855" s="41"/>
      <c r="Q855" s="64"/>
      <c r="R855" s="41"/>
      <c r="S855" s="41"/>
      <c r="T855" s="41"/>
      <c r="U855" s="41"/>
      <c r="V855" s="41"/>
      <c r="W855" s="41"/>
      <c r="X855" s="41"/>
      <c r="Y855" s="41"/>
      <c r="Z855" s="41"/>
      <c r="AA855" s="41"/>
    </row>
    <row r="856" spans="1:27" ht="15.75" hidden="1" customHeight="1" x14ac:dyDescent="0.25">
      <c r="A856" s="51"/>
      <c r="B856" s="41"/>
      <c r="C856" s="41"/>
      <c r="D856" s="41"/>
      <c r="E856" s="41"/>
      <c r="F856" s="41"/>
      <c r="G856" s="41"/>
      <c r="H856" s="41"/>
      <c r="I856" s="41"/>
      <c r="J856" s="41"/>
      <c r="K856" s="41"/>
      <c r="L856" s="41"/>
      <c r="M856" s="41"/>
      <c r="N856" s="41"/>
      <c r="O856" s="41"/>
      <c r="P856" s="41"/>
      <c r="Q856" s="64"/>
      <c r="R856" s="41"/>
      <c r="S856" s="41"/>
      <c r="T856" s="41"/>
      <c r="U856" s="41"/>
      <c r="V856" s="41"/>
      <c r="W856" s="41"/>
      <c r="X856" s="41"/>
      <c r="Y856" s="41"/>
      <c r="Z856" s="41"/>
      <c r="AA856" s="41"/>
    </row>
    <row r="857" spans="1:27" ht="15.75" hidden="1" customHeight="1" x14ac:dyDescent="0.25">
      <c r="A857" s="51"/>
      <c r="B857" s="41"/>
      <c r="C857" s="41"/>
      <c r="D857" s="41"/>
      <c r="E857" s="41"/>
      <c r="F857" s="41"/>
      <c r="G857" s="41"/>
      <c r="H857" s="41"/>
      <c r="I857" s="41"/>
      <c r="J857" s="41"/>
      <c r="K857" s="41"/>
      <c r="L857" s="41"/>
      <c r="M857" s="41"/>
      <c r="N857" s="41"/>
      <c r="O857" s="41"/>
      <c r="P857" s="41"/>
      <c r="Q857" s="64"/>
      <c r="R857" s="41"/>
      <c r="S857" s="41"/>
      <c r="T857" s="41"/>
      <c r="U857" s="41"/>
      <c r="V857" s="41"/>
      <c r="W857" s="41"/>
      <c r="X857" s="41"/>
      <c r="Y857" s="41"/>
      <c r="Z857" s="41"/>
      <c r="AA857" s="41"/>
    </row>
    <row r="858" spans="1:27" ht="15.75" hidden="1" customHeight="1" x14ac:dyDescent="0.25">
      <c r="A858" s="51"/>
      <c r="B858" s="41"/>
      <c r="C858" s="41"/>
      <c r="D858" s="41"/>
      <c r="E858" s="41"/>
      <c r="F858" s="41"/>
      <c r="G858" s="41"/>
      <c r="H858" s="41"/>
      <c r="I858" s="41"/>
      <c r="J858" s="41"/>
      <c r="K858" s="41"/>
      <c r="L858" s="41"/>
      <c r="M858" s="41"/>
      <c r="N858" s="41"/>
      <c r="O858" s="41"/>
      <c r="P858" s="41"/>
      <c r="Q858" s="64"/>
      <c r="R858" s="41"/>
      <c r="S858" s="41"/>
      <c r="T858" s="41"/>
      <c r="U858" s="41"/>
      <c r="V858" s="41"/>
      <c r="W858" s="41"/>
      <c r="X858" s="41"/>
      <c r="Y858" s="41"/>
      <c r="Z858" s="41"/>
      <c r="AA858" s="41"/>
    </row>
    <row r="859" spans="1:27" ht="15.75" hidden="1" customHeight="1" x14ac:dyDescent="0.25">
      <c r="A859" s="51"/>
      <c r="B859" s="41"/>
      <c r="C859" s="41"/>
      <c r="D859" s="41"/>
      <c r="E859" s="41"/>
      <c r="F859" s="41"/>
      <c r="G859" s="41"/>
      <c r="H859" s="41"/>
      <c r="I859" s="41"/>
      <c r="J859" s="41"/>
      <c r="K859" s="41"/>
      <c r="L859" s="41"/>
      <c r="M859" s="41"/>
      <c r="N859" s="41"/>
      <c r="O859" s="41"/>
      <c r="P859" s="41"/>
      <c r="Q859" s="64"/>
      <c r="R859" s="41"/>
      <c r="S859" s="41"/>
      <c r="T859" s="41"/>
      <c r="U859" s="41"/>
      <c r="V859" s="41"/>
      <c r="W859" s="41"/>
      <c r="X859" s="41"/>
      <c r="Y859" s="41"/>
      <c r="Z859" s="41"/>
      <c r="AA859" s="41"/>
    </row>
    <row r="860" spans="1:27" ht="15.75" hidden="1" customHeight="1" x14ac:dyDescent="0.25">
      <c r="A860" s="51"/>
      <c r="B860" s="41"/>
      <c r="C860" s="41"/>
      <c r="D860" s="41"/>
      <c r="E860" s="41"/>
      <c r="F860" s="41"/>
      <c r="G860" s="41"/>
      <c r="H860" s="41"/>
      <c r="I860" s="41"/>
      <c r="J860" s="41"/>
      <c r="K860" s="41"/>
      <c r="L860" s="41"/>
      <c r="M860" s="41"/>
      <c r="N860" s="41"/>
      <c r="O860" s="41"/>
      <c r="P860" s="41"/>
      <c r="Q860" s="64"/>
      <c r="R860" s="41"/>
      <c r="S860" s="41"/>
      <c r="T860" s="41"/>
      <c r="U860" s="41"/>
      <c r="V860" s="41"/>
      <c r="W860" s="41"/>
      <c r="X860" s="41"/>
      <c r="Y860" s="41"/>
      <c r="Z860" s="41"/>
      <c r="AA860" s="41"/>
    </row>
    <row r="861" spans="1:27" ht="15.75" hidden="1" customHeight="1" x14ac:dyDescent="0.25">
      <c r="A861" s="51"/>
      <c r="B861" s="41"/>
      <c r="C861" s="41"/>
      <c r="D861" s="41"/>
      <c r="E861" s="41"/>
      <c r="F861" s="41"/>
      <c r="G861" s="41"/>
      <c r="H861" s="41"/>
      <c r="I861" s="41"/>
      <c r="J861" s="41"/>
      <c r="K861" s="41"/>
      <c r="L861" s="41"/>
      <c r="M861" s="41"/>
      <c r="N861" s="41"/>
      <c r="O861" s="41"/>
      <c r="P861" s="41"/>
      <c r="Q861" s="64"/>
      <c r="R861" s="41"/>
      <c r="S861" s="41"/>
      <c r="T861" s="41"/>
      <c r="U861" s="41"/>
      <c r="V861" s="41"/>
      <c r="W861" s="41"/>
      <c r="X861" s="41"/>
      <c r="Y861" s="41"/>
      <c r="Z861" s="41"/>
      <c r="AA861" s="41"/>
    </row>
    <row r="862" spans="1:27" ht="15.75" hidden="1" customHeight="1" x14ac:dyDescent="0.25">
      <c r="A862" s="51"/>
      <c r="B862" s="41"/>
      <c r="C862" s="41"/>
      <c r="D862" s="41"/>
      <c r="E862" s="41"/>
      <c r="F862" s="41"/>
      <c r="G862" s="41"/>
      <c r="H862" s="41"/>
      <c r="I862" s="41"/>
      <c r="J862" s="41"/>
      <c r="K862" s="41"/>
      <c r="L862" s="41"/>
      <c r="M862" s="41"/>
      <c r="N862" s="41"/>
      <c r="O862" s="41"/>
      <c r="P862" s="41"/>
      <c r="Q862" s="64"/>
      <c r="R862" s="41"/>
      <c r="S862" s="41"/>
      <c r="T862" s="41"/>
      <c r="U862" s="41"/>
      <c r="V862" s="41"/>
      <c r="W862" s="41"/>
      <c r="X862" s="41"/>
      <c r="Y862" s="41"/>
      <c r="Z862" s="41"/>
      <c r="AA862" s="41"/>
    </row>
    <row r="863" spans="1:27" ht="15.75" hidden="1" customHeight="1" x14ac:dyDescent="0.25">
      <c r="A863" s="51"/>
      <c r="B863" s="41"/>
      <c r="C863" s="41"/>
      <c r="D863" s="41"/>
      <c r="E863" s="41"/>
      <c r="F863" s="41"/>
      <c r="G863" s="41"/>
      <c r="H863" s="41"/>
      <c r="I863" s="41"/>
      <c r="J863" s="41"/>
      <c r="K863" s="41"/>
      <c r="L863" s="41"/>
      <c r="M863" s="41"/>
      <c r="N863" s="41"/>
      <c r="O863" s="41"/>
      <c r="P863" s="41"/>
      <c r="Q863" s="64"/>
      <c r="R863" s="41"/>
      <c r="S863" s="41"/>
      <c r="T863" s="41"/>
      <c r="U863" s="41"/>
      <c r="V863" s="41"/>
      <c r="W863" s="41"/>
      <c r="X863" s="41"/>
      <c r="Y863" s="41"/>
      <c r="Z863" s="41"/>
      <c r="AA863" s="41"/>
    </row>
    <row r="864" spans="1:27" ht="15.75" hidden="1" customHeight="1" x14ac:dyDescent="0.25">
      <c r="A864" s="51"/>
      <c r="B864" s="41"/>
      <c r="C864" s="41"/>
      <c r="D864" s="41"/>
      <c r="E864" s="41"/>
      <c r="F864" s="41"/>
      <c r="G864" s="41"/>
      <c r="H864" s="41"/>
      <c r="I864" s="41"/>
      <c r="J864" s="41"/>
      <c r="K864" s="41"/>
      <c r="L864" s="41"/>
      <c r="M864" s="41"/>
      <c r="N864" s="41"/>
      <c r="O864" s="41"/>
      <c r="P864" s="41"/>
      <c r="Q864" s="64"/>
      <c r="R864" s="41"/>
      <c r="S864" s="41"/>
      <c r="T864" s="41"/>
      <c r="U864" s="41"/>
      <c r="V864" s="41"/>
      <c r="W864" s="41"/>
      <c r="X864" s="41"/>
      <c r="Y864" s="41"/>
      <c r="Z864" s="41"/>
      <c r="AA864" s="41"/>
    </row>
    <row r="865" spans="1:27" ht="15.75" hidden="1" customHeight="1" x14ac:dyDescent="0.25">
      <c r="A865" s="51"/>
      <c r="B865" s="41"/>
      <c r="C865" s="41"/>
      <c r="D865" s="41"/>
      <c r="E865" s="41"/>
      <c r="F865" s="41"/>
      <c r="G865" s="41"/>
      <c r="H865" s="41"/>
      <c r="I865" s="41"/>
      <c r="J865" s="41"/>
      <c r="K865" s="41"/>
      <c r="L865" s="41"/>
      <c r="M865" s="41"/>
      <c r="N865" s="41"/>
      <c r="O865" s="41"/>
      <c r="P865" s="41"/>
      <c r="Q865" s="64"/>
      <c r="R865" s="41"/>
      <c r="S865" s="41"/>
      <c r="T865" s="41"/>
      <c r="U865" s="41"/>
      <c r="V865" s="41"/>
      <c r="W865" s="41"/>
      <c r="X865" s="41"/>
      <c r="Y865" s="41"/>
      <c r="Z865" s="41"/>
      <c r="AA865" s="41"/>
    </row>
    <row r="866" spans="1:27" ht="15.75" hidden="1" customHeight="1" x14ac:dyDescent="0.25">
      <c r="A866" s="51"/>
      <c r="B866" s="41"/>
      <c r="C866" s="41"/>
      <c r="D866" s="41"/>
      <c r="E866" s="41"/>
      <c r="F866" s="41"/>
      <c r="G866" s="41"/>
      <c r="H866" s="41"/>
      <c r="I866" s="41"/>
      <c r="J866" s="41"/>
      <c r="K866" s="41"/>
      <c r="L866" s="41"/>
      <c r="M866" s="41"/>
      <c r="N866" s="41"/>
      <c r="O866" s="41"/>
      <c r="P866" s="41"/>
      <c r="Q866" s="64"/>
      <c r="R866" s="41"/>
      <c r="S866" s="41"/>
      <c r="T866" s="41"/>
      <c r="U866" s="41"/>
      <c r="V866" s="41"/>
      <c r="W866" s="41"/>
      <c r="X866" s="41"/>
      <c r="Y866" s="41"/>
      <c r="Z866" s="41"/>
      <c r="AA866" s="41"/>
    </row>
    <row r="867" spans="1:27" ht="15.75" hidden="1" customHeight="1" x14ac:dyDescent="0.25">
      <c r="A867" s="51"/>
      <c r="B867" s="41"/>
      <c r="C867" s="41"/>
      <c r="D867" s="41"/>
      <c r="E867" s="41"/>
      <c r="F867" s="41"/>
      <c r="G867" s="41"/>
      <c r="H867" s="41"/>
      <c r="I867" s="41"/>
      <c r="J867" s="41"/>
      <c r="K867" s="41"/>
      <c r="L867" s="41"/>
      <c r="M867" s="41"/>
      <c r="N867" s="41"/>
      <c r="O867" s="41"/>
      <c r="P867" s="41"/>
      <c r="Q867" s="64"/>
      <c r="R867" s="41"/>
      <c r="S867" s="41"/>
      <c r="T867" s="41"/>
      <c r="U867" s="41"/>
      <c r="V867" s="41"/>
      <c r="W867" s="41"/>
      <c r="X867" s="41"/>
      <c r="Y867" s="41"/>
      <c r="Z867" s="41"/>
      <c r="AA867" s="41"/>
    </row>
    <row r="868" spans="1:27" ht="15.75" hidden="1" customHeight="1" x14ac:dyDescent="0.25">
      <c r="A868" s="51"/>
      <c r="B868" s="41"/>
      <c r="C868" s="41"/>
      <c r="D868" s="41"/>
      <c r="E868" s="41"/>
      <c r="F868" s="41"/>
      <c r="G868" s="41"/>
      <c r="H868" s="41"/>
      <c r="I868" s="41"/>
      <c r="J868" s="41"/>
      <c r="K868" s="41"/>
      <c r="L868" s="41"/>
      <c r="M868" s="41"/>
      <c r="N868" s="41"/>
      <c r="O868" s="41"/>
      <c r="P868" s="41"/>
      <c r="Q868" s="64"/>
      <c r="R868" s="41"/>
      <c r="S868" s="41"/>
      <c r="T868" s="41"/>
      <c r="U868" s="41"/>
      <c r="V868" s="41"/>
      <c r="W868" s="41"/>
      <c r="X868" s="41"/>
      <c r="Y868" s="41"/>
      <c r="Z868" s="41"/>
      <c r="AA868" s="41"/>
    </row>
    <row r="869" spans="1:27" ht="15.75" hidden="1" customHeight="1" x14ac:dyDescent="0.25">
      <c r="A869" s="51"/>
      <c r="B869" s="41"/>
      <c r="C869" s="41"/>
      <c r="D869" s="41"/>
      <c r="E869" s="41"/>
      <c r="F869" s="41"/>
      <c r="G869" s="41"/>
      <c r="H869" s="41"/>
      <c r="I869" s="41"/>
      <c r="J869" s="41"/>
      <c r="K869" s="41"/>
      <c r="L869" s="41"/>
      <c r="M869" s="41"/>
      <c r="N869" s="41"/>
      <c r="O869" s="41"/>
      <c r="P869" s="41"/>
      <c r="Q869" s="64"/>
      <c r="R869" s="41"/>
      <c r="S869" s="41"/>
      <c r="T869" s="41"/>
      <c r="U869" s="41"/>
      <c r="V869" s="41"/>
      <c r="W869" s="41"/>
      <c r="X869" s="41"/>
      <c r="Y869" s="41"/>
      <c r="Z869" s="41"/>
      <c r="AA869" s="41"/>
    </row>
    <row r="870" spans="1:27" ht="15.75" hidden="1" customHeight="1" x14ac:dyDescent="0.25">
      <c r="A870" s="51"/>
      <c r="B870" s="41"/>
      <c r="C870" s="41"/>
      <c r="D870" s="41"/>
      <c r="E870" s="41"/>
      <c r="F870" s="41"/>
      <c r="G870" s="41"/>
      <c r="H870" s="41"/>
      <c r="I870" s="41"/>
      <c r="J870" s="41"/>
      <c r="K870" s="41"/>
      <c r="L870" s="41"/>
      <c r="M870" s="41"/>
      <c r="N870" s="41"/>
      <c r="O870" s="41"/>
      <c r="P870" s="41"/>
      <c r="Q870" s="64"/>
      <c r="R870" s="41"/>
      <c r="S870" s="41"/>
      <c r="T870" s="41"/>
      <c r="U870" s="41"/>
      <c r="V870" s="41"/>
      <c r="W870" s="41"/>
      <c r="X870" s="41"/>
      <c r="Y870" s="41"/>
      <c r="Z870" s="41"/>
      <c r="AA870" s="41"/>
    </row>
    <row r="871" spans="1:27" ht="15.75" hidden="1" customHeight="1" x14ac:dyDescent="0.25">
      <c r="A871" s="51"/>
      <c r="B871" s="41"/>
      <c r="C871" s="41"/>
      <c r="D871" s="41"/>
      <c r="E871" s="41"/>
      <c r="F871" s="41"/>
      <c r="G871" s="41"/>
      <c r="H871" s="41"/>
      <c r="I871" s="41"/>
      <c r="J871" s="41"/>
      <c r="K871" s="41"/>
      <c r="L871" s="41"/>
      <c r="M871" s="41"/>
      <c r="N871" s="41"/>
      <c r="O871" s="41"/>
      <c r="P871" s="41"/>
      <c r="Q871" s="64"/>
      <c r="R871" s="41"/>
      <c r="S871" s="41"/>
      <c r="T871" s="41"/>
      <c r="U871" s="41"/>
      <c r="V871" s="41"/>
      <c r="W871" s="41"/>
      <c r="X871" s="41"/>
      <c r="Y871" s="41"/>
      <c r="Z871" s="41"/>
      <c r="AA871" s="41"/>
    </row>
    <row r="872" spans="1:27" ht="15.75" hidden="1" customHeight="1" x14ac:dyDescent="0.25">
      <c r="A872" s="51"/>
      <c r="B872" s="41"/>
      <c r="C872" s="41"/>
      <c r="D872" s="41"/>
      <c r="E872" s="41"/>
      <c r="F872" s="41"/>
      <c r="G872" s="41"/>
      <c r="H872" s="41"/>
      <c r="I872" s="41"/>
      <c r="J872" s="41"/>
      <c r="K872" s="41"/>
      <c r="L872" s="41"/>
      <c r="M872" s="41"/>
      <c r="N872" s="41"/>
      <c r="O872" s="41"/>
      <c r="P872" s="41"/>
      <c r="Q872" s="64"/>
      <c r="R872" s="41"/>
      <c r="S872" s="41"/>
      <c r="T872" s="41"/>
      <c r="U872" s="41"/>
      <c r="V872" s="41"/>
      <c r="W872" s="41"/>
      <c r="X872" s="41"/>
      <c r="Y872" s="41"/>
      <c r="Z872" s="41"/>
      <c r="AA872" s="41"/>
    </row>
    <row r="873" spans="1:27" ht="15.75" hidden="1" customHeight="1" x14ac:dyDescent="0.25">
      <c r="A873" s="51"/>
      <c r="B873" s="41"/>
      <c r="C873" s="41"/>
      <c r="D873" s="41"/>
      <c r="E873" s="41"/>
      <c r="F873" s="41"/>
      <c r="G873" s="41"/>
      <c r="H873" s="41"/>
      <c r="I873" s="41"/>
      <c r="J873" s="41"/>
      <c r="K873" s="41"/>
      <c r="L873" s="41"/>
      <c r="M873" s="41"/>
      <c r="N873" s="41"/>
      <c r="O873" s="41"/>
      <c r="P873" s="41"/>
      <c r="Q873" s="64"/>
      <c r="R873" s="41"/>
      <c r="S873" s="41"/>
      <c r="T873" s="41"/>
      <c r="U873" s="41"/>
      <c r="V873" s="41"/>
      <c r="W873" s="41"/>
      <c r="X873" s="41"/>
      <c r="Y873" s="41"/>
      <c r="Z873" s="41"/>
      <c r="AA873" s="41"/>
    </row>
    <row r="874" spans="1:27" ht="15.75" hidden="1" customHeight="1" x14ac:dyDescent="0.25">
      <c r="A874" s="51"/>
      <c r="B874" s="41"/>
      <c r="C874" s="41"/>
      <c r="D874" s="41"/>
      <c r="E874" s="41"/>
      <c r="F874" s="41"/>
      <c r="G874" s="41"/>
      <c r="H874" s="41"/>
      <c r="I874" s="41"/>
      <c r="J874" s="41"/>
      <c r="K874" s="41"/>
      <c r="L874" s="41"/>
      <c r="M874" s="41"/>
      <c r="N874" s="41"/>
      <c r="O874" s="41"/>
      <c r="P874" s="41"/>
      <c r="Q874" s="64"/>
      <c r="R874" s="41"/>
      <c r="S874" s="41"/>
      <c r="T874" s="41"/>
      <c r="U874" s="41"/>
      <c r="V874" s="41"/>
      <c r="W874" s="41"/>
      <c r="X874" s="41"/>
      <c r="Y874" s="41"/>
      <c r="Z874" s="41"/>
      <c r="AA874" s="41"/>
    </row>
    <row r="875" spans="1:27" ht="15.75" hidden="1" customHeight="1" x14ac:dyDescent="0.25">
      <c r="A875" s="51"/>
      <c r="B875" s="41"/>
      <c r="C875" s="41"/>
      <c r="D875" s="41"/>
      <c r="E875" s="41"/>
      <c r="F875" s="41"/>
      <c r="G875" s="41"/>
      <c r="H875" s="41"/>
      <c r="I875" s="41"/>
      <c r="J875" s="41"/>
      <c r="K875" s="41"/>
      <c r="L875" s="41"/>
      <c r="M875" s="41"/>
      <c r="N875" s="41"/>
      <c r="O875" s="41"/>
      <c r="P875" s="41"/>
      <c r="Q875" s="64"/>
      <c r="R875" s="41"/>
      <c r="S875" s="41"/>
      <c r="T875" s="41"/>
      <c r="U875" s="41"/>
      <c r="V875" s="41"/>
      <c r="W875" s="41"/>
      <c r="X875" s="41"/>
      <c r="Y875" s="41"/>
      <c r="Z875" s="41"/>
      <c r="AA875" s="41"/>
    </row>
    <row r="876" spans="1:27" ht="15.75" hidden="1" customHeight="1" x14ac:dyDescent="0.25">
      <c r="A876" s="51"/>
      <c r="B876" s="41"/>
      <c r="C876" s="41"/>
      <c r="D876" s="41"/>
      <c r="E876" s="41"/>
      <c r="F876" s="41"/>
      <c r="G876" s="41"/>
      <c r="H876" s="41"/>
      <c r="I876" s="41"/>
      <c r="J876" s="41"/>
      <c r="K876" s="41"/>
      <c r="L876" s="41"/>
      <c r="M876" s="41"/>
      <c r="N876" s="41"/>
      <c r="O876" s="41"/>
      <c r="P876" s="41"/>
      <c r="Q876" s="64"/>
      <c r="R876" s="41"/>
      <c r="S876" s="41"/>
      <c r="T876" s="41"/>
      <c r="U876" s="41"/>
      <c r="V876" s="41"/>
      <c r="W876" s="41"/>
      <c r="X876" s="41"/>
      <c r="Y876" s="41"/>
      <c r="Z876" s="41"/>
      <c r="AA876" s="41"/>
    </row>
    <row r="877" spans="1:27" ht="15.75" hidden="1" customHeight="1" x14ac:dyDescent="0.25">
      <c r="A877" s="51"/>
      <c r="B877" s="41"/>
      <c r="C877" s="41"/>
      <c r="D877" s="41"/>
      <c r="E877" s="41"/>
      <c r="F877" s="41"/>
      <c r="G877" s="41"/>
      <c r="H877" s="41"/>
      <c r="I877" s="41"/>
      <c r="J877" s="41"/>
      <c r="K877" s="41"/>
      <c r="L877" s="41"/>
      <c r="M877" s="41"/>
      <c r="N877" s="41"/>
      <c r="O877" s="41"/>
      <c r="P877" s="41"/>
      <c r="Q877" s="64"/>
      <c r="R877" s="41"/>
      <c r="S877" s="41"/>
      <c r="T877" s="41"/>
      <c r="U877" s="41"/>
      <c r="V877" s="41"/>
      <c r="W877" s="41"/>
      <c r="X877" s="41"/>
      <c r="Y877" s="41"/>
      <c r="Z877" s="41"/>
      <c r="AA877" s="41"/>
    </row>
    <row r="878" spans="1:27" ht="15.75" hidden="1" customHeight="1" x14ac:dyDescent="0.25">
      <c r="A878" s="51"/>
      <c r="B878" s="41"/>
      <c r="C878" s="41"/>
      <c r="D878" s="41"/>
      <c r="E878" s="41"/>
      <c r="F878" s="41"/>
      <c r="G878" s="41"/>
      <c r="H878" s="41"/>
      <c r="I878" s="41"/>
      <c r="J878" s="41"/>
      <c r="K878" s="41"/>
      <c r="L878" s="41"/>
      <c r="M878" s="41"/>
      <c r="N878" s="41"/>
      <c r="O878" s="41"/>
      <c r="P878" s="41"/>
      <c r="Q878" s="64"/>
      <c r="R878" s="41"/>
      <c r="S878" s="41"/>
      <c r="T878" s="41"/>
      <c r="U878" s="41"/>
      <c r="V878" s="41"/>
      <c r="W878" s="41"/>
      <c r="X878" s="41"/>
      <c r="Y878" s="41"/>
      <c r="Z878" s="41"/>
      <c r="AA878" s="41"/>
    </row>
    <row r="879" spans="1:27" ht="15.75" hidden="1" customHeight="1" x14ac:dyDescent="0.25">
      <c r="A879" s="51"/>
      <c r="B879" s="41"/>
      <c r="C879" s="41"/>
      <c r="D879" s="41"/>
      <c r="E879" s="41"/>
      <c r="F879" s="41"/>
      <c r="G879" s="41"/>
      <c r="H879" s="41"/>
      <c r="I879" s="41"/>
      <c r="J879" s="41"/>
      <c r="K879" s="41"/>
      <c r="L879" s="41"/>
      <c r="M879" s="41"/>
      <c r="N879" s="41"/>
      <c r="O879" s="41"/>
      <c r="P879" s="41"/>
      <c r="Q879" s="64"/>
      <c r="R879" s="41"/>
      <c r="S879" s="41"/>
      <c r="T879" s="41"/>
      <c r="U879" s="41"/>
      <c r="V879" s="41"/>
      <c r="W879" s="41"/>
      <c r="X879" s="41"/>
      <c r="Y879" s="41"/>
      <c r="Z879" s="41"/>
      <c r="AA879" s="41"/>
    </row>
    <row r="880" spans="1:27" ht="15.75" hidden="1" customHeight="1" x14ac:dyDescent="0.25">
      <c r="A880" s="51"/>
      <c r="B880" s="41"/>
      <c r="C880" s="41"/>
      <c r="D880" s="41"/>
      <c r="E880" s="41"/>
      <c r="F880" s="41"/>
      <c r="G880" s="41"/>
      <c r="H880" s="41"/>
      <c r="I880" s="41"/>
      <c r="J880" s="41"/>
      <c r="K880" s="41"/>
      <c r="L880" s="41"/>
      <c r="M880" s="41"/>
      <c r="N880" s="41"/>
      <c r="O880" s="41"/>
      <c r="P880" s="41"/>
      <c r="Q880" s="64"/>
      <c r="R880" s="41"/>
      <c r="S880" s="41"/>
      <c r="T880" s="41"/>
      <c r="U880" s="41"/>
      <c r="V880" s="41"/>
      <c r="W880" s="41"/>
      <c r="X880" s="41"/>
      <c r="Y880" s="41"/>
      <c r="Z880" s="41"/>
      <c r="AA880" s="41"/>
    </row>
    <row r="881" spans="1:27" ht="15.75" hidden="1" customHeight="1" x14ac:dyDescent="0.25">
      <c r="A881" s="51"/>
      <c r="B881" s="41"/>
      <c r="C881" s="41"/>
      <c r="D881" s="41"/>
      <c r="E881" s="41"/>
      <c r="F881" s="41"/>
      <c r="G881" s="41"/>
      <c r="H881" s="41"/>
      <c r="I881" s="41"/>
      <c r="J881" s="41"/>
      <c r="K881" s="41"/>
      <c r="L881" s="41"/>
      <c r="M881" s="41"/>
      <c r="N881" s="41"/>
      <c r="O881" s="41"/>
      <c r="P881" s="41"/>
      <c r="Q881" s="64"/>
      <c r="R881" s="41"/>
      <c r="S881" s="41"/>
      <c r="T881" s="41"/>
      <c r="U881" s="41"/>
      <c r="V881" s="41"/>
      <c r="W881" s="41"/>
      <c r="X881" s="41"/>
      <c r="Y881" s="41"/>
      <c r="Z881" s="41"/>
      <c r="AA881" s="41"/>
    </row>
    <row r="882" spans="1:27" ht="15.75" hidden="1" customHeight="1" x14ac:dyDescent="0.25">
      <c r="A882" s="51"/>
      <c r="B882" s="41"/>
      <c r="C882" s="41"/>
      <c r="D882" s="41"/>
      <c r="E882" s="41"/>
      <c r="F882" s="41"/>
      <c r="G882" s="41"/>
      <c r="H882" s="41"/>
      <c r="I882" s="41"/>
      <c r="J882" s="41"/>
      <c r="K882" s="41"/>
      <c r="L882" s="41"/>
      <c r="M882" s="41"/>
      <c r="N882" s="41"/>
      <c r="O882" s="41"/>
      <c r="P882" s="41"/>
      <c r="Q882" s="64"/>
      <c r="R882" s="41"/>
      <c r="S882" s="41"/>
      <c r="T882" s="41"/>
      <c r="U882" s="41"/>
      <c r="V882" s="41"/>
      <c r="W882" s="41"/>
      <c r="X882" s="41"/>
      <c r="Y882" s="41"/>
      <c r="Z882" s="41"/>
      <c r="AA882" s="41"/>
    </row>
    <row r="883" spans="1:27" ht="15.75" hidden="1" customHeight="1" x14ac:dyDescent="0.25">
      <c r="A883" s="51"/>
      <c r="B883" s="41"/>
      <c r="C883" s="41"/>
      <c r="D883" s="41"/>
      <c r="E883" s="41"/>
      <c r="F883" s="41"/>
      <c r="G883" s="41"/>
      <c r="H883" s="41"/>
      <c r="I883" s="41"/>
      <c r="J883" s="41"/>
      <c r="K883" s="41"/>
      <c r="L883" s="41"/>
      <c r="M883" s="41"/>
      <c r="N883" s="41"/>
      <c r="O883" s="41"/>
      <c r="P883" s="41"/>
      <c r="Q883" s="64"/>
      <c r="R883" s="41"/>
      <c r="S883" s="41"/>
      <c r="T883" s="41"/>
      <c r="U883" s="41"/>
      <c r="V883" s="41"/>
      <c r="W883" s="41"/>
      <c r="X883" s="41"/>
      <c r="Y883" s="41"/>
      <c r="Z883" s="41"/>
      <c r="AA883" s="41"/>
    </row>
    <row r="884" spans="1:27" ht="15.75" hidden="1" customHeight="1" x14ac:dyDescent="0.25">
      <c r="A884" s="51"/>
      <c r="B884" s="41"/>
      <c r="C884" s="41"/>
      <c r="D884" s="41"/>
      <c r="E884" s="41"/>
      <c r="F884" s="41"/>
      <c r="G884" s="41"/>
      <c r="H884" s="41"/>
      <c r="I884" s="41"/>
      <c r="J884" s="41"/>
      <c r="K884" s="41"/>
      <c r="L884" s="41"/>
      <c r="M884" s="41"/>
      <c r="N884" s="41"/>
      <c r="O884" s="41"/>
      <c r="P884" s="41"/>
      <c r="Q884" s="64"/>
      <c r="R884" s="41"/>
      <c r="S884" s="41"/>
      <c r="T884" s="41"/>
      <c r="U884" s="41"/>
      <c r="V884" s="41"/>
      <c r="W884" s="41"/>
      <c r="X884" s="41"/>
      <c r="Y884" s="41"/>
      <c r="Z884" s="41"/>
      <c r="AA884" s="41"/>
    </row>
    <row r="885" spans="1:27" ht="15.75" hidden="1" customHeight="1" x14ac:dyDescent="0.25">
      <c r="A885" s="51"/>
      <c r="B885" s="41"/>
      <c r="C885" s="41"/>
      <c r="D885" s="41"/>
      <c r="E885" s="41"/>
      <c r="F885" s="41"/>
      <c r="G885" s="41"/>
      <c r="H885" s="41"/>
      <c r="I885" s="41"/>
      <c r="J885" s="41"/>
      <c r="K885" s="41"/>
      <c r="L885" s="41"/>
      <c r="M885" s="41"/>
      <c r="N885" s="41"/>
      <c r="O885" s="41"/>
      <c r="P885" s="41"/>
      <c r="Q885" s="64"/>
      <c r="R885" s="41"/>
      <c r="S885" s="41"/>
      <c r="T885" s="41"/>
      <c r="U885" s="41"/>
      <c r="V885" s="41"/>
      <c r="W885" s="41"/>
      <c r="X885" s="41"/>
      <c r="Y885" s="41"/>
      <c r="Z885" s="41"/>
      <c r="AA885" s="41"/>
    </row>
    <row r="886" spans="1:27" ht="15.75" hidden="1" customHeight="1" x14ac:dyDescent="0.25">
      <c r="A886" s="51"/>
      <c r="B886" s="41"/>
      <c r="C886" s="41"/>
      <c r="D886" s="41"/>
      <c r="E886" s="41"/>
      <c r="F886" s="41"/>
      <c r="G886" s="41"/>
      <c r="H886" s="41"/>
      <c r="I886" s="41"/>
      <c r="J886" s="41"/>
      <c r="K886" s="41"/>
      <c r="L886" s="41"/>
      <c r="M886" s="41"/>
      <c r="N886" s="41"/>
      <c r="O886" s="41"/>
      <c r="P886" s="41"/>
      <c r="Q886" s="64"/>
      <c r="R886" s="41"/>
      <c r="S886" s="41"/>
      <c r="T886" s="41"/>
      <c r="U886" s="41"/>
      <c r="V886" s="41"/>
      <c r="W886" s="41"/>
      <c r="X886" s="41"/>
      <c r="Y886" s="41"/>
      <c r="Z886" s="41"/>
      <c r="AA886" s="41"/>
    </row>
    <row r="887" spans="1:27" ht="15.75" hidden="1" customHeight="1" x14ac:dyDescent="0.25">
      <c r="A887" s="51"/>
      <c r="B887" s="41"/>
      <c r="C887" s="41"/>
      <c r="D887" s="41"/>
      <c r="E887" s="41"/>
      <c r="F887" s="41"/>
      <c r="G887" s="41"/>
      <c r="H887" s="41"/>
      <c r="I887" s="41"/>
      <c r="J887" s="41"/>
      <c r="K887" s="41"/>
      <c r="L887" s="41"/>
      <c r="M887" s="41"/>
      <c r="N887" s="41"/>
      <c r="O887" s="41"/>
      <c r="P887" s="41"/>
      <c r="Q887" s="64"/>
      <c r="R887" s="41"/>
      <c r="S887" s="41"/>
      <c r="T887" s="41"/>
      <c r="U887" s="41"/>
      <c r="V887" s="41"/>
      <c r="W887" s="41"/>
      <c r="X887" s="41"/>
      <c r="Y887" s="41"/>
      <c r="Z887" s="41"/>
      <c r="AA887" s="41"/>
    </row>
    <row r="888" spans="1:27" ht="15.75" hidden="1" customHeight="1" x14ac:dyDescent="0.25">
      <c r="A888" s="51"/>
      <c r="B888" s="41"/>
      <c r="C888" s="41"/>
      <c r="D888" s="41"/>
      <c r="E888" s="41"/>
      <c r="F888" s="41"/>
      <c r="G888" s="41"/>
      <c r="H888" s="41"/>
      <c r="I888" s="41"/>
      <c r="J888" s="41"/>
      <c r="K888" s="41"/>
      <c r="L888" s="41"/>
      <c r="M888" s="41"/>
      <c r="N888" s="41"/>
      <c r="O888" s="41"/>
      <c r="P888" s="41"/>
      <c r="Q888" s="64"/>
      <c r="R888" s="41"/>
      <c r="S888" s="41"/>
      <c r="T888" s="41"/>
      <c r="U888" s="41"/>
      <c r="V888" s="41"/>
      <c r="W888" s="41"/>
      <c r="X888" s="41"/>
      <c r="Y888" s="41"/>
      <c r="Z888" s="41"/>
      <c r="AA888" s="41"/>
    </row>
    <row r="889" spans="1:27" ht="15.75" hidden="1" customHeight="1" x14ac:dyDescent="0.25">
      <c r="A889" s="51"/>
      <c r="B889" s="41"/>
      <c r="C889" s="41"/>
      <c r="D889" s="41"/>
      <c r="E889" s="41"/>
      <c r="F889" s="41"/>
      <c r="G889" s="41"/>
      <c r="H889" s="41"/>
      <c r="I889" s="41"/>
      <c r="J889" s="41"/>
      <c r="K889" s="41"/>
      <c r="L889" s="41"/>
      <c r="M889" s="41"/>
      <c r="N889" s="41"/>
      <c r="O889" s="41"/>
      <c r="P889" s="41"/>
      <c r="Q889" s="64"/>
      <c r="R889" s="41"/>
      <c r="S889" s="41"/>
      <c r="T889" s="41"/>
      <c r="U889" s="41"/>
      <c r="V889" s="41"/>
      <c r="W889" s="41"/>
      <c r="X889" s="41"/>
      <c r="Y889" s="41"/>
      <c r="Z889" s="41"/>
      <c r="AA889" s="41"/>
    </row>
    <row r="890" spans="1:27" ht="15.75" hidden="1" customHeight="1" x14ac:dyDescent="0.25">
      <c r="A890" s="51"/>
      <c r="B890" s="41"/>
      <c r="C890" s="41"/>
      <c r="D890" s="41"/>
      <c r="E890" s="41"/>
      <c r="F890" s="41"/>
      <c r="G890" s="41"/>
      <c r="H890" s="41"/>
      <c r="I890" s="41"/>
      <c r="J890" s="41"/>
      <c r="K890" s="41"/>
      <c r="L890" s="41"/>
      <c r="M890" s="41"/>
      <c r="N890" s="41"/>
      <c r="O890" s="41"/>
      <c r="P890" s="41"/>
      <c r="Q890" s="64"/>
      <c r="R890" s="41"/>
      <c r="S890" s="41"/>
      <c r="T890" s="41"/>
      <c r="U890" s="41"/>
      <c r="V890" s="41"/>
      <c r="W890" s="41"/>
      <c r="X890" s="41"/>
      <c r="Y890" s="41"/>
      <c r="Z890" s="41"/>
      <c r="AA890" s="41"/>
    </row>
    <row r="891" spans="1:27" ht="15.75" hidden="1" customHeight="1" x14ac:dyDescent="0.25">
      <c r="A891" s="51"/>
      <c r="B891" s="41"/>
      <c r="C891" s="41"/>
      <c r="D891" s="41"/>
      <c r="E891" s="41"/>
      <c r="F891" s="41"/>
      <c r="G891" s="41"/>
      <c r="H891" s="41"/>
      <c r="I891" s="41"/>
      <c r="J891" s="41"/>
      <c r="K891" s="41"/>
      <c r="L891" s="41"/>
      <c r="M891" s="41"/>
      <c r="N891" s="41"/>
      <c r="O891" s="41"/>
      <c r="P891" s="41"/>
      <c r="Q891" s="64"/>
      <c r="R891" s="41"/>
      <c r="S891" s="41"/>
      <c r="T891" s="41"/>
      <c r="U891" s="41"/>
      <c r="V891" s="41"/>
      <c r="W891" s="41"/>
      <c r="X891" s="41"/>
      <c r="Y891" s="41"/>
      <c r="Z891" s="41"/>
      <c r="AA891" s="41"/>
    </row>
    <row r="892" spans="1:27" ht="15.75" hidden="1" customHeight="1" x14ac:dyDescent="0.25">
      <c r="A892" s="51"/>
      <c r="B892" s="41"/>
      <c r="C892" s="41"/>
      <c r="D892" s="41"/>
      <c r="E892" s="41"/>
      <c r="F892" s="41"/>
      <c r="G892" s="41"/>
      <c r="H892" s="41"/>
      <c r="I892" s="41"/>
      <c r="J892" s="41"/>
      <c r="K892" s="41"/>
      <c r="L892" s="41"/>
      <c r="M892" s="41"/>
      <c r="N892" s="41"/>
      <c r="O892" s="41"/>
      <c r="P892" s="41"/>
      <c r="Q892" s="64"/>
      <c r="R892" s="41"/>
      <c r="S892" s="41"/>
      <c r="T892" s="41"/>
      <c r="U892" s="41"/>
      <c r="V892" s="41"/>
      <c r="W892" s="41"/>
      <c r="X892" s="41"/>
      <c r="Y892" s="41"/>
      <c r="Z892" s="41"/>
      <c r="AA892" s="41"/>
    </row>
    <row r="893" spans="1:27" ht="15.75" hidden="1" customHeight="1" x14ac:dyDescent="0.25">
      <c r="A893" s="51"/>
      <c r="B893" s="41"/>
      <c r="C893" s="41"/>
      <c r="D893" s="41"/>
      <c r="E893" s="41"/>
      <c r="F893" s="41"/>
      <c r="G893" s="41"/>
      <c r="H893" s="41"/>
      <c r="I893" s="41"/>
      <c r="J893" s="41"/>
      <c r="K893" s="41"/>
      <c r="L893" s="41"/>
      <c r="M893" s="41"/>
      <c r="N893" s="41"/>
      <c r="O893" s="41"/>
      <c r="P893" s="41"/>
      <c r="Q893" s="64"/>
      <c r="R893" s="41"/>
      <c r="S893" s="41"/>
      <c r="T893" s="41"/>
      <c r="U893" s="41"/>
      <c r="V893" s="41"/>
      <c r="W893" s="41"/>
      <c r="X893" s="41"/>
      <c r="Y893" s="41"/>
      <c r="Z893" s="41"/>
      <c r="AA893" s="41"/>
    </row>
    <row r="894" spans="1:27" ht="15.75" hidden="1" customHeight="1" x14ac:dyDescent="0.25">
      <c r="A894" s="51"/>
      <c r="B894" s="41"/>
      <c r="C894" s="41"/>
      <c r="D894" s="41"/>
      <c r="E894" s="41"/>
      <c r="F894" s="41"/>
      <c r="G894" s="41"/>
      <c r="H894" s="41"/>
      <c r="I894" s="41"/>
      <c r="J894" s="41"/>
      <c r="K894" s="41"/>
      <c r="L894" s="41"/>
      <c r="M894" s="41"/>
      <c r="N894" s="41"/>
      <c r="O894" s="41"/>
      <c r="P894" s="41"/>
      <c r="Q894" s="64"/>
      <c r="R894" s="41"/>
      <c r="S894" s="41"/>
      <c r="T894" s="41"/>
      <c r="U894" s="41"/>
      <c r="V894" s="41"/>
      <c r="W894" s="41"/>
      <c r="X894" s="41"/>
      <c r="Y894" s="41"/>
      <c r="Z894" s="41"/>
      <c r="AA894" s="41"/>
    </row>
    <row r="895" spans="1:27" ht="15.75" hidden="1" customHeight="1" x14ac:dyDescent="0.25">
      <c r="A895" s="51"/>
      <c r="B895" s="41"/>
      <c r="C895" s="41"/>
      <c r="D895" s="41"/>
      <c r="E895" s="41"/>
      <c r="F895" s="41"/>
      <c r="G895" s="41"/>
      <c r="H895" s="41"/>
      <c r="I895" s="41"/>
      <c r="J895" s="41"/>
      <c r="K895" s="41"/>
      <c r="L895" s="41"/>
      <c r="M895" s="41"/>
      <c r="N895" s="41"/>
      <c r="O895" s="41"/>
      <c r="P895" s="41"/>
      <c r="Q895" s="64"/>
      <c r="R895" s="41"/>
      <c r="S895" s="41"/>
      <c r="T895" s="41"/>
      <c r="U895" s="41"/>
      <c r="V895" s="41"/>
      <c r="W895" s="41"/>
      <c r="X895" s="41"/>
      <c r="Y895" s="41"/>
      <c r="Z895" s="41"/>
      <c r="AA895" s="41"/>
    </row>
    <row r="896" spans="1:27" ht="15.75" hidden="1" customHeight="1" x14ac:dyDescent="0.25">
      <c r="A896" s="51"/>
      <c r="B896" s="41"/>
      <c r="C896" s="41"/>
      <c r="D896" s="41"/>
      <c r="E896" s="41"/>
      <c r="F896" s="41"/>
      <c r="G896" s="41"/>
      <c r="H896" s="41"/>
      <c r="I896" s="41"/>
      <c r="J896" s="41"/>
      <c r="K896" s="41"/>
      <c r="L896" s="41"/>
      <c r="M896" s="41"/>
      <c r="N896" s="41"/>
      <c r="O896" s="41"/>
      <c r="P896" s="41"/>
      <c r="Q896" s="64"/>
      <c r="R896" s="41"/>
      <c r="S896" s="41"/>
      <c r="T896" s="41"/>
      <c r="U896" s="41"/>
      <c r="V896" s="41"/>
      <c r="W896" s="41"/>
      <c r="X896" s="41"/>
      <c r="Y896" s="41"/>
      <c r="Z896" s="41"/>
      <c r="AA896" s="41"/>
    </row>
    <row r="897" spans="1:27" ht="15.75" hidden="1" customHeight="1" x14ac:dyDescent="0.25">
      <c r="A897" s="51"/>
      <c r="B897" s="41"/>
      <c r="C897" s="41"/>
      <c r="D897" s="41"/>
      <c r="E897" s="41"/>
      <c r="F897" s="41"/>
      <c r="G897" s="41"/>
      <c r="H897" s="41"/>
      <c r="I897" s="41"/>
      <c r="J897" s="41"/>
      <c r="K897" s="41"/>
      <c r="L897" s="41"/>
      <c r="M897" s="41"/>
      <c r="N897" s="41"/>
      <c r="O897" s="41"/>
      <c r="P897" s="41"/>
      <c r="Q897" s="64"/>
      <c r="R897" s="41"/>
      <c r="S897" s="41"/>
      <c r="T897" s="41"/>
      <c r="U897" s="41"/>
      <c r="V897" s="41"/>
      <c r="W897" s="41"/>
      <c r="X897" s="41"/>
      <c r="Y897" s="41"/>
      <c r="Z897" s="41"/>
      <c r="AA897" s="41"/>
    </row>
    <row r="898" spans="1:27" ht="15.75" hidden="1" customHeight="1" x14ac:dyDescent="0.25">
      <c r="A898" s="51"/>
      <c r="B898" s="41"/>
      <c r="C898" s="41"/>
      <c r="D898" s="41"/>
      <c r="E898" s="41"/>
      <c r="F898" s="41"/>
      <c r="G898" s="41"/>
      <c r="H898" s="41"/>
      <c r="I898" s="41"/>
      <c r="J898" s="41"/>
      <c r="K898" s="41"/>
      <c r="L898" s="41"/>
      <c r="M898" s="41"/>
      <c r="N898" s="41"/>
      <c r="O898" s="41"/>
      <c r="P898" s="41"/>
      <c r="Q898" s="64"/>
      <c r="R898" s="41"/>
      <c r="S898" s="41"/>
      <c r="T898" s="41"/>
      <c r="U898" s="41"/>
      <c r="V898" s="41"/>
      <c r="W898" s="41"/>
      <c r="X898" s="41"/>
      <c r="Y898" s="41"/>
      <c r="Z898" s="41"/>
      <c r="AA898" s="41"/>
    </row>
    <row r="899" spans="1:27" ht="15.75" hidden="1" customHeight="1" x14ac:dyDescent="0.25">
      <c r="A899" s="51"/>
      <c r="B899" s="41"/>
      <c r="C899" s="41"/>
      <c r="D899" s="41"/>
      <c r="E899" s="41"/>
      <c r="F899" s="41"/>
      <c r="G899" s="41"/>
      <c r="H899" s="41"/>
      <c r="I899" s="41"/>
      <c r="J899" s="41"/>
      <c r="K899" s="41"/>
      <c r="L899" s="41"/>
      <c r="M899" s="41"/>
      <c r="N899" s="41"/>
      <c r="O899" s="41"/>
      <c r="P899" s="41"/>
      <c r="Q899" s="64"/>
      <c r="R899" s="41"/>
      <c r="S899" s="41"/>
      <c r="T899" s="41"/>
      <c r="U899" s="41"/>
      <c r="V899" s="41"/>
      <c r="W899" s="41"/>
      <c r="X899" s="41"/>
      <c r="Y899" s="41"/>
      <c r="Z899" s="41"/>
      <c r="AA899" s="41"/>
    </row>
    <row r="900" spans="1:27" ht="15.75" hidden="1" customHeight="1" x14ac:dyDescent="0.25">
      <c r="A900" s="51"/>
      <c r="B900" s="41"/>
      <c r="C900" s="41"/>
      <c r="D900" s="41"/>
      <c r="E900" s="41"/>
      <c r="F900" s="41"/>
      <c r="G900" s="41"/>
      <c r="H900" s="41"/>
      <c r="I900" s="41"/>
      <c r="J900" s="41"/>
      <c r="K900" s="41"/>
      <c r="L900" s="41"/>
      <c r="M900" s="41"/>
      <c r="N900" s="41"/>
      <c r="O900" s="41"/>
      <c r="P900" s="41"/>
      <c r="Q900" s="64"/>
      <c r="R900" s="41"/>
      <c r="S900" s="41"/>
      <c r="T900" s="41"/>
      <c r="U900" s="41"/>
      <c r="V900" s="41"/>
      <c r="W900" s="41"/>
      <c r="X900" s="41"/>
      <c r="Y900" s="41"/>
      <c r="Z900" s="41"/>
      <c r="AA900" s="41"/>
    </row>
    <row r="901" spans="1:27" ht="15.75" hidden="1" customHeight="1" x14ac:dyDescent="0.25">
      <c r="A901" s="51"/>
      <c r="B901" s="41"/>
      <c r="C901" s="41"/>
      <c r="D901" s="41"/>
      <c r="E901" s="41"/>
      <c r="F901" s="41"/>
      <c r="G901" s="41"/>
      <c r="H901" s="41"/>
      <c r="I901" s="41"/>
      <c r="J901" s="41"/>
      <c r="K901" s="41"/>
      <c r="L901" s="41"/>
      <c r="M901" s="41"/>
      <c r="N901" s="41"/>
      <c r="O901" s="41"/>
      <c r="P901" s="41"/>
      <c r="Q901" s="64"/>
      <c r="R901" s="41"/>
      <c r="S901" s="41"/>
      <c r="T901" s="41"/>
      <c r="U901" s="41"/>
      <c r="V901" s="41"/>
      <c r="W901" s="41"/>
      <c r="X901" s="41"/>
      <c r="Y901" s="41"/>
      <c r="Z901" s="41"/>
      <c r="AA901" s="41"/>
    </row>
    <row r="902" spans="1:27" ht="15.75" hidden="1" customHeight="1" x14ac:dyDescent="0.25">
      <c r="A902" s="51"/>
      <c r="B902" s="41"/>
      <c r="C902" s="41"/>
      <c r="D902" s="41"/>
      <c r="E902" s="41"/>
      <c r="F902" s="41"/>
      <c r="G902" s="41"/>
      <c r="H902" s="41"/>
      <c r="I902" s="41"/>
      <c r="J902" s="41"/>
      <c r="K902" s="41"/>
      <c r="L902" s="41"/>
      <c r="M902" s="41"/>
      <c r="N902" s="41"/>
      <c r="O902" s="41"/>
      <c r="P902" s="41"/>
      <c r="Q902" s="64"/>
      <c r="R902" s="41"/>
      <c r="S902" s="41"/>
      <c r="T902" s="41"/>
      <c r="U902" s="41"/>
      <c r="V902" s="41"/>
      <c r="W902" s="41"/>
      <c r="X902" s="41"/>
      <c r="Y902" s="41"/>
      <c r="Z902" s="41"/>
      <c r="AA902" s="41"/>
    </row>
    <row r="903" spans="1:27" ht="15.75" hidden="1" customHeight="1" x14ac:dyDescent="0.25">
      <c r="A903" s="51"/>
      <c r="B903" s="41"/>
      <c r="C903" s="41"/>
      <c r="D903" s="41"/>
      <c r="E903" s="41"/>
      <c r="F903" s="41"/>
      <c r="G903" s="41"/>
      <c r="H903" s="41"/>
      <c r="I903" s="41"/>
      <c r="J903" s="41"/>
      <c r="K903" s="41"/>
      <c r="L903" s="41"/>
      <c r="M903" s="41"/>
      <c r="N903" s="41"/>
      <c r="O903" s="41"/>
      <c r="P903" s="41"/>
      <c r="Q903" s="64"/>
      <c r="R903" s="41"/>
      <c r="S903" s="41"/>
      <c r="T903" s="41"/>
      <c r="U903" s="41"/>
      <c r="V903" s="41"/>
      <c r="W903" s="41"/>
      <c r="X903" s="41"/>
      <c r="Y903" s="41"/>
      <c r="Z903" s="41"/>
      <c r="AA903" s="41"/>
    </row>
    <row r="904" spans="1:27" ht="15.75" hidden="1" customHeight="1" x14ac:dyDescent="0.25">
      <c r="A904" s="51"/>
      <c r="B904" s="41"/>
      <c r="C904" s="41"/>
      <c r="D904" s="41"/>
      <c r="E904" s="41"/>
      <c r="F904" s="41"/>
      <c r="G904" s="41"/>
      <c r="H904" s="41"/>
      <c r="I904" s="41"/>
      <c r="J904" s="41"/>
      <c r="K904" s="41"/>
      <c r="L904" s="41"/>
      <c r="M904" s="41"/>
      <c r="N904" s="41"/>
      <c r="O904" s="41"/>
      <c r="P904" s="41"/>
      <c r="Q904" s="64"/>
      <c r="R904" s="41"/>
      <c r="S904" s="41"/>
      <c r="T904" s="41"/>
      <c r="U904" s="41"/>
      <c r="V904" s="41"/>
      <c r="W904" s="41"/>
      <c r="X904" s="41"/>
      <c r="Y904" s="41"/>
      <c r="Z904" s="41"/>
      <c r="AA904" s="41"/>
    </row>
    <row r="905" spans="1:27" ht="15.75" hidden="1" customHeight="1" x14ac:dyDescent="0.25">
      <c r="A905" s="51"/>
      <c r="B905" s="41"/>
      <c r="C905" s="41"/>
      <c r="D905" s="41"/>
      <c r="E905" s="41"/>
      <c r="F905" s="41"/>
      <c r="G905" s="41"/>
      <c r="H905" s="41"/>
      <c r="I905" s="41"/>
      <c r="J905" s="41"/>
      <c r="K905" s="41"/>
      <c r="L905" s="41"/>
      <c r="M905" s="41"/>
      <c r="N905" s="41"/>
      <c r="O905" s="41"/>
      <c r="P905" s="41"/>
      <c r="Q905" s="64"/>
      <c r="R905" s="41"/>
      <c r="S905" s="41"/>
      <c r="T905" s="41"/>
      <c r="U905" s="41"/>
      <c r="V905" s="41"/>
      <c r="W905" s="41"/>
      <c r="X905" s="41"/>
      <c r="Y905" s="41"/>
      <c r="Z905" s="41"/>
      <c r="AA905" s="41"/>
    </row>
    <row r="906" spans="1:27" ht="15.75" hidden="1" customHeight="1" x14ac:dyDescent="0.25">
      <c r="A906" s="51"/>
      <c r="B906" s="41"/>
      <c r="C906" s="41"/>
      <c r="D906" s="41"/>
      <c r="E906" s="41"/>
      <c r="F906" s="41"/>
      <c r="G906" s="41"/>
      <c r="H906" s="41"/>
      <c r="I906" s="41"/>
      <c r="J906" s="41"/>
      <c r="K906" s="41"/>
      <c r="L906" s="41"/>
      <c r="M906" s="41"/>
      <c r="N906" s="41"/>
      <c r="O906" s="41"/>
      <c r="P906" s="41"/>
      <c r="Q906" s="64"/>
      <c r="R906" s="41"/>
      <c r="S906" s="41"/>
      <c r="T906" s="41"/>
      <c r="U906" s="41"/>
      <c r="V906" s="41"/>
      <c r="W906" s="41"/>
      <c r="X906" s="41"/>
      <c r="Y906" s="41"/>
      <c r="Z906" s="41"/>
      <c r="AA906" s="41"/>
    </row>
    <row r="907" spans="1:27" ht="15.75" hidden="1" customHeight="1" x14ac:dyDescent="0.25">
      <c r="A907" s="51"/>
      <c r="B907" s="41"/>
      <c r="C907" s="41"/>
      <c r="D907" s="41"/>
      <c r="E907" s="41"/>
      <c r="F907" s="41"/>
      <c r="G907" s="41"/>
      <c r="H907" s="41"/>
      <c r="I907" s="41"/>
      <c r="J907" s="41"/>
      <c r="K907" s="41"/>
      <c r="L907" s="41"/>
      <c r="M907" s="41"/>
      <c r="N907" s="41"/>
      <c r="O907" s="41"/>
      <c r="P907" s="41"/>
      <c r="Q907" s="64"/>
      <c r="R907" s="41"/>
      <c r="S907" s="41"/>
      <c r="T907" s="41"/>
      <c r="U907" s="41"/>
      <c r="V907" s="41"/>
      <c r="W907" s="41"/>
      <c r="X907" s="41"/>
      <c r="Y907" s="41"/>
      <c r="Z907" s="41"/>
      <c r="AA907" s="41"/>
    </row>
    <row r="908" spans="1:27" ht="15.75" hidden="1" customHeight="1" x14ac:dyDescent="0.25">
      <c r="A908" s="51"/>
      <c r="B908" s="41"/>
      <c r="C908" s="41"/>
      <c r="D908" s="41"/>
      <c r="E908" s="41"/>
      <c r="F908" s="41"/>
      <c r="G908" s="41"/>
      <c r="H908" s="41"/>
      <c r="I908" s="41"/>
      <c r="J908" s="41"/>
      <c r="K908" s="41"/>
      <c r="L908" s="41"/>
      <c r="M908" s="41"/>
      <c r="N908" s="41"/>
      <c r="O908" s="41"/>
      <c r="P908" s="41"/>
      <c r="Q908" s="64"/>
      <c r="R908" s="41"/>
      <c r="S908" s="41"/>
      <c r="T908" s="41"/>
      <c r="U908" s="41"/>
      <c r="V908" s="41"/>
      <c r="W908" s="41"/>
      <c r="X908" s="41"/>
      <c r="Y908" s="41"/>
      <c r="Z908" s="41"/>
      <c r="AA908" s="41"/>
    </row>
    <row r="909" spans="1:27" ht="15.75" hidden="1" customHeight="1" x14ac:dyDescent="0.25">
      <c r="A909" s="51"/>
      <c r="B909" s="41"/>
      <c r="C909" s="41"/>
      <c r="D909" s="41"/>
      <c r="E909" s="41"/>
      <c r="F909" s="41"/>
      <c r="G909" s="41"/>
      <c r="H909" s="41"/>
      <c r="I909" s="41"/>
      <c r="J909" s="41"/>
      <c r="K909" s="41"/>
      <c r="L909" s="41"/>
      <c r="M909" s="41"/>
      <c r="N909" s="41"/>
      <c r="O909" s="41"/>
      <c r="P909" s="41"/>
      <c r="Q909" s="64"/>
      <c r="R909" s="41"/>
      <c r="S909" s="41"/>
      <c r="T909" s="41"/>
      <c r="U909" s="41"/>
      <c r="V909" s="41"/>
      <c r="W909" s="41"/>
      <c r="X909" s="41"/>
      <c r="Y909" s="41"/>
      <c r="Z909" s="41"/>
      <c r="AA909" s="41"/>
    </row>
    <row r="910" spans="1:27" ht="15.75" hidden="1" customHeight="1" x14ac:dyDescent="0.25">
      <c r="A910" s="51"/>
      <c r="B910" s="41"/>
      <c r="C910" s="41"/>
      <c r="D910" s="41"/>
      <c r="E910" s="41"/>
      <c r="F910" s="41"/>
      <c r="G910" s="41"/>
      <c r="H910" s="41"/>
      <c r="I910" s="41"/>
      <c r="J910" s="41"/>
      <c r="K910" s="41"/>
      <c r="L910" s="41"/>
      <c r="M910" s="41"/>
      <c r="N910" s="41"/>
      <c r="O910" s="41"/>
      <c r="P910" s="41"/>
      <c r="Q910" s="64"/>
      <c r="R910" s="41"/>
      <c r="S910" s="41"/>
      <c r="T910" s="41"/>
      <c r="U910" s="41"/>
      <c r="V910" s="41"/>
      <c r="W910" s="41"/>
      <c r="X910" s="41"/>
      <c r="Y910" s="41"/>
      <c r="Z910" s="41"/>
      <c r="AA910" s="41"/>
    </row>
    <row r="911" spans="1:27" ht="15.75" hidden="1" customHeight="1" x14ac:dyDescent="0.25">
      <c r="A911" s="51"/>
      <c r="B911" s="41"/>
      <c r="C911" s="41"/>
      <c r="D911" s="41"/>
      <c r="E911" s="41"/>
      <c r="F911" s="41"/>
      <c r="G911" s="41"/>
      <c r="H911" s="41"/>
      <c r="I911" s="41"/>
      <c r="J911" s="41"/>
      <c r="K911" s="41"/>
      <c r="L911" s="41"/>
      <c r="M911" s="41"/>
      <c r="N911" s="41"/>
      <c r="O911" s="41"/>
      <c r="P911" s="41"/>
      <c r="Q911" s="64"/>
      <c r="R911" s="41"/>
      <c r="S911" s="41"/>
      <c r="T911" s="41"/>
      <c r="U911" s="41"/>
      <c r="V911" s="41"/>
      <c r="W911" s="41"/>
      <c r="X911" s="41"/>
      <c r="Y911" s="41"/>
      <c r="Z911" s="41"/>
      <c r="AA911" s="41"/>
    </row>
    <row r="912" spans="1:27" ht="15.75" hidden="1" customHeight="1" x14ac:dyDescent="0.25">
      <c r="A912" s="51"/>
      <c r="B912" s="41"/>
      <c r="C912" s="41"/>
      <c r="D912" s="41"/>
      <c r="E912" s="41"/>
      <c r="F912" s="41"/>
      <c r="G912" s="41"/>
      <c r="H912" s="41"/>
      <c r="I912" s="41"/>
      <c r="J912" s="41"/>
      <c r="K912" s="41"/>
      <c r="L912" s="41"/>
      <c r="M912" s="41"/>
      <c r="N912" s="41"/>
      <c r="O912" s="41"/>
      <c r="P912" s="41"/>
      <c r="Q912" s="64"/>
      <c r="R912" s="41"/>
      <c r="S912" s="41"/>
      <c r="T912" s="41"/>
      <c r="U912" s="41"/>
      <c r="V912" s="41"/>
      <c r="W912" s="41"/>
      <c r="X912" s="41"/>
      <c r="Y912" s="41"/>
      <c r="Z912" s="41"/>
      <c r="AA912" s="41"/>
    </row>
    <row r="913" spans="1:27" ht="15.75" hidden="1" customHeight="1" x14ac:dyDescent="0.25">
      <c r="A913" s="51"/>
      <c r="B913" s="41"/>
      <c r="C913" s="41"/>
      <c r="D913" s="41"/>
      <c r="E913" s="41"/>
      <c r="F913" s="41"/>
      <c r="G913" s="41"/>
      <c r="H913" s="41"/>
      <c r="I913" s="41"/>
      <c r="J913" s="41"/>
      <c r="K913" s="41"/>
      <c r="L913" s="41"/>
      <c r="M913" s="41"/>
      <c r="N913" s="41"/>
      <c r="O913" s="41"/>
      <c r="P913" s="41"/>
      <c r="Q913" s="64"/>
      <c r="R913" s="41"/>
      <c r="S913" s="41"/>
      <c r="T913" s="41"/>
      <c r="U913" s="41"/>
      <c r="V913" s="41"/>
      <c r="W913" s="41"/>
      <c r="X913" s="41"/>
      <c r="Y913" s="41"/>
      <c r="Z913" s="41"/>
      <c r="AA913" s="41"/>
    </row>
    <row r="914" spans="1:27" ht="15.75" hidden="1" customHeight="1" x14ac:dyDescent="0.25">
      <c r="A914" s="51"/>
      <c r="B914" s="41"/>
      <c r="C914" s="41"/>
      <c r="D914" s="41"/>
      <c r="E914" s="41"/>
      <c r="F914" s="41"/>
      <c r="G914" s="41"/>
      <c r="H914" s="41"/>
      <c r="I914" s="41"/>
      <c r="J914" s="41"/>
      <c r="K914" s="41"/>
      <c r="L914" s="41"/>
      <c r="M914" s="41"/>
      <c r="N914" s="41"/>
      <c r="O914" s="41"/>
      <c r="P914" s="41"/>
      <c r="Q914" s="64"/>
      <c r="R914" s="41"/>
      <c r="S914" s="41"/>
      <c r="T914" s="41"/>
      <c r="U914" s="41"/>
      <c r="V914" s="41"/>
      <c r="W914" s="41"/>
      <c r="X914" s="41"/>
      <c r="Y914" s="41"/>
      <c r="Z914" s="41"/>
      <c r="AA914" s="41"/>
    </row>
    <row r="915" spans="1:27" ht="15.75" hidden="1" customHeight="1" x14ac:dyDescent="0.25">
      <c r="A915" s="51"/>
      <c r="B915" s="41"/>
      <c r="C915" s="41"/>
      <c r="D915" s="41"/>
      <c r="E915" s="41"/>
      <c r="F915" s="41"/>
      <c r="G915" s="41"/>
      <c r="H915" s="41"/>
      <c r="I915" s="41"/>
      <c r="J915" s="41"/>
      <c r="K915" s="41"/>
      <c r="L915" s="41"/>
      <c r="M915" s="41"/>
      <c r="N915" s="41"/>
      <c r="O915" s="41"/>
      <c r="P915" s="41"/>
      <c r="Q915" s="64"/>
      <c r="R915" s="41"/>
      <c r="S915" s="41"/>
      <c r="T915" s="41"/>
      <c r="U915" s="41"/>
      <c r="V915" s="41"/>
      <c r="W915" s="41"/>
      <c r="X915" s="41"/>
      <c r="Y915" s="41"/>
      <c r="Z915" s="41"/>
      <c r="AA915" s="41"/>
    </row>
    <row r="916" spans="1:27" ht="15.75" hidden="1" customHeight="1" x14ac:dyDescent="0.25">
      <c r="A916" s="51"/>
      <c r="B916" s="41"/>
      <c r="C916" s="41"/>
      <c r="D916" s="41"/>
      <c r="E916" s="41"/>
      <c r="F916" s="41"/>
      <c r="G916" s="41"/>
      <c r="H916" s="41"/>
      <c r="I916" s="41"/>
      <c r="J916" s="41"/>
      <c r="K916" s="41"/>
      <c r="L916" s="41"/>
      <c r="M916" s="41"/>
      <c r="N916" s="41"/>
      <c r="O916" s="41"/>
      <c r="P916" s="41"/>
      <c r="Q916" s="64"/>
      <c r="R916" s="41"/>
      <c r="S916" s="41"/>
      <c r="T916" s="41"/>
      <c r="U916" s="41"/>
      <c r="V916" s="41"/>
      <c r="W916" s="41"/>
      <c r="X916" s="41"/>
      <c r="Y916" s="41"/>
      <c r="Z916" s="41"/>
      <c r="AA916" s="41"/>
    </row>
    <row r="917" spans="1:27" ht="15.75" hidden="1" customHeight="1" x14ac:dyDescent="0.25">
      <c r="A917" s="51"/>
      <c r="B917" s="41"/>
      <c r="C917" s="41"/>
      <c r="D917" s="41"/>
      <c r="E917" s="41"/>
      <c r="F917" s="41"/>
      <c r="G917" s="41"/>
      <c r="H917" s="41"/>
      <c r="I917" s="41"/>
      <c r="J917" s="41"/>
      <c r="K917" s="41"/>
      <c r="L917" s="41"/>
      <c r="M917" s="41"/>
      <c r="N917" s="41"/>
      <c r="O917" s="41"/>
      <c r="P917" s="41"/>
      <c r="Q917" s="64"/>
      <c r="R917" s="41"/>
      <c r="S917" s="41"/>
      <c r="T917" s="41"/>
      <c r="U917" s="41"/>
      <c r="V917" s="41"/>
      <c r="W917" s="41"/>
      <c r="X917" s="41"/>
      <c r="Y917" s="41"/>
      <c r="Z917" s="41"/>
      <c r="AA917" s="41"/>
    </row>
    <row r="918" spans="1:27" ht="15.75" hidden="1" customHeight="1" x14ac:dyDescent="0.25">
      <c r="A918" s="51"/>
      <c r="B918" s="41"/>
      <c r="C918" s="41"/>
      <c r="D918" s="41"/>
      <c r="E918" s="41"/>
      <c r="F918" s="41"/>
      <c r="G918" s="41"/>
      <c r="H918" s="41"/>
      <c r="I918" s="41"/>
      <c r="J918" s="41"/>
      <c r="K918" s="41"/>
      <c r="L918" s="41"/>
      <c r="M918" s="41"/>
      <c r="N918" s="41"/>
      <c r="O918" s="41"/>
      <c r="P918" s="41"/>
      <c r="Q918" s="64"/>
      <c r="R918" s="41"/>
      <c r="S918" s="41"/>
      <c r="T918" s="41"/>
      <c r="U918" s="41"/>
      <c r="V918" s="41"/>
      <c r="W918" s="41"/>
      <c r="X918" s="41"/>
      <c r="Y918" s="41"/>
      <c r="Z918" s="41"/>
      <c r="AA918" s="41"/>
    </row>
    <row r="919" spans="1:27" ht="15.75" hidden="1" customHeight="1" x14ac:dyDescent="0.25">
      <c r="A919" s="51"/>
      <c r="B919" s="41"/>
      <c r="C919" s="41"/>
      <c r="D919" s="41"/>
      <c r="E919" s="41"/>
      <c r="F919" s="41"/>
      <c r="G919" s="41"/>
      <c r="H919" s="41"/>
      <c r="I919" s="41"/>
      <c r="J919" s="41"/>
      <c r="K919" s="41"/>
      <c r="L919" s="41"/>
      <c r="M919" s="41"/>
      <c r="N919" s="41"/>
      <c r="O919" s="41"/>
      <c r="P919" s="41"/>
      <c r="Q919" s="64"/>
      <c r="R919" s="41"/>
      <c r="S919" s="41"/>
      <c r="T919" s="41"/>
      <c r="U919" s="41"/>
      <c r="V919" s="41"/>
      <c r="W919" s="41"/>
      <c r="X919" s="41"/>
      <c r="Y919" s="41"/>
      <c r="Z919" s="41"/>
      <c r="AA919" s="41"/>
    </row>
    <row r="920" spans="1:27" ht="15.75" hidden="1" customHeight="1" x14ac:dyDescent="0.25">
      <c r="A920" s="51"/>
      <c r="B920" s="41"/>
      <c r="C920" s="41"/>
      <c r="D920" s="41"/>
      <c r="E920" s="41"/>
      <c r="F920" s="41"/>
      <c r="G920" s="41"/>
      <c r="H920" s="41"/>
      <c r="I920" s="41"/>
      <c r="J920" s="41"/>
      <c r="K920" s="41"/>
      <c r="L920" s="41"/>
      <c r="M920" s="41"/>
      <c r="N920" s="41"/>
      <c r="O920" s="41"/>
      <c r="P920" s="41"/>
      <c r="Q920" s="64"/>
      <c r="R920" s="41"/>
      <c r="S920" s="41"/>
      <c r="T920" s="41"/>
      <c r="U920" s="41"/>
      <c r="V920" s="41"/>
      <c r="W920" s="41"/>
      <c r="X920" s="41"/>
      <c r="Y920" s="41"/>
      <c r="Z920" s="41"/>
      <c r="AA920" s="41"/>
    </row>
    <row r="921" spans="1:27" ht="15.75" hidden="1" customHeight="1" x14ac:dyDescent="0.25">
      <c r="A921" s="51"/>
      <c r="B921" s="41"/>
      <c r="C921" s="41"/>
      <c r="D921" s="41"/>
      <c r="E921" s="41"/>
      <c r="F921" s="41"/>
      <c r="G921" s="41"/>
      <c r="H921" s="41"/>
      <c r="I921" s="41"/>
      <c r="J921" s="41"/>
      <c r="K921" s="41"/>
      <c r="L921" s="41"/>
      <c r="M921" s="41"/>
      <c r="N921" s="41"/>
      <c r="O921" s="41"/>
      <c r="P921" s="41"/>
      <c r="Q921" s="64"/>
      <c r="R921" s="41"/>
      <c r="S921" s="41"/>
      <c r="T921" s="41"/>
      <c r="U921" s="41"/>
      <c r="V921" s="41"/>
      <c r="W921" s="41"/>
      <c r="X921" s="41"/>
      <c r="Y921" s="41"/>
      <c r="Z921" s="41"/>
      <c r="AA921" s="41"/>
    </row>
    <row r="922" spans="1:27" ht="15.75" hidden="1" customHeight="1" x14ac:dyDescent="0.25">
      <c r="A922" s="51"/>
      <c r="B922" s="41"/>
      <c r="C922" s="41"/>
      <c r="D922" s="41"/>
      <c r="E922" s="41"/>
      <c r="F922" s="41"/>
      <c r="G922" s="41"/>
      <c r="H922" s="41"/>
      <c r="I922" s="41"/>
      <c r="J922" s="41"/>
      <c r="K922" s="41"/>
      <c r="L922" s="41"/>
      <c r="M922" s="41"/>
      <c r="N922" s="41"/>
      <c r="O922" s="41"/>
      <c r="P922" s="41"/>
      <c r="Q922" s="64"/>
      <c r="R922" s="41"/>
      <c r="S922" s="41"/>
      <c r="T922" s="41"/>
      <c r="U922" s="41"/>
      <c r="V922" s="41"/>
      <c r="W922" s="41"/>
      <c r="X922" s="41"/>
      <c r="Y922" s="41"/>
      <c r="Z922" s="41"/>
      <c r="AA922" s="41"/>
    </row>
    <row r="923" spans="1:27" ht="15.75" hidden="1" customHeight="1" x14ac:dyDescent="0.25">
      <c r="A923" s="51"/>
      <c r="B923" s="41"/>
      <c r="C923" s="41"/>
      <c r="D923" s="41"/>
      <c r="E923" s="41"/>
      <c r="F923" s="41"/>
      <c r="G923" s="41"/>
      <c r="H923" s="41"/>
      <c r="I923" s="41"/>
      <c r="J923" s="41"/>
      <c r="K923" s="41"/>
      <c r="L923" s="41"/>
      <c r="M923" s="41"/>
      <c r="N923" s="41"/>
      <c r="O923" s="41"/>
      <c r="P923" s="41"/>
      <c r="Q923" s="64"/>
      <c r="R923" s="41"/>
      <c r="S923" s="41"/>
      <c r="T923" s="41"/>
      <c r="U923" s="41"/>
      <c r="V923" s="41"/>
      <c r="W923" s="41"/>
      <c r="X923" s="41"/>
      <c r="Y923" s="41"/>
      <c r="Z923" s="41"/>
      <c r="AA923" s="41"/>
    </row>
    <row r="924" spans="1:27" ht="15.75" hidden="1" customHeight="1" x14ac:dyDescent="0.25">
      <c r="A924" s="51"/>
      <c r="B924" s="41"/>
      <c r="C924" s="41"/>
      <c r="D924" s="41"/>
      <c r="E924" s="41"/>
      <c r="F924" s="41"/>
      <c r="G924" s="41"/>
      <c r="H924" s="41"/>
      <c r="I924" s="41"/>
      <c r="J924" s="41"/>
      <c r="K924" s="41"/>
      <c r="L924" s="41"/>
      <c r="M924" s="41"/>
      <c r="N924" s="41"/>
      <c r="O924" s="41"/>
      <c r="P924" s="41"/>
      <c r="Q924" s="64"/>
      <c r="R924" s="41"/>
      <c r="S924" s="41"/>
      <c r="T924" s="41"/>
      <c r="U924" s="41"/>
      <c r="V924" s="41"/>
      <c r="W924" s="41"/>
      <c r="X924" s="41"/>
      <c r="Y924" s="41"/>
      <c r="Z924" s="41"/>
      <c r="AA924" s="41"/>
    </row>
    <row r="925" spans="1:27" ht="15.75" hidden="1" customHeight="1" x14ac:dyDescent="0.25">
      <c r="A925" s="51"/>
      <c r="B925" s="41"/>
      <c r="C925" s="41"/>
      <c r="D925" s="41"/>
      <c r="E925" s="41"/>
      <c r="F925" s="41"/>
      <c r="G925" s="41"/>
      <c r="H925" s="41"/>
      <c r="I925" s="41"/>
      <c r="J925" s="41"/>
      <c r="K925" s="41"/>
      <c r="L925" s="41"/>
      <c r="M925" s="41"/>
      <c r="N925" s="41"/>
      <c r="O925" s="41"/>
      <c r="P925" s="41"/>
      <c r="Q925" s="64"/>
      <c r="R925" s="41"/>
      <c r="S925" s="41"/>
      <c r="T925" s="41"/>
      <c r="U925" s="41"/>
      <c r="V925" s="41"/>
      <c r="W925" s="41"/>
      <c r="X925" s="41"/>
      <c r="Y925" s="41"/>
      <c r="Z925" s="41"/>
      <c r="AA925" s="41"/>
    </row>
    <row r="926" spans="1:27" ht="15.75" hidden="1" customHeight="1" x14ac:dyDescent="0.25">
      <c r="A926" s="51"/>
      <c r="B926" s="41"/>
      <c r="C926" s="41"/>
      <c r="D926" s="41"/>
      <c r="E926" s="41"/>
      <c r="F926" s="41"/>
      <c r="G926" s="41"/>
      <c r="H926" s="41"/>
      <c r="I926" s="41"/>
      <c r="J926" s="41"/>
      <c r="K926" s="41"/>
      <c r="L926" s="41"/>
      <c r="M926" s="41"/>
      <c r="N926" s="41"/>
      <c r="O926" s="41"/>
      <c r="P926" s="41"/>
      <c r="Q926" s="64"/>
      <c r="R926" s="41"/>
      <c r="S926" s="41"/>
      <c r="T926" s="41"/>
      <c r="U926" s="41"/>
      <c r="V926" s="41"/>
      <c r="W926" s="41"/>
      <c r="X926" s="41"/>
      <c r="Y926" s="41"/>
      <c r="Z926" s="41"/>
      <c r="AA926" s="41"/>
    </row>
    <row r="927" spans="1:27" ht="15.75" hidden="1" customHeight="1" x14ac:dyDescent="0.25">
      <c r="A927" s="51"/>
      <c r="B927" s="41"/>
      <c r="C927" s="41"/>
      <c r="D927" s="41"/>
      <c r="E927" s="41"/>
      <c r="F927" s="41"/>
      <c r="G927" s="41"/>
      <c r="H927" s="41"/>
      <c r="I927" s="41"/>
      <c r="J927" s="41"/>
      <c r="K927" s="41"/>
      <c r="L927" s="41"/>
      <c r="M927" s="41"/>
      <c r="N927" s="41"/>
      <c r="O927" s="41"/>
      <c r="P927" s="41"/>
      <c r="Q927" s="64"/>
      <c r="R927" s="41"/>
      <c r="S927" s="41"/>
      <c r="T927" s="41"/>
      <c r="U927" s="41"/>
      <c r="V927" s="41"/>
      <c r="W927" s="41"/>
      <c r="X927" s="41"/>
      <c r="Y927" s="41"/>
      <c r="Z927" s="41"/>
      <c r="AA927" s="41"/>
    </row>
    <row r="928" spans="1:27" ht="15.75" hidden="1" customHeight="1" x14ac:dyDescent="0.25">
      <c r="A928" s="51"/>
      <c r="B928" s="41"/>
      <c r="C928" s="41"/>
      <c r="D928" s="41"/>
      <c r="E928" s="41"/>
      <c r="F928" s="41"/>
      <c r="G928" s="41"/>
      <c r="H928" s="41"/>
      <c r="I928" s="41"/>
      <c r="J928" s="41"/>
      <c r="K928" s="41"/>
      <c r="L928" s="41"/>
      <c r="M928" s="41"/>
      <c r="N928" s="41"/>
      <c r="O928" s="41"/>
      <c r="P928" s="41"/>
      <c r="Q928" s="64"/>
      <c r="R928" s="41"/>
      <c r="S928" s="41"/>
      <c r="T928" s="41"/>
      <c r="U928" s="41"/>
      <c r="V928" s="41"/>
      <c r="W928" s="41"/>
      <c r="X928" s="41"/>
      <c r="Y928" s="41"/>
      <c r="Z928" s="41"/>
      <c r="AA928" s="41"/>
    </row>
    <row r="929" spans="1:27" ht="15.75" hidden="1" customHeight="1" x14ac:dyDescent="0.25">
      <c r="A929" s="51"/>
      <c r="B929" s="41"/>
      <c r="C929" s="41"/>
      <c r="D929" s="41"/>
      <c r="E929" s="41"/>
      <c r="F929" s="41"/>
      <c r="G929" s="41"/>
      <c r="H929" s="41"/>
      <c r="I929" s="41"/>
      <c r="J929" s="41"/>
      <c r="K929" s="41"/>
      <c r="L929" s="41"/>
      <c r="M929" s="41"/>
      <c r="N929" s="41"/>
      <c r="O929" s="41"/>
      <c r="P929" s="41"/>
      <c r="Q929" s="64"/>
      <c r="R929" s="41"/>
      <c r="S929" s="41"/>
      <c r="T929" s="41"/>
      <c r="U929" s="41"/>
      <c r="V929" s="41"/>
      <c r="W929" s="41"/>
      <c r="X929" s="41"/>
      <c r="Y929" s="41"/>
      <c r="Z929" s="41"/>
      <c r="AA929" s="41"/>
    </row>
    <row r="930" spans="1:27" ht="15.75" hidden="1" customHeight="1" x14ac:dyDescent="0.25">
      <c r="A930" s="51"/>
      <c r="B930" s="41"/>
      <c r="C930" s="41"/>
      <c r="D930" s="41"/>
      <c r="E930" s="41"/>
      <c r="F930" s="41"/>
      <c r="G930" s="41"/>
      <c r="H930" s="41"/>
      <c r="I930" s="41"/>
      <c r="J930" s="41"/>
      <c r="K930" s="41"/>
      <c r="L930" s="41"/>
      <c r="M930" s="41"/>
      <c r="N930" s="41"/>
      <c r="O930" s="41"/>
      <c r="P930" s="41"/>
      <c r="Q930" s="64"/>
      <c r="R930" s="41"/>
      <c r="S930" s="41"/>
      <c r="T930" s="41"/>
      <c r="U930" s="41"/>
      <c r="V930" s="41"/>
      <c r="W930" s="41"/>
      <c r="X930" s="41"/>
      <c r="Y930" s="41"/>
      <c r="Z930" s="41"/>
      <c r="AA930" s="41"/>
    </row>
    <row r="931" spans="1:27" ht="15.75" hidden="1" customHeight="1" x14ac:dyDescent="0.25">
      <c r="A931" s="51"/>
      <c r="B931" s="41"/>
      <c r="C931" s="41"/>
      <c r="D931" s="41"/>
      <c r="E931" s="41"/>
      <c r="F931" s="41"/>
      <c r="G931" s="41"/>
      <c r="H931" s="41"/>
      <c r="I931" s="41"/>
      <c r="J931" s="41"/>
      <c r="K931" s="41"/>
      <c r="L931" s="41"/>
      <c r="M931" s="41"/>
      <c r="N931" s="41"/>
      <c r="O931" s="41"/>
      <c r="P931" s="41"/>
      <c r="Q931" s="64"/>
      <c r="R931" s="41"/>
      <c r="S931" s="41"/>
      <c r="T931" s="41"/>
      <c r="U931" s="41"/>
      <c r="V931" s="41"/>
      <c r="W931" s="41"/>
      <c r="X931" s="41"/>
      <c r="Y931" s="41"/>
      <c r="Z931" s="41"/>
      <c r="AA931" s="41"/>
    </row>
    <row r="932" spans="1:27" ht="15.75" hidden="1" customHeight="1" x14ac:dyDescent="0.25">
      <c r="A932" s="51"/>
      <c r="B932" s="41"/>
      <c r="C932" s="41"/>
      <c r="D932" s="41"/>
      <c r="E932" s="41"/>
      <c r="F932" s="41"/>
      <c r="G932" s="41"/>
      <c r="H932" s="41"/>
      <c r="I932" s="41"/>
      <c r="J932" s="41"/>
      <c r="K932" s="41"/>
      <c r="L932" s="41"/>
      <c r="M932" s="41"/>
      <c r="N932" s="41"/>
      <c r="O932" s="41"/>
      <c r="P932" s="41"/>
      <c r="Q932" s="64"/>
      <c r="R932" s="41"/>
      <c r="S932" s="41"/>
      <c r="T932" s="41"/>
      <c r="U932" s="41"/>
      <c r="V932" s="41"/>
      <c r="W932" s="41"/>
      <c r="X932" s="41"/>
      <c r="Y932" s="41"/>
      <c r="Z932" s="41"/>
      <c r="AA932" s="41"/>
    </row>
    <row r="933" spans="1:27" ht="15.75" hidden="1" customHeight="1" x14ac:dyDescent="0.25">
      <c r="A933" s="51"/>
      <c r="B933" s="41"/>
      <c r="C933" s="41"/>
      <c r="D933" s="41"/>
      <c r="E933" s="41"/>
      <c r="F933" s="41"/>
      <c r="G933" s="41"/>
      <c r="H933" s="41"/>
      <c r="I933" s="41"/>
      <c r="J933" s="41"/>
      <c r="K933" s="41"/>
      <c r="L933" s="41"/>
      <c r="M933" s="41"/>
      <c r="N933" s="41"/>
      <c r="O933" s="41"/>
      <c r="P933" s="41"/>
      <c r="Q933" s="64"/>
      <c r="R933" s="41"/>
      <c r="S933" s="41"/>
      <c r="T933" s="41"/>
      <c r="U933" s="41"/>
      <c r="V933" s="41"/>
      <c r="W933" s="41"/>
      <c r="X933" s="41"/>
      <c r="Y933" s="41"/>
      <c r="Z933" s="41"/>
      <c r="AA933" s="41"/>
    </row>
    <row r="934" spans="1:27" ht="15.75" hidden="1" customHeight="1" x14ac:dyDescent="0.25">
      <c r="A934" s="51"/>
      <c r="B934" s="41"/>
      <c r="C934" s="41"/>
      <c r="D934" s="41"/>
      <c r="E934" s="41"/>
      <c r="F934" s="41"/>
      <c r="G934" s="41"/>
      <c r="H934" s="41"/>
      <c r="I934" s="41"/>
      <c r="J934" s="41"/>
      <c r="K934" s="41"/>
      <c r="L934" s="41"/>
      <c r="M934" s="41"/>
      <c r="N934" s="41"/>
      <c r="O934" s="41"/>
      <c r="P934" s="41"/>
      <c r="Q934" s="64"/>
      <c r="R934" s="41"/>
      <c r="S934" s="41"/>
      <c r="T934" s="41"/>
      <c r="U934" s="41"/>
      <c r="V934" s="41"/>
      <c r="W934" s="41"/>
      <c r="X934" s="41"/>
      <c r="Y934" s="41"/>
      <c r="Z934" s="41"/>
      <c r="AA934" s="41"/>
    </row>
    <row r="935" spans="1:27" ht="15.75" hidden="1" customHeight="1" x14ac:dyDescent="0.25">
      <c r="A935" s="51"/>
      <c r="B935" s="41"/>
      <c r="C935" s="41"/>
      <c r="D935" s="41"/>
      <c r="E935" s="41"/>
      <c r="F935" s="41"/>
      <c r="G935" s="41"/>
      <c r="H935" s="41"/>
      <c r="I935" s="41"/>
      <c r="J935" s="41"/>
      <c r="K935" s="41"/>
      <c r="L935" s="41"/>
      <c r="M935" s="41"/>
      <c r="N935" s="41"/>
      <c r="O935" s="41"/>
      <c r="P935" s="41"/>
      <c r="Q935" s="64"/>
      <c r="R935" s="41"/>
      <c r="S935" s="41"/>
      <c r="T935" s="41"/>
      <c r="U935" s="41"/>
      <c r="V935" s="41"/>
      <c r="W935" s="41"/>
      <c r="X935" s="41"/>
      <c r="Y935" s="41"/>
      <c r="Z935" s="41"/>
      <c r="AA935" s="41"/>
    </row>
    <row r="936" spans="1:27" ht="15.75" hidden="1" customHeight="1" x14ac:dyDescent="0.25">
      <c r="A936" s="51"/>
      <c r="B936" s="41"/>
      <c r="C936" s="41"/>
      <c r="D936" s="41"/>
      <c r="E936" s="41"/>
      <c r="F936" s="41"/>
      <c r="G936" s="41"/>
      <c r="H936" s="41"/>
      <c r="I936" s="41"/>
      <c r="J936" s="41"/>
      <c r="K936" s="41"/>
      <c r="L936" s="41"/>
      <c r="M936" s="41"/>
      <c r="N936" s="41"/>
      <c r="O936" s="41"/>
      <c r="P936" s="41"/>
      <c r="Q936" s="64"/>
      <c r="R936" s="41"/>
      <c r="S936" s="41"/>
      <c r="T936" s="41"/>
      <c r="U936" s="41"/>
      <c r="V936" s="41"/>
      <c r="W936" s="41"/>
      <c r="X936" s="41"/>
      <c r="Y936" s="41"/>
      <c r="Z936" s="41"/>
      <c r="AA936" s="41"/>
    </row>
    <row r="937" spans="1:27" ht="15.75" hidden="1" customHeight="1" x14ac:dyDescent="0.25">
      <c r="A937" s="51"/>
      <c r="B937" s="41"/>
      <c r="C937" s="41"/>
      <c r="D937" s="41"/>
      <c r="E937" s="41"/>
      <c r="F937" s="41"/>
      <c r="G937" s="41"/>
      <c r="H937" s="41"/>
      <c r="I937" s="41"/>
      <c r="J937" s="41"/>
      <c r="K937" s="41"/>
      <c r="L937" s="41"/>
      <c r="M937" s="41"/>
      <c r="N937" s="41"/>
      <c r="O937" s="41"/>
      <c r="P937" s="41"/>
      <c r="Q937" s="64"/>
      <c r="R937" s="41"/>
      <c r="S937" s="41"/>
      <c r="T937" s="41"/>
      <c r="U937" s="41"/>
      <c r="V937" s="41"/>
      <c r="W937" s="41"/>
      <c r="X937" s="41"/>
      <c r="Y937" s="41"/>
      <c r="Z937" s="41"/>
      <c r="AA937" s="41"/>
    </row>
    <row r="938" spans="1:27" ht="15.75" hidden="1" customHeight="1" x14ac:dyDescent="0.25">
      <c r="A938" s="51"/>
      <c r="B938" s="41"/>
      <c r="C938" s="41"/>
      <c r="D938" s="41"/>
      <c r="E938" s="41"/>
      <c r="F938" s="41"/>
      <c r="G938" s="41"/>
      <c r="H938" s="41"/>
      <c r="I938" s="41"/>
      <c r="J938" s="41"/>
      <c r="K938" s="41"/>
      <c r="L938" s="41"/>
      <c r="M938" s="41"/>
      <c r="N938" s="41"/>
      <c r="O938" s="41"/>
      <c r="P938" s="41"/>
      <c r="Q938" s="64"/>
      <c r="R938" s="41"/>
      <c r="S938" s="41"/>
      <c r="T938" s="41"/>
      <c r="U938" s="41"/>
      <c r="V938" s="41"/>
      <c r="W938" s="41"/>
      <c r="X938" s="41"/>
      <c r="Y938" s="41"/>
      <c r="Z938" s="41"/>
      <c r="AA938" s="41"/>
    </row>
    <row r="939" spans="1:27" ht="15.75" hidden="1" customHeight="1" x14ac:dyDescent="0.25">
      <c r="A939" s="51"/>
      <c r="B939" s="41"/>
      <c r="C939" s="41"/>
      <c r="D939" s="41"/>
      <c r="E939" s="41"/>
      <c r="F939" s="41"/>
      <c r="G939" s="41"/>
      <c r="H939" s="41"/>
      <c r="I939" s="41"/>
      <c r="J939" s="41"/>
      <c r="K939" s="41"/>
      <c r="L939" s="41"/>
      <c r="M939" s="41"/>
      <c r="N939" s="41"/>
      <c r="O939" s="41"/>
      <c r="P939" s="41"/>
      <c r="Q939" s="64"/>
      <c r="R939" s="41"/>
      <c r="S939" s="41"/>
      <c r="T939" s="41"/>
      <c r="U939" s="41"/>
      <c r="V939" s="41"/>
      <c r="W939" s="41"/>
      <c r="X939" s="41"/>
      <c r="Y939" s="41"/>
      <c r="Z939" s="41"/>
      <c r="AA939" s="41"/>
    </row>
    <row r="940" spans="1:27" ht="15.75" hidden="1" customHeight="1" x14ac:dyDescent="0.25">
      <c r="A940" s="51"/>
      <c r="B940" s="41"/>
      <c r="C940" s="41"/>
      <c r="D940" s="41"/>
      <c r="E940" s="41"/>
      <c r="F940" s="41"/>
      <c r="G940" s="41"/>
      <c r="H940" s="41"/>
      <c r="I940" s="41"/>
      <c r="J940" s="41"/>
      <c r="K940" s="41"/>
      <c r="L940" s="41"/>
      <c r="M940" s="41"/>
      <c r="N940" s="41"/>
      <c r="O940" s="41"/>
      <c r="P940" s="41"/>
      <c r="Q940" s="64"/>
      <c r="R940" s="41"/>
      <c r="S940" s="41"/>
      <c r="T940" s="41"/>
      <c r="U940" s="41"/>
      <c r="V940" s="41"/>
      <c r="W940" s="41"/>
      <c r="X940" s="41"/>
      <c r="Y940" s="41"/>
      <c r="Z940" s="41"/>
      <c r="AA940" s="41"/>
    </row>
    <row r="941" spans="1:27" ht="15.75" hidden="1" customHeight="1" x14ac:dyDescent="0.25">
      <c r="A941" s="51"/>
      <c r="B941" s="41"/>
      <c r="C941" s="41"/>
      <c r="D941" s="41"/>
      <c r="E941" s="41"/>
      <c r="F941" s="41"/>
      <c r="G941" s="41"/>
      <c r="H941" s="41"/>
      <c r="I941" s="41"/>
      <c r="J941" s="41"/>
      <c r="K941" s="41"/>
      <c r="L941" s="41"/>
      <c r="M941" s="41"/>
      <c r="N941" s="41"/>
      <c r="O941" s="41"/>
      <c r="P941" s="41"/>
      <c r="Q941" s="64"/>
      <c r="R941" s="41"/>
      <c r="S941" s="41"/>
      <c r="T941" s="41"/>
      <c r="U941" s="41"/>
      <c r="V941" s="41"/>
      <c r="W941" s="41"/>
      <c r="X941" s="41"/>
      <c r="Y941" s="41"/>
      <c r="Z941" s="41"/>
      <c r="AA941" s="41"/>
    </row>
    <row r="942" spans="1:27" ht="15.75" hidden="1" customHeight="1" x14ac:dyDescent="0.25">
      <c r="A942" s="51"/>
      <c r="B942" s="41"/>
      <c r="C942" s="41"/>
      <c r="D942" s="41"/>
      <c r="E942" s="41"/>
      <c r="F942" s="41"/>
      <c r="G942" s="41"/>
      <c r="H942" s="41"/>
      <c r="I942" s="41"/>
      <c r="J942" s="41"/>
      <c r="K942" s="41"/>
      <c r="L942" s="41"/>
      <c r="M942" s="41"/>
      <c r="N942" s="41"/>
      <c r="O942" s="41"/>
      <c r="P942" s="41"/>
      <c r="Q942" s="64"/>
      <c r="R942" s="41"/>
      <c r="S942" s="41"/>
      <c r="T942" s="41"/>
      <c r="U942" s="41"/>
      <c r="V942" s="41"/>
      <c r="W942" s="41"/>
      <c r="X942" s="41"/>
      <c r="Y942" s="41"/>
      <c r="Z942" s="41"/>
      <c r="AA942" s="41"/>
    </row>
    <row r="943" spans="1:27" ht="15.75" hidden="1" customHeight="1" x14ac:dyDescent="0.25">
      <c r="A943" s="51"/>
      <c r="B943" s="41"/>
      <c r="C943" s="41"/>
      <c r="D943" s="41"/>
      <c r="E943" s="41"/>
      <c r="F943" s="41"/>
      <c r="G943" s="41"/>
      <c r="H943" s="41"/>
      <c r="I943" s="41"/>
      <c r="J943" s="41"/>
      <c r="K943" s="41"/>
      <c r="L943" s="41"/>
      <c r="M943" s="41"/>
      <c r="N943" s="41"/>
      <c r="O943" s="41"/>
      <c r="P943" s="41"/>
      <c r="Q943" s="64"/>
      <c r="R943" s="41"/>
      <c r="S943" s="41"/>
      <c r="T943" s="41"/>
      <c r="U943" s="41"/>
      <c r="V943" s="41"/>
      <c r="W943" s="41"/>
      <c r="X943" s="41"/>
      <c r="Y943" s="41"/>
      <c r="Z943" s="41"/>
      <c r="AA943" s="41"/>
    </row>
    <row r="944" spans="1:27" ht="15.75" hidden="1" customHeight="1" x14ac:dyDescent="0.25">
      <c r="A944" s="51"/>
      <c r="B944" s="41"/>
      <c r="C944" s="41"/>
      <c r="D944" s="41"/>
      <c r="E944" s="41"/>
      <c r="F944" s="41"/>
      <c r="G944" s="41"/>
      <c r="H944" s="41"/>
      <c r="I944" s="41"/>
      <c r="J944" s="41"/>
      <c r="K944" s="41"/>
      <c r="L944" s="41"/>
      <c r="M944" s="41"/>
      <c r="N944" s="41"/>
      <c r="O944" s="41"/>
      <c r="P944" s="41"/>
      <c r="Q944" s="64"/>
      <c r="R944" s="41"/>
      <c r="S944" s="41"/>
      <c r="T944" s="41"/>
      <c r="U944" s="41"/>
      <c r="V944" s="41"/>
      <c r="W944" s="41"/>
      <c r="X944" s="41"/>
      <c r="Y944" s="41"/>
      <c r="Z944" s="41"/>
      <c r="AA944" s="41"/>
    </row>
    <row r="945" spans="1:27" ht="15.75" hidden="1" customHeight="1" x14ac:dyDescent="0.25">
      <c r="A945" s="51"/>
      <c r="B945" s="41"/>
      <c r="C945" s="41"/>
      <c r="D945" s="41"/>
      <c r="E945" s="41"/>
      <c r="F945" s="41"/>
      <c r="G945" s="41"/>
      <c r="H945" s="41"/>
      <c r="I945" s="41"/>
      <c r="J945" s="41"/>
      <c r="K945" s="41"/>
      <c r="L945" s="41"/>
      <c r="M945" s="41"/>
      <c r="N945" s="41"/>
      <c r="O945" s="41"/>
      <c r="P945" s="41"/>
      <c r="Q945" s="64"/>
      <c r="R945" s="41"/>
      <c r="S945" s="41"/>
      <c r="T945" s="41"/>
      <c r="U945" s="41"/>
      <c r="V945" s="41"/>
      <c r="W945" s="41"/>
      <c r="X945" s="41"/>
      <c r="Y945" s="41"/>
      <c r="Z945" s="41"/>
      <c r="AA945" s="41"/>
    </row>
    <row r="946" spans="1:27" ht="15.75" hidden="1" customHeight="1" x14ac:dyDescent="0.25">
      <c r="A946" s="51"/>
      <c r="B946" s="41"/>
      <c r="C946" s="41"/>
      <c r="D946" s="41"/>
      <c r="E946" s="41"/>
      <c r="F946" s="41"/>
      <c r="G946" s="41"/>
      <c r="H946" s="41"/>
      <c r="I946" s="41"/>
      <c r="J946" s="41"/>
      <c r="K946" s="41"/>
      <c r="L946" s="41"/>
      <c r="M946" s="41"/>
      <c r="N946" s="41"/>
      <c r="O946" s="41"/>
      <c r="P946" s="41"/>
      <c r="Q946" s="64"/>
      <c r="R946" s="41"/>
      <c r="S946" s="41"/>
      <c r="T946" s="41"/>
      <c r="U946" s="41"/>
      <c r="V946" s="41"/>
      <c r="W946" s="41"/>
      <c r="X946" s="41"/>
      <c r="Y946" s="41"/>
      <c r="Z946" s="41"/>
      <c r="AA946" s="41"/>
    </row>
    <row r="947" spans="1:27" ht="15.75" hidden="1" customHeight="1" x14ac:dyDescent="0.25">
      <c r="A947" s="51"/>
      <c r="B947" s="41"/>
      <c r="C947" s="41"/>
      <c r="D947" s="41"/>
      <c r="E947" s="41"/>
      <c r="F947" s="41"/>
      <c r="G947" s="41"/>
      <c r="H947" s="41"/>
      <c r="I947" s="41"/>
      <c r="J947" s="41"/>
      <c r="K947" s="41"/>
      <c r="L947" s="41"/>
      <c r="M947" s="41"/>
      <c r="N947" s="41"/>
      <c r="O947" s="41"/>
      <c r="P947" s="41"/>
      <c r="Q947" s="64"/>
      <c r="R947" s="41"/>
      <c r="S947" s="41"/>
      <c r="T947" s="41"/>
      <c r="U947" s="41"/>
      <c r="V947" s="41"/>
      <c r="W947" s="41"/>
      <c r="X947" s="41"/>
      <c r="Y947" s="41"/>
      <c r="Z947" s="41"/>
      <c r="AA947" s="41"/>
    </row>
    <row r="948" spans="1:27" ht="15.75" hidden="1" customHeight="1" x14ac:dyDescent="0.25">
      <c r="A948" s="51"/>
      <c r="B948" s="41"/>
      <c r="C948" s="41"/>
      <c r="D948" s="41"/>
      <c r="E948" s="41"/>
      <c r="F948" s="41"/>
      <c r="G948" s="41"/>
      <c r="H948" s="41"/>
      <c r="I948" s="41"/>
      <c r="J948" s="41"/>
      <c r="K948" s="41"/>
      <c r="L948" s="41"/>
      <c r="M948" s="41"/>
      <c r="N948" s="41"/>
      <c r="O948" s="41"/>
      <c r="P948" s="41"/>
      <c r="Q948" s="64"/>
      <c r="R948" s="41"/>
      <c r="S948" s="41"/>
      <c r="T948" s="41"/>
      <c r="U948" s="41"/>
      <c r="V948" s="41"/>
      <c r="W948" s="41"/>
      <c r="X948" s="41"/>
      <c r="Y948" s="41"/>
      <c r="Z948" s="41"/>
      <c r="AA948" s="41"/>
    </row>
    <row r="949" spans="1:27" ht="15.75" hidden="1" customHeight="1" x14ac:dyDescent="0.25">
      <c r="A949" s="51"/>
      <c r="B949" s="41"/>
      <c r="C949" s="41"/>
      <c r="D949" s="41"/>
      <c r="E949" s="41"/>
      <c r="F949" s="41"/>
      <c r="G949" s="41"/>
      <c r="H949" s="41"/>
      <c r="I949" s="41"/>
      <c r="J949" s="41"/>
      <c r="K949" s="41"/>
      <c r="L949" s="41"/>
      <c r="M949" s="41"/>
      <c r="N949" s="41"/>
      <c r="O949" s="41"/>
      <c r="P949" s="41"/>
      <c r="Q949" s="64"/>
      <c r="R949" s="41"/>
      <c r="S949" s="41"/>
      <c r="T949" s="41"/>
      <c r="U949" s="41"/>
      <c r="V949" s="41"/>
      <c r="W949" s="41"/>
      <c r="X949" s="41"/>
      <c r="Y949" s="41"/>
      <c r="Z949" s="41"/>
      <c r="AA949" s="41"/>
    </row>
    <row r="950" spans="1:27" ht="15.75" hidden="1" customHeight="1" x14ac:dyDescent="0.25">
      <c r="A950" s="51"/>
      <c r="B950" s="41"/>
      <c r="C950" s="41"/>
      <c r="D950" s="41"/>
      <c r="E950" s="41"/>
      <c r="F950" s="41"/>
      <c r="G950" s="41"/>
      <c r="H950" s="41"/>
      <c r="I950" s="41"/>
      <c r="J950" s="41"/>
      <c r="K950" s="41"/>
      <c r="L950" s="41"/>
      <c r="M950" s="41"/>
      <c r="N950" s="41"/>
      <c r="O950" s="41"/>
      <c r="P950" s="41"/>
      <c r="Q950" s="64"/>
      <c r="R950" s="41"/>
      <c r="S950" s="41"/>
      <c r="T950" s="41"/>
      <c r="U950" s="41"/>
      <c r="V950" s="41"/>
      <c r="W950" s="41"/>
      <c r="X950" s="41"/>
      <c r="Y950" s="41"/>
      <c r="Z950" s="41"/>
      <c r="AA950" s="41"/>
    </row>
    <row r="951" spans="1:27" ht="15.75" hidden="1" customHeight="1" x14ac:dyDescent="0.25">
      <c r="A951" s="51"/>
      <c r="B951" s="41"/>
      <c r="C951" s="41"/>
      <c r="D951" s="41"/>
      <c r="E951" s="41"/>
      <c r="F951" s="41"/>
      <c r="G951" s="41"/>
      <c r="H951" s="41"/>
      <c r="I951" s="41"/>
      <c r="J951" s="41"/>
      <c r="K951" s="41"/>
      <c r="L951" s="41"/>
      <c r="M951" s="41"/>
      <c r="N951" s="41"/>
      <c r="O951" s="41"/>
      <c r="P951" s="41"/>
      <c r="Q951" s="64"/>
      <c r="R951" s="41"/>
      <c r="S951" s="41"/>
      <c r="T951" s="41"/>
      <c r="U951" s="41"/>
      <c r="V951" s="41"/>
      <c r="W951" s="41"/>
      <c r="X951" s="41"/>
      <c r="Y951" s="41"/>
      <c r="Z951" s="41"/>
      <c r="AA951" s="41"/>
    </row>
    <row r="952" spans="1:27" ht="15.75" hidden="1" customHeight="1" x14ac:dyDescent="0.25">
      <c r="A952" s="51"/>
      <c r="B952" s="41"/>
      <c r="C952" s="41"/>
      <c r="D952" s="41"/>
      <c r="E952" s="41"/>
      <c r="F952" s="41"/>
      <c r="G952" s="41"/>
      <c r="H952" s="41"/>
      <c r="I952" s="41"/>
      <c r="J952" s="41"/>
      <c r="K952" s="41"/>
      <c r="L952" s="41"/>
      <c r="M952" s="41"/>
      <c r="N952" s="41"/>
      <c r="O952" s="41"/>
      <c r="P952" s="41"/>
      <c r="Q952" s="64"/>
      <c r="R952" s="41"/>
      <c r="S952" s="41"/>
      <c r="T952" s="41"/>
      <c r="U952" s="41"/>
      <c r="V952" s="41"/>
      <c r="W952" s="41"/>
      <c r="X952" s="41"/>
      <c r="Y952" s="41"/>
      <c r="Z952" s="41"/>
      <c r="AA952" s="41"/>
    </row>
    <row r="953" spans="1:27" ht="15.75" hidden="1" customHeight="1" x14ac:dyDescent="0.25">
      <c r="A953" s="51"/>
      <c r="B953" s="41"/>
      <c r="C953" s="41"/>
      <c r="D953" s="41"/>
      <c r="E953" s="41"/>
      <c r="F953" s="41"/>
      <c r="G953" s="41"/>
      <c r="H953" s="41"/>
      <c r="I953" s="41"/>
      <c r="J953" s="41"/>
      <c r="K953" s="41"/>
      <c r="L953" s="41"/>
      <c r="M953" s="41"/>
      <c r="N953" s="41"/>
      <c r="O953" s="41"/>
      <c r="P953" s="41"/>
      <c r="Q953" s="64"/>
      <c r="R953" s="41"/>
      <c r="S953" s="41"/>
      <c r="T953" s="41"/>
      <c r="U953" s="41"/>
      <c r="V953" s="41"/>
      <c r="W953" s="41"/>
      <c r="X953" s="41"/>
      <c r="Y953" s="41"/>
      <c r="Z953" s="41"/>
      <c r="AA953" s="41"/>
    </row>
    <row r="954" spans="1:27" ht="15.75" hidden="1" customHeight="1" x14ac:dyDescent="0.25">
      <c r="A954" s="51"/>
      <c r="B954" s="41"/>
      <c r="C954" s="41"/>
      <c r="D954" s="41"/>
      <c r="E954" s="41"/>
      <c r="F954" s="41"/>
      <c r="G954" s="41"/>
      <c r="H954" s="41"/>
      <c r="I954" s="41"/>
      <c r="J954" s="41"/>
      <c r="K954" s="41"/>
      <c r="L954" s="41"/>
      <c r="M954" s="41"/>
      <c r="N954" s="41"/>
      <c r="O954" s="41"/>
      <c r="P954" s="41"/>
      <c r="Q954" s="64"/>
      <c r="R954" s="41"/>
      <c r="S954" s="41"/>
      <c r="T954" s="41"/>
      <c r="U954" s="41"/>
      <c r="V954" s="41"/>
      <c r="W954" s="41"/>
      <c r="X954" s="41"/>
      <c r="Y954" s="41"/>
      <c r="Z954" s="41"/>
      <c r="AA954" s="41"/>
    </row>
    <row r="955" spans="1:27" ht="15.75" hidden="1" customHeight="1" x14ac:dyDescent="0.25">
      <c r="A955" s="51"/>
      <c r="B955" s="41"/>
      <c r="C955" s="41"/>
      <c r="D955" s="41"/>
      <c r="E955" s="41"/>
      <c r="F955" s="41"/>
      <c r="G955" s="41"/>
      <c r="H955" s="41"/>
      <c r="I955" s="41"/>
      <c r="J955" s="41"/>
      <c r="K955" s="41"/>
      <c r="L955" s="41"/>
      <c r="M955" s="41"/>
      <c r="N955" s="41"/>
      <c r="O955" s="41"/>
      <c r="P955" s="41"/>
      <c r="Q955" s="64"/>
      <c r="R955" s="41"/>
      <c r="S955" s="41"/>
      <c r="T955" s="41"/>
      <c r="U955" s="41"/>
      <c r="V955" s="41"/>
      <c r="W955" s="41"/>
      <c r="X955" s="41"/>
      <c r="Y955" s="41"/>
      <c r="Z955" s="41"/>
      <c r="AA955" s="41"/>
    </row>
    <row r="956" spans="1:27" ht="15.75" hidden="1" customHeight="1" x14ac:dyDescent="0.25">
      <c r="A956" s="51"/>
      <c r="B956" s="41"/>
      <c r="C956" s="41"/>
      <c r="D956" s="41"/>
      <c r="E956" s="41"/>
      <c r="F956" s="41"/>
      <c r="G956" s="41"/>
      <c r="H956" s="41"/>
      <c r="I956" s="41"/>
      <c r="J956" s="41"/>
      <c r="K956" s="41"/>
      <c r="L956" s="41"/>
      <c r="M956" s="41"/>
      <c r="N956" s="41"/>
      <c r="O956" s="41"/>
      <c r="P956" s="41"/>
      <c r="Q956" s="64"/>
      <c r="R956" s="41"/>
      <c r="S956" s="41"/>
      <c r="T956" s="41"/>
      <c r="U956" s="41"/>
      <c r="V956" s="41"/>
      <c r="W956" s="41"/>
      <c r="X956" s="41"/>
      <c r="Y956" s="41"/>
      <c r="Z956" s="41"/>
      <c r="AA956" s="41"/>
    </row>
    <row r="957" spans="1:27" ht="15.75" hidden="1" customHeight="1" x14ac:dyDescent="0.25">
      <c r="A957" s="51"/>
      <c r="B957" s="41"/>
      <c r="C957" s="41"/>
      <c r="D957" s="41"/>
      <c r="E957" s="41"/>
      <c r="F957" s="41"/>
      <c r="G957" s="41"/>
      <c r="H957" s="41"/>
      <c r="I957" s="41"/>
      <c r="J957" s="41"/>
      <c r="K957" s="41"/>
      <c r="L957" s="41"/>
      <c r="M957" s="41"/>
      <c r="N957" s="41"/>
      <c r="O957" s="41"/>
      <c r="P957" s="41"/>
      <c r="Q957" s="64"/>
      <c r="R957" s="41"/>
      <c r="S957" s="41"/>
      <c r="T957" s="41"/>
      <c r="U957" s="41"/>
      <c r="V957" s="41"/>
      <c r="W957" s="41"/>
      <c r="X957" s="41"/>
      <c r="Y957" s="41"/>
      <c r="Z957" s="41"/>
      <c r="AA957" s="41"/>
    </row>
    <row r="958" spans="1:27" ht="15.75" hidden="1" customHeight="1" x14ac:dyDescent="0.25">
      <c r="A958" s="51"/>
      <c r="B958" s="41"/>
      <c r="C958" s="41"/>
      <c r="D958" s="41"/>
      <c r="E958" s="41"/>
      <c r="F958" s="41"/>
      <c r="G958" s="41"/>
      <c r="H958" s="41"/>
      <c r="I958" s="41"/>
      <c r="J958" s="41"/>
      <c r="K958" s="41"/>
      <c r="L958" s="41"/>
      <c r="M958" s="41"/>
      <c r="N958" s="41"/>
      <c r="O958" s="41"/>
      <c r="P958" s="41"/>
      <c r="Q958" s="64"/>
      <c r="R958" s="41"/>
      <c r="S958" s="41"/>
      <c r="T958" s="41"/>
      <c r="U958" s="41"/>
      <c r="V958" s="41"/>
      <c r="W958" s="41"/>
      <c r="X958" s="41"/>
      <c r="Y958" s="41"/>
      <c r="Z958" s="41"/>
      <c r="AA958" s="41"/>
    </row>
    <row r="959" spans="1:27" ht="15.75" hidden="1" customHeight="1" x14ac:dyDescent="0.25">
      <c r="A959" s="51"/>
      <c r="B959" s="41"/>
      <c r="C959" s="41"/>
      <c r="D959" s="41"/>
      <c r="E959" s="41"/>
      <c r="F959" s="41"/>
      <c r="G959" s="41"/>
      <c r="H959" s="41"/>
      <c r="I959" s="41"/>
      <c r="J959" s="41"/>
      <c r="K959" s="41"/>
      <c r="L959" s="41"/>
      <c r="M959" s="41"/>
      <c r="N959" s="41"/>
      <c r="O959" s="41"/>
      <c r="P959" s="41"/>
      <c r="Q959" s="64"/>
      <c r="R959" s="41"/>
      <c r="S959" s="41"/>
      <c r="T959" s="41"/>
      <c r="U959" s="41"/>
      <c r="V959" s="41"/>
      <c r="W959" s="41"/>
      <c r="X959" s="41"/>
      <c r="Y959" s="41"/>
      <c r="Z959" s="41"/>
      <c r="AA959" s="41"/>
    </row>
    <row r="960" spans="1:27" ht="15.75" hidden="1" customHeight="1" x14ac:dyDescent="0.25">
      <c r="A960" s="51"/>
      <c r="B960" s="41"/>
      <c r="C960" s="41"/>
      <c r="D960" s="41"/>
      <c r="E960" s="41"/>
      <c r="F960" s="41"/>
      <c r="G960" s="41"/>
      <c r="H960" s="41"/>
      <c r="I960" s="41"/>
      <c r="J960" s="41"/>
      <c r="K960" s="41"/>
      <c r="L960" s="41"/>
      <c r="M960" s="41"/>
      <c r="N960" s="41"/>
      <c r="O960" s="41"/>
      <c r="P960" s="41"/>
      <c r="Q960" s="64"/>
      <c r="R960" s="41"/>
      <c r="S960" s="41"/>
      <c r="T960" s="41"/>
      <c r="U960" s="41"/>
      <c r="V960" s="41"/>
      <c r="W960" s="41"/>
      <c r="X960" s="41"/>
      <c r="Y960" s="41"/>
      <c r="Z960" s="41"/>
      <c r="AA960" s="41"/>
    </row>
    <row r="961" spans="1:27" ht="15.75" hidden="1" customHeight="1" x14ac:dyDescent="0.25">
      <c r="A961" s="51"/>
      <c r="B961" s="41"/>
      <c r="C961" s="41"/>
      <c r="D961" s="41"/>
      <c r="E961" s="41"/>
      <c r="F961" s="41"/>
      <c r="G961" s="41"/>
      <c r="H961" s="41"/>
      <c r="I961" s="41"/>
      <c r="J961" s="41"/>
      <c r="K961" s="41"/>
      <c r="L961" s="41"/>
      <c r="M961" s="41"/>
      <c r="N961" s="41"/>
      <c r="O961" s="41"/>
      <c r="P961" s="41"/>
      <c r="Q961" s="64"/>
      <c r="R961" s="41"/>
      <c r="S961" s="41"/>
      <c r="T961" s="41"/>
      <c r="U961" s="41"/>
      <c r="V961" s="41"/>
      <c r="W961" s="41"/>
      <c r="X961" s="41"/>
      <c r="Y961" s="41"/>
      <c r="Z961" s="41"/>
      <c r="AA961" s="41"/>
    </row>
    <row r="962" spans="1:27" ht="15.75" hidden="1" customHeight="1" x14ac:dyDescent="0.25">
      <c r="A962" s="51"/>
      <c r="B962" s="41"/>
      <c r="C962" s="41"/>
      <c r="D962" s="41"/>
      <c r="E962" s="41"/>
      <c r="F962" s="41"/>
      <c r="G962" s="41"/>
      <c r="H962" s="41"/>
      <c r="I962" s="41"/>
      <c r="J962" s="41"/>
      <c r="K962" s="41"/>
      <c r="L962" s="41"/>
      <c r="M962" s="41"/>
      <c r="N962" s="41"/>
      <c r="O962" s="41"/>
      <c r="P962" s="41"/>
      <c r="Q962" s="64"/>
      <c r="R962" s="41"/>
      <c r="S962" s="41"/>
      <c r="T962" s="41"/>
      <c r="U962" s="41"/>
      <c r="V962" s="41"/>
      <c r="W962" s="41"/>
      <c r="X962" s="41"/>
      <c r="Y962" s="41"/>
      <c r="Z962" s="41"/>
      <c r="AA962" s="41"/>
    </row>
    <row r="963" spans="1:27" ht="15.75" hidden="1" customHeight="1" x14ac:dyDescent="0.25">
      <c r="A963" s="51"/>
      <c r="B963" s="41"/>
      <c r="C963" s="41"/>
      <c r="D963" s="41"/>
      <c r="E963" s="41"/>
      <c r="F963" s="41"/>
      <c r="G963" s="41"/>
      <c r="H963" s="41"/>
      <c r="I963" s="41"/>
      <c r="J963" s="41"/>
      <c r="K963" s="41"/>
      <c r="L963" s="41"/>
      <c r="M963" s="41"/>
      <c r="N963" s="41"/>
      <c r="O963" s="41"/>
      <c r="P963" s="41"/>
      <c r="Q963" s="64"/>
      <c r="R963" s="41"/>
      <c r="S963" s="41"/>
      <c r="T963" s="41"/>
      <c r="U963" s="41"/>
      <c r="V963" s="41"/>
      <c r="W963" s="41"/>
      <c r="X963" s="41"/>
      <c r="Y963" s="41"/>
      <c r="Z963" s="41"/>
      <c r="AA963" s="41"/>
    </row>
    <row r="964" spans="1:27" ht="15.75" hidden="1" customHeight="1" x14ac:dyDescent="0.25">
      <c r="A964" s="51"/>
      <c r="B964" s="41"/>
      <c r="C964" s="41"/>
      <c r="D964" s="41"/>
      <c r="E964" s="41"/>
      <c r="F964" s="41"/>
      <c r="G964" s="41"/>
      <c r="H964" s="41"/>
      <c r="I964" s="41"/>
      <c r="J964" s="41"/>
      <c r="K964" s="41"/>
      <c r="L964" s="41"/>
      <c r="M964" s="41"/>
      <c r="N964" s="41"/>
      <c r="O964" s="41"/>
      <c r="P964" s="41"/>
      <c r="Q964" s="64"/>
      <c r="R964" s="41"/>
      <c r="S964" s="41"/>
      <c r="T964" s="41"/>
      <c r="U964" s="41"/>
      <c r="V964" s="41"/>
      <c r="W964" s="41"/>
      <c r="X964" s="41"/>
      <c r="Y964" s="41"/>
      <c r="Z964" s="41"/>
      <c r="AA964" s="41"/>
    </row>
    <row r="965" spans="1:27" ht="15.75" hidden="1" customHeight="1" x14ac:dyDescent="0.25">
      <c r="A965" s="51"/>
      <c r="B965" s="41"/>
      <c r="C965" s="41"/>
      <c r="D965" s="41"/>
      <c r="E965" s="41"/>
      <c r="F965" s="41"/>
      <c r="G965" s="41"/>
      <c r="H965" s="41"/>
      <c r="I965" s="41"/>
      <c r="J965" s="41"/>
      <c r="K965" s="41"/>
      <c r="L965" s="41"/>
      <c r="M965" s="41"/>
      <c r="N965" s="41"/>
      <c r="O965" s="41"/>
      <c r="P965" s="41"/>
      <c r="Q965" s="64"/>
      <c r="R965" s="41"/>
      <c r="S965" s="41"/>
      <c r="T965" s="41"/>
      <c r="U965" s="41"/>
      <c r="V965" s="41"/>
      <c r="W965" s="41"/>
      <c r="X965" s="41"/>
      <c r="Y965" s="41"/>
      <c r="Z965" s="41"/>
      <c r="AA965" s="41"/>
    </row>
    <row r="966" spans="1:27" ht="15.75" hidden="1" customHeight="1" x14ac:dyDescent="0.25">
      <c r="A966" s="51"/>
      <c r="B966" s="41"/>
      <c r="C966" s="41"/>
      <c r="D966" s="41"/>
      <c r="E966" s="41"/>
      <c r="F966" s="41"/>
      <c r="G966" s="41"/>
      <c r="H966" s="41"/>
      <c r="I966" s="41"/>
      <c r="J966" s="41"/>
      <c r="K966" s="41"/>
      <c r="L966" s="41"/>
      <c r="M966" s="41"/>
      <c r="N966" s="41"/>
      <c r="O966" s="41"/>
      <c r="P966" s="41"/>
      <c r="Q966" s="64"/>
      <c r="R966" s="41"/>
      <c r="S966" s="41"/>
      <c r="T966" s="41"/>
      <c r="U966" s="41"/>
      <c r="V966" s="41"/>
      <c r="W966" s="41"/>
      <c r="X966" s="41"/>
      <c r="Y966" s="41"/>
      <c r="Z966" s="41"/>
      <c r="AA966" s="41"/>
    </row>
    <row r="967" spans="1:27" ht="15.75" hidden="1" customHeight="1" x14ac:dyDescent="0.25">
      <c r="A967" s="51"/>
      <c r="B967" s="41"/>
      <c r="C967" s="41"/>
      <c r="D967" s="41"/>
      <c r="E967" s="41"/>
      <c r="F967" s="41"/>
      <c r="G967" s="41"/>
      <c r="H967" s="41"/>
      <c r="I967" s="41"/>
      <c r="J967" s="41"/>
      <c r="K967" s="41"/>
      <c r="L967" s="41"/>
      <c r="M967" s="41"/>
      <c r="N967" s="41"/>
      <c r="O967" s="41"/>
      <c r="P967" s="41"/>
      <c r="Q967" s="64"/>
      <c r="R967" s="41"/>
      <c r="S967" s="41"/>
      <c r="T967" s="41"/>
      <c r="U967" s="41"/>
      <c r="V967" s="41"/>
      <c r="W967" s="41"/>
      <c r="X967" s="41"/>
      <c r="Y967" s="41"/>
      <c r="Z967" s="41"/>
      <c r="AA967" s="41"/>
    </row>
    <row r="968" spans="1:27" ht="15.75" hidden="1" customHeight="1" x14ac:dyDescent="0.25">
      <c r="A968" s="51"/>
      <c r="B968" s="41"/>
      <c r="C968" s="41"/>
      <c r="D968" s="41"/>
      <c r="E968" s="41"/>
      <c r="F968" s="41"/>
      <c r="G968" s="41"/>
      <c r="H968" s="41"/>
      <c r="I968" s="41"/>
      <c r="J968" s="41"/>
      <c r="K968" s="41"/>
      <c r="L968" s="41"/>
      <c r="M968" s="41"/>
      <c r="N968" s="41"/>
      <c r="O968" s="41"/>
      <c r="P968" s="41"/>
      <c r="Q968" s="64"/>
      <c r="R968" s="41"/>
      <c r="S968" s="41"/>
      <c r="T968" s="41"/>
      <c r="U968" s="41"/>
      <c r="V968" s="41"/>
      <c r="W968" s="41"/>
      <c r="X968" s="41"/>
      <c r="Y968" s="41"/>
      <c r="Z968" s="41"/>
      <c r="AA968" s="41"/>
    </row>
    <row r="969" spans="1:27" ht="15.75" hidden="1" customHeight="1" x14ac:dyDescent="0.25">
      <c r="A969" s="51"/>
      <c r="B969" s="41"/>
      <c r="C969" s="41"/>
      <c r="D969" s="41"/>
      <c r="E969" s="41"/>
      <c r="F969" s="41"/>
      <c r="G969" s="41"/>
      <c r="H969" s="41"/>
      <c r="I969" s="41"/>
      <c r="J969" s="41"/>
      <c r="K969" s="41"/>
      <c r="L969" s="41"/>
      <c r="M969" s="41"/>
      <c r="N969" s="41"/>
      <c r="O969" s="41"/>
      <c r="P969" s="41"/>
      <c r="Q969" s="64"/>
      <c r="R969" s="41"/>
      <c r="S969" s="41"/>
      <c r="T969" s="41"/>
      <c r="U969" s="41"/>
      <c r="V969" s="41"/>
      <c r="W969" s="41"/>
      <c r="X969" s="41"/>
      <c r="Y969" s="41"/>
      <c r="Z969" s="41"/>
      <c r="AA969" s="41"/>
    </row>
    <row r="970" spans="1:27" ht="15.75" hidden="1" customHeight="1" x14ac:dyDescent="0.25">
      <c r="A970" s="51"/>
      <c r="B970" s="41"/>
      <c r="C970" s="41"/>
      <c r="D970" s="41"/>
      <c r="E970" s="41"/>
      <c r="F970" s="41"/>
      <c r="G970" s="41"/>
      <c r="H970" s="41"/>
      <c r="I970" s="41"/>
      <c r="J970" s="41"/>
      <c r="K970" s="41"/>
      <c r="L970" s="41"/>
      <c r="M970" s="41"/>
      <c r="N970" s="41"/>
      <c r="O970" s="41"/>
      <c r="P970" s="41"/>
      <c r="Q970" s="64"/>
      <c r="R970" s="41"/>
      <c r="S970" s="41"/>
      <c r="T970" s="41"/>
      <c r="U970" s="41"/>
      <c r="V970" s="41"/>
      <c r="W970" s="41"/>
      <c r="X970" s="41"/>
      <c r="Y970" s="41"/>
      <c r="Z970" s="41"/>
      <c r="AA970" s="41"/>
    </row>
    <row r="971" spans="1:27" ht="15.75" hidden="1" customHeight="1" x14ac:dyDescent="0.25">
      <c r="A971" s="51"/>
      <c r="B971" s="41"/>
      <c r="C971" s="41"/>
      <c r="D971" s="41"/>
      <c r="E971" s="41"/>
      <c r="F971" s="41"/>
      <c r="G971" s="41"/>
      <c r="H971" s="41"/>
      <c r="I971" s="41"/>
      <c r="J971" s="41"/>
      <c r="K971" s="41"/>
      <c r="L971" s="41"/>
      <c r="M971" s="41"/>
      <c r="N971" s="41"/>
      <c r="O971" s="41"/>
      <c r="P971" s="41"/>
      <c r="Q971" s="64"/>
      <c r="R971" s="41"/>
      <c r="S971" s="41"/>
      <c r="T971" s="41"/>
      <c r="U971" s="41"/>
      <c r="V971" s="41"/>
      <c r="W971" s="41"/>
      <c r="X971" s="41"/>
      <c r="Y971" s="41"/>
      <c r="Z971" s="41"/>
      <c r="AA971" s="41"/>
    </row>
    <row r="972" spans="1:27" ht="15.75" hidden="1" customHeight="1" x14ac:dyDescent="0.25">
      <c r="A972" s="51"/>
      <c r="B972" s="41"/>
      <c r="C972" s="41"/>
      <c r="D972" s="41"/>
      <c r="E972" s="41"/>
      <c r="F972" s="41"/>
      <c r="G972" s="41"/>
      <c r="H972" s="41"/>
      <c r="I972" s="41"/>
      <c r="J972" s="41"/>
      <c r="K972" s="41"/>
      <c r="L972" s="41"/>
      <c r="M972" s="41"/>
      <c r="N972" s="41"/>
      <c r="O972" s="41"/>
      <c r="P972" s="41"/>
      <c r="Q972" s="64"/>
      <c r="R972" s="41"/>
      <c r="S972" s="41"/>
      <c r="T972" s="41"/>
      <c r="U972" s="41"/>
      <c r="V972" s="41"/>
      <c r="W972" s="41"/>
      <c r="X972" s="41"/>
      <c r="Y972" s="41"/>
      <c r="Z972" s="41"/>
      <c r="AA972" s="41"/>
    </row>
    <row r="973" spans="1:27" ht="15.75" hidden="1" customHeight="1" x14ac:dyDescent="0.25">
      <c r="A973" s="51"/>
      <c r="B973" s="41"/>
      <c r="C973" s="41"/>
      <c r="D973" s="41"/>
      <c r="E973" s="41"/>
      <c r="F973" s="41"/>
      <c r="G973" s="41"/>
      <c r="H973" s="41"/>
      <c r="I973" s="41"/>
      <c r="J973" s="41"/>
      <c r="K973" s="41"/>
      <c r="L973" s="41"/>
      <c r="M973" s="41"/>
      <c r="N973" s="41"/>
      <c r="O973" s="41"/>
      <c r="P973" s="41"/>
      <c r="Q973" s="64"/>
      <c r="R973" s="41"/>
      <c r="S973" s="41"/>
      <c r="T973" s="41"/>
      <c r="U973" s="41"/>
      <c r="V973" s="41"/>
      <c r="W973" s="41"/>
      <c r="X973" s="41"/>
      <c r="Y973" s="41"/>
      <c r="Z973" s="41"/>
      <c r="AA973" s="41"/>
    </row>
    <row r="974" spans="1:27" ht="15.75" hidden="1" customHeight="1" x14ac:dyDescent="0.25">
      <c r="A974" s="51"/>
      <c r="B974" s="41"/>
      <c r="C974" s="41"/>
      <c r="D974" s="41"/>
      <c r="E974" s="41"/>
      <c r="F974" s="41"/>
      <c r="G974" s="41"/>
      <c r="H974" s="41"/>
      <c r="I974" s="41"/>
      <c r="J974" s="41"/>
      <c r="K974" s="41"/>
      <c r="L974" s="41"/>
      <c r="M974" s="41"/>
      <c r="N974" s="41"/>
      <c r="O974" s="41"/>
      <c r="P974" s="41"/>
      <c r="Q974" s="64"/>
      <c r="R974" s="41"/>
      <c r="S974" s="41"/>
      <c r="T974" s="41"/>
      <c r="U974" s="41"/>
      <c r="V974" s="41"/>
      <c r="W974" s="41"/>
      <c r="X974" s="41"/>
      <c r="Y974" s="41"/>
      <c r="Z974" s="41"/>
      <c r="AA974" s="41"/>
    </row>
    <row r="975" spans="1:27" ht="15.75" hidden="1" customHeight="1" x14ac:dyDescent="0.25">
      <c r="A975" s="51"/>
      <c r="B975" s="41"/>
      <c r="C975" s="41"/>
      <c r="D975" s="41"/>
      <c r="E975" s="41"/>
      <c r="F975" s="41"/>
      <c r="G975" s="41"/>
      <c r="H975" s="41"/>
      <c r="I975" s="41"/>
      <c r="J975" s="41"/>
      <c r="K975" s="41"/>
      <c r="L975" s="41"/>
      <c r="M975" s="41"/>
      <c r="N975" s="41"/>
      <c r="O975" s="41"/>
      <c r="P975" s="41"/>
      <c r="Q975" s="64"/>
      <c r="R975" s="41"/>
      <c r="S975" s="41"/>
      <c r="T975" s="41"/>
      <c r="U975" s="41"/>
      <c r="V975" s="41"/>
      <c r="W975" s="41"/>
      <c r="X975" s="41"/>
      <c r="Y975" s="41"/>
      <c r="Z975" s="41"/>
      <c r="AA975" s="41"/>
    </row>
    <row r="976" spans="1:27" ht="15.75" hidden="1" customHeight="1" x14ac:dyDescent="0.25">
      <c r="A976" s="51"/>
      <c r="B976" s="41"/>
      <c r="C976" s="41"/>
      <c r="D976" s="41"/>
      <c r="E976" s="41"/>
      <c r="F976" s="41"/>
      <c r="G976" s="41"/>
      <c r="H976" s="41"/>
      <c r="I976" s="41"/>
      <c r="J976" s="41"/>
      <c r="K976" s="41"/>
      <c r="L976" s="41"/>
      <c r="M976" s="41"/>
      <c r="N976" s="41"/>
      <c r="O976" s="41"/>
      <c r="P976" s="41"/>
      <c r="Q976" s="64"/>
      <c r="R976" s="41"/>
      <c r="S976" s="41"/>
      <c r="T976" s="41"/>
      <c r="U976" s="41"/>
      <c r="V976" s="41"/>
      <c r="W976" s="41"/>
      <c r="X976" s="41"/>
      <c r="Y976" s="41"/>
      <c r="Z976" s="41"/>
      <c r="AA976" s="41"/>
    </row>
    <row r="977" spans="1:27" ht="15.75" hidden="1" customHeight="1" x14ac:dyDescent="0.25">
      <c r="A977" s="51"/>
      <c r="B977" s="41"/>
      <c r="C977" s="41"/>
      <c r="D977" s="41"/>
      <c r="E977" s="41"/>
      <c r="F977" s="41"/>
      <c r="G977" s="41"/>
      <c r="H977" s="41"/>
      <c r="I977" s="41"/>
      <c r="J977" s="41"/>
      <c r="K977" s="41"/>
      <c r="L977" s="41"/>
      <c r="M977" s="41"/>
      <c r="N977" s="41"/>
      <c r="O977" s="41"/>
      <c r="P977" s="41"/>
      <c r="Q977" s="64"/>
      <c r="R977" s="41"/>
      <c r="S977" s="41"/>
      <c r="T977" s="41"/>
      <c r="U977" s="41"/>
      <c r="V977" s="41"/>
      <c r="W977" s="41"/>
      <c r="X977" s="41"/>
      <c r="Y977" s="41"/>
      <c r="Z977" s="41"/>
      <c r="AA977" s="41"/>
    </row>
    <row r="978" spans="1:27" ht="15.75" hidden="1" customHeight="1" x14ac:dyDescent="0.25">
      <c r="A978" s="51"/>
      <c r="B978" s="41"/>
      <c r="C978" s="41"/>
      <c r="D978" s="41"/>
      <c r="E978" s="41"/>
      <c r="F978" s="41"/>
      <c r="G978" s="41"/>
      <c r="H978" s="41"/>
      <c r="I978" s="41"/>
      <c r="J978" s="41"/>
      <c r="K978" s="41"/>
      <c r="L978" s="41"/>
      <c r="M978" s="41"/>
      <c r="N978" s="41"/>
      <c r="O978" s="41"/>
      <c r="P978" s="41"/>
      <c r="Q978" s="64"/>
      <c r="R978" s="41"/>
      <c r="S978" s="41"/>
      <c r="T978" s="41"/>
      <c r="U978" s="41"/>
      <c r="V978" s="41"/>
      <c r="W978" s="41"/>
      <c r="X978" s="41"/>
      <c r="Y978" s="41"/>
      <c r="Z978" s="41"/>
      <c r="AA978" s="41"/>
    </row>
    <row r="979" spans="1:27" ht="15.75" hidden="1" customHeight="1" x14ac:dyDescent="0.25">
      <c r="A979" s="51"/>
      <c r="B979" s="41"/>
      <c r="C979" s="41"/>
      <c r="D979" s="41"/>
      <c r="E979" s="41"/>
      <c r="F979" s="41"/>
      <c r="G979" s="41"/>
      <c r="H979" s="41"/>
      <c r="I979" s="41"/>
      <c r="J979" s="41"/>
      <c r="K979" s="41"/>
      <c r="L979" s="41"/>
      <c r="M979" s="41"/>
      <c r="N979" s="41"/>
      <c r="O979" s="41"/>
      <c r="P979" s="41"/>
      <c r="Q979" s="64"/>
      <c r="R979" s="41"/>
      <c r="S979" s="41"/>
      <c r="T979" s="41"/>
      <c r="U979" s="41"/>
      <c r="V979" s="41"/>
      <c r="W979" s="41"/>
      <c r="X979" s="41"/>
      <c r="Y979" s="41"/>
      <c r="Z979" s="41"/>
      <c r="AA979" s="41"/>
    </row>
    <row r="980" spans="1:27" ht="15.75" hidden="1" customHeight="1" x14ac:dyDescent="0.25">
      <c r="A980" s="51"/>
      <c r="B980" s="41"/>
      <c r="C980" s="41"/>
      <c r="D980" s="41"/>
      <c r="E980" s="41"/>
      <c r="F980" s="41"/>
      <c r="G980" s="41"/>
      <c r="H980" s="41"/>
      <c r="I980" s="41"/>
      <c r="J980" s="41"/>
      <c r="K980" s="41"/>
      <c r="L980" s="41"/>
      <c r="M980" s="41"/>
      <c r="N980" s="41"/>
      <c r="O980" s="41"/>
      <c r="P980" s="41"/>
      <c r="Q980" s="64"/>
      <c r="R980" s="41"/>
      <c r="S980" s="41"/>
      <c r="T980" s="41"/>
      <c r="U980" s="41"/>
      <c r="V980" s="41"/>
      <c r="W980" s="41"/>
      <c r="X980" s="41"/>
      <c r="Y980" s="41"/>
      <c r="Z980" s="41"/>
      <c r="AA980" s="41"/>
    </row>
    <row r="981" spans="1:27" ht="15.75" hidden="1" customHeight="1" x14ac:dyDescent="0.25">
      <c r="A981" s="51"/>
      <c r="B981" s="41"/>
      <c r="C981" s="41"/>
      <c r="D981" s="41"/>
      <c r="E981" s="41"/>
      <c r="F981" s="41"/>
      <c r="G981" s="41"/>
      <c r="H981" s="41"/>
      <c r="I981" s="41"/>
      <c r="J981" s="41"/>
      <c r="K981" s="41"/>
      <c r="L981" s="41"/>
      <c r="M981" s="41"/>
      <c r="N981" s="41"/>
      <c r="O981" s="41"/>
      <c r="P981" s="41"/>
      <c r="Q981" s="64"/>
      <c r="R981" s="41"/>
      <c r="S981" s="41"/>
      <c r="T981" s="41"/>
      <c r="U981" s="41"/>
      <c r="V981" s="41"/>
      <c r="W981" s="41"/>
      <c r="X981" s="41"/>
      <c r="Y981" s="41"/>
      <c r="Z981" s="41"/>
      <c r="AA981" s="41"/>
    </row>
    <row r="982" spans="1:27" ht="15.75" hidden="1" customHeight="1" x14ac:dyDescent="0.25">
      <c r="A982" s="51"/>
      <c r="B982" s="41"/>
      <c r="C982" s="41"/>
      <c r="D982" s="41"/>
      <c r="E982" s="41"/>
      <c r="F982" s="41"/>
      <c r="G982" s="41"/>
      <c r="H982" s="41"/>
      <c r="I982" s="41"/>
      <c r="J982" s="41"/>
      <c r="K982" s="41"/>
      <c r="L982" s="41"/>
      <c r="M982" s="41"/>
      <c r="N982" s="41"/>
      <c r="O982" s="41"/>
      <c r="P982" s="41"/>
      <c r="Q982" s="64"/>
      <c r="R982" s="41"/>
      <c r="S982" s="41"/>
      <c r="T982" s="41"/>
      <c r="U982" s="41"/>
      <c r="V982" s="41"/>
      <c r="W982" s="41"/>
      <c r="X982" s="41"/>
      <c r="Y982" s="41"/>
      <c r="Z982" s="41"/>
      <c r="AA982" s="41"/>
    </row>
    <row r="983" spans="1:27" ht="15.75" hidden="1" customHeight="1" x14ac:dyDescent="0.25">
      <c r="A983" s="51"/>
      <c r="B983" s="41"/>
      <c r="C983" s="41"/>
      <c r="D983" s="41"/>
      <c r="E983" s="41"/>
      <c r="F983" s="41"/>
      <c r="G983" s="41"/>
      <c r="H983" s="41"/>
      <c r="I983" s="41"/>
      <c r="J983" s="41"/>
      <c r="K983" s="41"/>
      <c r="L983" s="41"/>
      <c r="M983" s="41"/>
      <c r="N983" s="41"/>
      <c r="O983" s="41"/>
      <c r="P983" s="41"/>
      <c r="Q983" s="64"/>
      <c r="R983" s="41"/>
      <c r="S983" s="41"/>
      <c r="T983" s="41"/>
      <c r="U983" s="41"/>
      <c r="V983" s="41"/>
      <c r="W983" s="41"/>
      <c r="X983" s="41"/>
      <c r="Y983" s="41"/>
      <c r="Z983" s="41"/>
      <c r="AA983" s="41"/>
    </row>
    <row r="984" spans="1:27" ht="15.75" hidden="1" customHeight="1" x14ac:dyDescent="0.25">
      <c r="A984" s="51"/>
      <c r="B984" s="41"/>
      <c r="C984" s="41"/>
      <c r="D984" s="41"/>
      <c r="E984" s="41"/>
      <c r="F984" s="41"/>
      <c r="G984" s="41"/>
      <c r="H984" s="41"/>
      <c r="I984" s="41"/>
      <c r="J984" s="41"/>
      <c r="K984" s="41"/>
      <c r="L984" s="41"/>
      <c r="M984" s="41"/>
      <c r="N984" s="41"/>
      <c r="O984" s="41"/>
      <c r="P984" s="41"/>
      <c r="Q984" s="64"/>
      <c r="R984" s="41"/>
      <c r="S984" s="41"/>
      <c r="T984" s="41"/>
      <c r="U984" s="41"/>
      <c r="V984" s="41"/>
      <c r="W984" s="41"/>
      <c r="X984" s="41"/>
      <c r="Y984" s="41"/>
      <c r="Z984" s="41"/>
      <c r="AA984" s="41"/>
    </row>
    <row r="985" spans="1:27" ht="15.75" hidden="1" customHeight="1" x14ac:dyDescent="0.25">
      <c r="A985" s="51"/>
      <c r="B985" s="41"/>
      <c r="C985" s="41"/>
      <c r="D985" s="41"/>
      <c r="E985" s="41"/>
      <c r="F985" s="41"/>
      <c r="G985" s="41"/>
      <c r="H985" s="41"/>
      <c r="I985" s="41"/>
      <c r="J985" s="41"/>
      <c r="K985" s="41"/>
      <c r="L985" s="41"/>
      <c r="M985" s="41"/>
      <c r="N985" s="41"/>
      <c r="O985" s="41"/>
      <c r="P985" s="41"/>
      <c r="Q985" s="64"/>
      <c r="R985" s="41"/>
      <c r="S985" s="41"/>
      <c r="T985" s="41"/>
      <c r="U985" s="41"/>
      <c r="V985" s="41"/>
      <c r="W985" s="41"/>
      <c r="X985" s="41"/>
      <c r="Y985" s="41"/>
      <c r="Z985" s="41"/>
      <c r="AA985" s="41"/>
    </row>
    <row r="986" spans="1:27" ht="15.75" hidden="1" customHeight="1" x14ac:dyDescent="0.25">
      <c r="A986" s="51"/>
      <c r="B986" s="41"/>
      <c r="C986" s="41"/>
      <c r="D986" s="41"/>
      <c r="E986" s="41"/>
      <c r="F986" s="41"/>
      <c r="G986" s="41"/>
      <c r="H986" s="41"/>
      <c r="I986" s="41"/>
      <c r="J986" s="41"/>
      <c r="K986" s="41"/>
      <c r="L986" s="41"/>
      <c r="M986" s="41"/>
      <c r="N986" s="41"/>
      <c r="O986" s="41"/>
      <c r="P986" s="41"/>
      <c r="Q986" s="64"/>
      <c r="R986" s="41"/>
      <c r="S986" s="41"/>
      <c r="T986" s="41"/>
      <c r="U986" s="41"/>
      <c r="V986" s="41"/>
      <c r="W986" s="41"/>
      <c r="X986" s="41"/>
      <c r="Y986" s="41"/>
      <c r="Z986" s="41"/>
      <c r="AA986" s="41"/>
    </row>
    <row r="987" spans="1:27" ht="15.75" hidden="1" customHeight="1" x14ac:dyDescent="0.25">
      <c r="A987" s="51"/>
      <c r="B987" s="41"/>
      <c r="C987" s="41"/>
      <c r="D987" s="41"/>
      <c r="E987" s="41"/>
      <c r="F987" s="41"/>
      <c r="G987" s="41"/>
      <c r="H987" s="41"/>
      <c r="I987" s="41"/>
      <c r="J987" s="41"/>
      <c r="K987" s="41"/>
      <c r="L987" s="41"/>
      <c r="M987" s="41"/>
      <c r="N987" s="41"/>
      <c r="O987" s="41"/>
      <c r="P987" s="41"/>
      <c r="Q987" s="64"/>
      <c r="R987" s="41"/>
      <c r="S987" s="41"/>
      <c r="T987" s="41"/>
      <c r="U987" s="41"/>
      <c r="V987" s="41"/>
      <c r="W987" s="41"/>
      <c r="X987" s="41"/>
      <c r="Y987" s="41"/>
      <c r="Z987" s="41"/>
      <c r="AA987" s="41"/>
    </row>
    <row r="988" spans="1:27" ht="15.75" hidden="1" customHeight="1" x14ac:dyDescent="0.25">
      <c r="A988" s="51"/>
      <c r="B988" s="41"/>
      <c r="C988" s="41"/>
      <c r="D988" s="41"/>
      <c r="E988" s="41"/>
      <c r="F988" s="41"/>
      <c r="G988" s="41"/>
      <c r="H988" s="41"/>
      <c r="I988" s="41"/>
      <c r="J988" s="41"/>
      <c r="K988" s="41"/>
      <c r="L988" s="41"/>
      <c r="M988" s="41"/>
      <c r="N988" s="41"/>
      <c r="O988" s="41"/>
      <c r="P988" s="41"/>
      <c r="Q988" s="64"/>
      <c r="R988" s="41"/>
      <c r="S988" s="41"/>
      <c r="T988" s="41"/>
      <c r="U988" s="41"/>
      <c r="V988" s="41"/>
      <c r="W988" s="41"/>
      <c r="X988" s="41"/>
      <c r="Y988" s="41"/>
      <c r="Z988" s="41"/>
      <c r="AA988" s="41"/>
    </row>
    <row r="989" spans="1:27" ht="15.75" hidden="1" customHeight="1" x14ac:dyDescent="0.25">
      <c r="A989" s="51"/>
      <c r="B989" s="41"/>
      <c r="C989" s="41"/>
      <c r="D989" s="41"/>
      <c r="E989" s="41"/>
      <c r="F989" s="41"/>
      <c r="G989" s="41"/>
      <c r="H989" s="41"/>
      <c r="I989" s="41"/>
      <c r="J989" s="41"/>
      <c r="K989" s="41"/>
      <c r="L989" s="41"/>
      <c r="M989" s="41"/>
      <c r="N989" s="41"/>
      <c r="O989" s="41"/>
      <c r="P989" s="41"/>
      <c r="Q989" s="64"/>
      <c r="R989" s="41"/>
      <c r="S989" s="41"/>
      <c r="T989" s="41"/>
      <c r="U989" s="41"/>
      <c r="V989" s="41"/>
      <c r="W989" s="41"/>
      <c r="X989" s="41"/>
      <c r="Y989" s="41"/>
      <c r="Z989" s="41"/>
      <c r="AA989" s="41"/>
    </row>
    <row r="990" spans="1:27" ht="15.75" hidden="1" customHeight="1" x14ac:dyDescent="0.25">
      <c r="A990" s="51"/>
      <c r="B990" s="41"/>
      <c r="C990" s="41"/>
      <c r="D990" s="41"/>
      <c r="E990" s="41"/>
      <c r="F990" s="41"/>
      <c r="G990" s="41"/>
      <c r="H990" s="41"/>
      <c r="I990" s="41"/>
      <c r="J990" s="41"/>
      <c r="K990" s="41"/>
      <c r="L990" s="41"/>
      <c r="M990" s="41"/>
      <c r="N990" s="41"/>
      <c r="O990" s="41"/>
      <c r="P990" s="41"/>
      <c r="Q990" s="64"/>
      <c r="R990" s="41"/>
      <c r="S990" s="41"/>
      <c r="T990" s="41"/>
      <c r="U990" s="41"/>
      <c r="V990" s="41"/>
      <c r="W990" s="41"/>
      <c r="X990" s="41"/>
      <c r="Y990" s="41"/>
      <c r="Z990" s="41"/>
      <c r="AA990" s="41"/>
    </row>
    <row r="991" spans="1:27" ht="15.75" hidden="1" customHeight="1" x14ac:dyDescent="0.25">
      <c r="A991" s="51"/>
      <c r="B991" s="41"/>
      <c r="C991" s="41"/>
      <c r="D991" s="41"/>
      <c r="E991" s="41"/>
      <c r="F991" s="41"/>
      <c r="G991" s="41"/>
      <c r="H991" s="41"/>
      <c r="I991" s="41"/>
      <c r="J991" s="41"/>
      <c r="K991" s="41"/>
      <c r="L991" s="41"/>
      <c r="M991" s="41"/>
      <c r="N991" s="41"/>
      <c r="O991" s="41"/>
      <c r="P991" s="41"/>
      <c r="Q991" s="64"/>
      <c r="R991" s="41"/>
      <c r="S991" s="41"/>
      <c r="T991" s="41"/>
      <c r="U991" s="41"/>
      <c r="V991" s="41"/>
      <c r="W991" s="41"/>
      <c r="X991" s="41"/>
      <c r="Y991" s="41"/>
      <c r="Z991" s="41"/>
      <c r="AA991" s="41"/>
    </row>
    <row r="992" spans="1:27" ht="15.75" hidden="1" customHeight="1" x14ac:dyDescent="0.25">
      <c r="A992" s="51"/>
      <c r="B992" s="41"/>
      <c r="C992" s="41"/>
      <c r="D992" s="41"/>
      <c r="E992" s="41"/>
      <c r="F992" s="41"/>
      <c r="G992" s="41"/>
      <c r="H992" s="41"/>
      <c r="I992" s="41"/>
      <c r="J992" s="41"/>
      <c r="K992" s="41"/>
      <c r="L992" s="41"/>
      <c r="M992" s="41"/>
      <c r="N992" s="41"/>
      <c r="O992" s="41"/>
      <c r="P992" s="41"/>
      <c r="Q992" s="64"/>
      <c r="R992" s="41"/>
      <c r="S992" s="41"/>
      <c r="T992" s="41"/>
      <c r="U992" s="41"/>
      <c r="V992" s="41"/>
      <c r="W992" s="41"/>
      <c r="X992" s="41"/>
      <c r="Y992" s="41"/>
      <c r="Z992" s="41"/>
      <c r="AA992" s="41"/>
    </row>
    <row r="993" spans="1:27" ht="15.75" hidden="1" customHeight="1" x14ac:dyDescent="0.25">
      <c r="A993" s="51"/>
      <c r="B993" s="41"/>
      <c r="C993" s="41"/>
      <c r="D993" s="41"/>
      <c r="E993" s="41"/>
      <c r="F993" s="41"/>
      <c r="G993" s="41"/>
      <c r="H993" s="41"/>
      <c r="I993" s="41"/>
      <c r="J993" s="41"/>
      <c r="K993" s="41"/>
      <c r="L993" s="41"/>
      <c r="M993" s="41"/>
      <c r="N993" s="41"/>
      <c r="O993" s="41"/>
      <c r="P993" s="41"/>
      <c r="Q993" s="64"/>
      <c r="R993" s="41"/>
      <c r="S993" s="41"/>
      <c r="T993" s="41"/>
      <c r="U993" s="41"/>
      <c r="V993" s="41"/>
      <c r="W993" s="41"/>
      <c r="X993" s="41"/>
      <c r="Y993" s="41"/>
      <c r="Z993" s="41"/>
      <c r="AA993" s="41"/>
    </row>
    <row r="994" spans="1:27" ht="15.75" hidden="1" customHeight="1" x14ac:dyDescent="0.25">
      <c r="A994" s="51"/>
      <c r="B994" s="41"/>
      <c r="C994" s="41"/>
      <c r="D994" s="41"/>
      <c r="E994" s="41"/>
      <c r="F994" s="41"/>
      <c r="G994" s="41"/>
      <c r="H994" s="41"/>
      <c r="I994" s="41"/>
      <c r="J994" s="41"/>
      <c r="K994" s="41"/>
      <c r="L994" s="41"/>
      <c r="M994" s="41"/>
      <c r="N994" s="41"/>
      <c r="O994" s="41"/>
      <c r="P994" s="41"/>
      <c r="Q994" s="64"/>
      <c r="R994" s="41"/>
      <c r="S994" s="41"/>
      <c r="T994" s="41"/>
      <c r="U994" s="41"/>
      <c r="V994" s="41"/>
      <c r="W994" s="41"/>
      <c r="X994" s="41"/>
      <c r="Y994" s="41"/>
      <c r="Z994" s="41"/>
      <c r="AA994" s="41"/>
    </row>
    <row r="995" spans="1:27" ht="15.75" hidden="1" customHeight="1" x14ac:dyDescent="0.25">
      <c r="A995" s="51"/>
      <c r="B995" s="41"/>
      <c r="C995" s="41"/>
      <c r="D995" s="41"/>
      <c r="E995" s="41"/>
      <c r="F995" s="41"/>
      <c r="G995" s="41"/>
      <c r="H995" s="41"/>
      <c r="I995" s="41"/>
      <c r="J995" s="41"/>
      <c r="K995" s="41"/>
      <c r="L995" s="41"/>
      <c r="M995" s="41"/>
      <c r="N995" s="41"/>
      <c r="O995" s="41"/>
      <c r="P995" s="41"/>
      <c r="Q995" s="64"/>
      <c r="R995" s="41"/>
      <c r="S995" s="41"/>
      <c r="T995" s="41"/>
      <c r="U995" s="41"/>
      <c r="V995" s="41"/>
      <c r="W995" s="41"/>
      <c r="X995" s="41"/>
      <c r="Y995" s="41"/>
      <c r="Z995" s="41"/>
      <c r="AA995" s="41"/>
    </row>
    <row r="996" spans="1:27" ht="15.75" hidden="1" customHeight="1" x14ac:dyDescent="0.25">
      <c r="A996" s="51"/>
      <c r="B996" s="41"/>
      <c r="C996" s="41"/>
      <c r="D996" s="41"/>
      <c r="E996" s="41"/>
      <c r="F996" s="41"/>
      <c r="G996" s="41"/>
      <c r="H996" s="41"/>
      <c r="I996" s="41"/>
      <c r="J996" s="41"/>
      <c r="K996" s="41"/>
      <c r="L996" s="41"/>
      <c r="M996" s="41"/>
      <c r="N996" s="41"/>
      <c r="O996" s="41"/>
      <c r="P996" s="41"/>
      <c r="Q996" s="64"/>
      <c r="R996" s="41"/>
      <c r="S996" s="41"/>
      <c r="T996" s="41"/>
      <c r="U996" s="41"/>
      <c r="V996" s="41"/>
      <c r="W996" s="41"/>
      <c r="X996" s="41"/>
      <c r="Y996" s="41"/>
      <c r="Z996" s="41"/>
      <c r="AA996" s="41"/>
    </row>
  </sheetData>
  <autoFilter ref="A1:R66" xr:uid="{00000000-0009-0000-0000-000003000000}"/>
  <conditionalFormatting sqref="A1:L64">
    <cfRule type="containsBlanks" dxfId="7" priority="4">
      <formula>LEN(TRIM(A1))=0</formula>
    </cfRule>
  </conditionalFormatting>
  <conditionalFormatting sqref="A65:L65">
    <cfRule type="containsBlanks" dxfId="6" priority="3">
      <formula>LEN(TRIM(A65))=0</formula>
    </cfRule>
  </conditionalFormatting>
  <conditionalFormatting sqref="A66:L70">
    <cfRule type="containsBlanks" dxfId="5" priority="2">
      <formula>LEN(TRIM(A66))=0</formula>
    </cfRule>
  </conditionalFormatting>
  <conditionalFormatting sqref="Q1">
    <cfRule type="containsBlanks" dxfId="4" priority="1">
      <formula>LEN(TRIM(Q1))=0</formula>
    </cfRule>
  </conditionalFormatting>
  <pageMargins left="0.7" right="0.7" top="0.75" bottom="0.75"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tabColor theme="1" tint="0.499984740745262"/>
  </sheetPr>
  <dimension ref="A1:AA997"/>
  <sheetViews>
    <sheetView showGridLines="0" workbookViewId="0">
      <pane xSplit="3" ySplit="1" topLeftCell="D2" activePane="bottomRight" state="frozen"/>
      <selection pane="topRight" activeCell="D1" sqref="D1"/>
      <selection pane="bottomLeft" activeCell="A2" sqref="A2"/>
      <selection pane="bottomRight" activeCell="Q2" sqref="Q2:Q9"/>
    </sheetView>
  </sheetViews>
  <sheetFormatPr baseColWidth="10" defaultColWidth="0" defaultRowHeight="15" customHeight="1" zeroHeight="1" x14ac:dyDescent="0.25"/>
  <cols>
    <col min="1" max="1" width="19.28515625" style="42" customWidth="1"/>
    <col min="2" max="2" width="20.85546875" style="42" customWidth="1"/>
    <col min="3" max="3" width="21.5703125" style="42" customWidth="1"/>
    <col min="4" max="4" width="7.5703125" style="42" customWidth="1"/>
    <col min="5" max="5" width="15.28515625" style="42" customWidth="1"/>
    <col min="6" max="6" width="12.28515625" style="42" customWidth="1"/>
    <col min="7" max="7" width="10.140625" style="42" customWidth="1"/>
    <col min="8" max="8" width="10.28515625" style="42" customWidth="1"/>
    <col min="9" max="9" width="11.42578125" style="42" customWidth="1"/>
    <col min="10" max="10" width="10.85546875" style="42" customWidth="1"/>
    <col min="11" max="11" width="14.5703125" style="42" customWidth="1"/>
    <col min="12" max="12" width="15.28515625" style="42" customWidth="1"/>
    <col min="13" max="13" width="16" style="42" customWidth="1"/>
    <col min="14" max="14" width="14.85546875" style="42" customWidth="1"/>
    <col min="15" max="17" width="11.42578125" style="42" customWidth="1"/>
    <col min="18" max="18" width="18.140625" style="42" customWidth="1"/>
    <col min="19" max="27" width="10.7109375" style="42" hidden="1" customWidth="1"/>
    <col min="28" max="16384" width="14.42578125" style="42" hidden="1"/>
  </cols>
  <sheetData>
    <row r="1" spans="1:23" ht="33.75" customHeight="1" x14ac:dyDescent="0.25">
      <c r="A1" s="52" t="s">
        <v>10</v>
      </c>
      <c r="B1" s="52" t="s">
        <v>12</v>
      </c>
      <c r="C1" s="52" t="s">
        <v>717</v>
      </c>
      <c r="D1" s="52" t="s">
        <v>718</v>
      </c>
      <c r="E1" s="52" t="s">
        <v>719</v>
      </c>
      <c r="F1" s="52" t="s">
        <v>720</v>
      </c>
      <c r="G1" s="52" t="s">
        <v>721</v>
      </c>
      <c r="H1" s="52" t="s">
        <v>722</v>
      </c>
      <c r="I1" s="52" t="s">
        <v>723</v>
      </c>
      <c r="J1" s="52" t="s">
        <v>724</v>
      </c>
      <c r="K1" s="52" t="s">
        <v>725</v>
      </c>
      <c r="L1" s="52" t="s">
        <v>726</v>
      </c>
      <c r="M1" s="52" t="s">
        <v>727</v>
      </c>
      <c r="N1" s="52" t="s">
        <v>728</v>
      </c>
      <c r="O1" s="52" t="s">
        <v>729</v>
      </c>
      <c r="P1" s="52" t="s">
        <v>730</v>
      </c>
      <c r="Q1" s="52" t="s">
        <v>731</v>
      </c>
      <c r="R1" s="93" t="s">
        <v>2515</v>
      </c>
      <c r="S1" s="53"/>
      <c r="T1" s="53"/>
      <c r="U1" s="53"/>
      <c r="V1" s="53"/>
      <c r="W1" s="53"/>
    </row>
    <row r="2" spans="1:23" ht="19.5" customHeight="1" x14ac:dyDescent="0.25">
      <c r="A2" s="43" t="s">
        <v>39</v>
      </c>
      <c r="B2" s="43">
        <v>1</v>
      </c>
      <c r="C2" s="54" t="s">
        <v>41</v>
      </c>
      <c r="D2" s="55">
        <v>0.33333333333333331</v>
      </c>
      <c r="E2" s="55" t="s">
        <v>412</v>
      </c>
      <c r="F2" s="55" t="s">
        <v>414</v>
      </c>
      <c r="G2" s="55">
        <v>2021</v>
      </c>
      <c r="H2" s="56">
        <v>0</v>
      </c>
      <c r="I2" s="56">
        <v>0</v>
      </c>
      <c r="J2" s="56">
        <v>0</v>
      </c>
      <c r="K2" s="56">
        <v>0.125</v>
      </c>
      <c r="L2" s="56">
        <v>0.25</v>
      </c>
      <c r="M2" s="56">
        <v>0.125</v>
      </c>
      <c r="N2" s="56">
        <v>0.25</v>
      </c>
      <c r="O2" s="56">
        <v>0.5</v>
      </c>
      <c r="P2" s="55"/>
      <c r="Q2" s="56">
        <v>1</v>
      </c>
      <c r="R2" s="49" t="s">
        <v>2349</v>
      </c>
      <c r="S2" s="41"/>
      <c r="T2" s="41"/>
      <c r="U2" s="41"/>
      <c r="V2" s="41"/>
      <c r="W2" s="41"/>
    </row>
    <row r="3" spans="1:23" ht="19.5" customHeight="1" x14ac:dyDescent="0.25">
      <c r="A3" s="43" t="s">
        <v>44</v>
      </c>
      <c r="B3" s="43">
        <v>1</v>
      </c>
      <c r="C3" s="54" t="s">
        <v>45</v>
      </c>
      <c r="D3" s="55">
        <v>0.33333333333333331</v>
      </c>
      <c r="E3" s="55" t="s">
        <v>412</v>
      </c>
      <c r="F3" s="55" t="s">
        <v>414</v>
      </c>
      <c r="G3" s="55">
        <v>2021</v>
      </c>
      <c r="H3" s="55">
        <v>0</v>
      </c>
      <c r="I3" s="55">
        <v>1</v>
      </c>
      <c r="J3" s="55">
        <v>1</v>
      </c>
      <c r="K3" s="55">
        <v>1</v>
      </c>
      <c r="L3" s="55">
        <v>2</v>
      </c>
      <c r="M3" s="55">
        <v>1</v>
      </c>
      <c r="N3" s="55">
        <v>2</v>
      </c>
      <c r="O3" s="55">
        <v>2</v>
      </c>
      <c r="P3" s="55"/>
      <c r="Q3" s="55">
        <v>8</v>
      </c>
      <c r="R3" s="49" t="s">
        <v>2350</v>
      </c>
      <c r="S3" s="41"/>
      <c r="T3" s="41"/>
      <c r="U3" s="41"/>
      <c r="V3" s="41"/>
      <c r="W3" s="41"/>
    </row>
    <row r="4" spans="1:23" ht="19.5" customHeight="1" x14ac:dyDescent="0.25">
      <c r="A4" s="43" t="s">
        <v>46</v>
      </c>
      <c r="B4" s="43">
        <v>1</v>
      </c>
      <c r="C4" s="54" t="s">
        <v>47</v>
      </c>
      <c r="D4" s="55">
        <v>0.33333333333333331</v>
      </c>
      <c r="E4" s="55" t="s">
        <v>412</v>
      </c>
      <c r="F4" s="55" t="s">
        <v>414</v>
      </c>
      <c r="G4" s="55">
        <v>2021</v>
      </c>
      <c r="H4" s="55">
        <v>0</v>
      </c>
      <c r="I4" s="55">
        <v>0</v>
      </c>
      <c r="J4" s="55">
        <v>0</v>
      </c>
      <c r="K4" s="55">
        <v>1</v>
      </c>
      <c r="L4" s="55">
        <v>2</v>
      </c>
      <c r="M4" s="55">
        <v>2</v>
      </c>
      <c r="N4" s="55">
        <v>3</v>
      </c>
      <c r="O4" s="55">
        <v>7</v>
      </c>
      <c r="P4" s="55"/>
      <c r="Q4" s="55">
        <v>15</v>
      </c>
      <c r="R4" s="49" t="s">
        <v>2351</v>
      </c>
      <c r="S4" s="41"/>
      <c r="T4" s="41"/>
      <c r="U4" s="41"/>
      <c r="V4" s="41"/>
      <c r="W4" s="41"/>
    </row>
    <row r="5" spans="1:23" ht="19.5" customHeight="1" x14ac:dyDescent="0.25">
      <c r="A5" s="43" t="s">
        <v>48</v>
      </c>
      <c r="B5" s="43">
        <v>2</v>
      </c>
      <c r="C5" s="54" t="s">
        <v>49</v>
      </c>
      <c r="D5" s="55">
        <v>0.33333333333333331</v>
      </c>
      <c r="E5" s="55" t="s">
        <v>417</v>
      </c>
      <c r="F5" s="55" t="s">
        <v>419</v>
      </c>
      <c r="G5" s="55">
        <v>2020</v>
      </c>
      <c r="H5" s="55">
        <v>1</v>
      </c>
      <c r="I5" s="55">
        <v>0</v>
      </c>
      <c r="J5" s="55">
        <v>0</v>
      </c>
      <c r="K5" s="55">
        <v>1</v>
      </c>
      <c r="L5" s="55">
        <v>2</v>
      </c>
      <c r="M5" s="55">
        <v>1</v>
      </c>
      <c r="N5" s="55">
        <v>3</v>
      </c>
      <c r="O5" s="55">
        <v>0</v>
      </c>
      <c r="P5" s="55"/>
      <c r="Q5" s="55">
        <v>5</v>
      </c>
      <c r="R5" s="49" t="s">
        <v>2352</v>
      </c>
      <c r="S5" s="41"/>
      <c r="T5" s="41"/>
      <c r="U5" s="41"/>
      <c r="V5" s="41"/>
      <c r="W5" s="41"/>
    </row>
    <row r="6" spans="1:23" ht="19.5" customHeight="1" x14ac:dyDescent="0.25">
      <c r="A6" s="43" t="s">
        <v>50</v>
      </c>
      <c r="B6" s="43">
        <v>2</v>
      </c>
      <c r="C6" s="54" t="s">
        <v>51</v>
      </c>
      <c r="D6" s="55">
        <v>0.33333333333333331</v>
      </c>
      <c r="E6" s="55" t="s">
        <v>417</v>
      </c>
      <c r="F6" s="55" t="s">
        <v>419</v>
      </c>
      <c r="G6" s="55">
        <v>2020</v>
      </c>
      <c r="H6" s="55">
        <v>0</v>
      </c>
      <c r="I6" s="55">
        <v>1</v>
      </c>
      <c r="J6" s="55">
        <v>1</v>
      </c>
      <c r="K6" s="55">
        <v>2</v>
      </c>
      <c r="L6" s="55">
        <v>4</v>
      </c>
      <c r="M6" s="55">
        <v>2</v>
      </c>
      <c r="N6" s="55">
        <v>4</v>
      </c>
      <c r="O6" s="55">
        <v>0</v>
      </c>
      <c r="P6" s="55"/>
      <c r="Q6" s="55">
        <v>9</v>
      </c>
      <c r="R6" s="49" t="s">
        <v>2353</v>
      </c>
      <c r="S6" s="41"/>
      <c r="T6" s="41"/>
      <c r="U6" s="41"/>
      <c r="V6" s="41"/>
      <c r="W6" s="41"/>
    </row>
    <row r="7" spans="1:23" ht="19.5" customHeight="1" x14ac:dyDescent="0.25">
      <c r="A7" s="43" t="s">
        <v>52</v>
      </c>
      <c r="B7" s="43">
        <v>2</v>
      </c>
      <c r="C7" s="54" t="s">
        <v>53</v>
      </c>
      <c r="D7" s="55">
        <v>0.33333333333333331</v>
      </c>
      <c r="E7" s="55" t="s">
        <v>417</v>
      </c>
      <c r="F7" s="55" t="s">
        <v>419</v>
      </c>
      <c r="G7" s="55">
        <v>2020</v>
      </c>
      <c r="H7" s="55">
        <v>0</v>
      </c>
      <c r="I7" s="55">
        <v>1</v>
      </c>
      <c r="J7" s="55">
        <v>1</v>
      </c>
      <c r="K7" s="55">
        <v>1</v>
      </c>
      <c r="L7" s="55">
        <v>2</v>
      </c>
      <c r="M7" s="55">
        <v>1</v>
      </c>
      <c r="N7" s="55">
        <v>2</v>
      </c>
      <c r="O7" s="55">
        <v>0</v>
      </c>
      <c r="P7" s="55"/>
      <c r="Q7" s="55">
        <v>5</v>
      </c>
      <c r="R7" s="49" t="s">
        <v>2354</v>
      </c>
      <c r="S7" s="41"/>
      <c r="T7" s="41"/>
      <c r="U7" s="41"/>
      <c r="V7" s="41"/>
      <c r="W7" s="41"/>
    </row>
    <row r="8" spans="1:23" ht="19.5" customHeight="1" x14ac:dyDescent="0.25">
      <c r="A8" s="43" t="s">
        <v>62</v>
      </c>
      <c r="B8" s="43">
        <v>4</v>
      </c>
      <c r="C8" s="54" t="s">
        <v>63</v>
      </c>
      <c r="D8" s="55">
        <v>0.33333333333333331</v>
      </c>
      <c r="E8" s="55" t="s">
        <v>732</v>
      </c>
      <c r="F8" s="55" t="s">
        <v>424</v>
      </c>
      <c r="G8" s="55">
        <v>2020</v>
      </c>
      <c r="H8" s="55">
        <v>1</v>
      </c>
      <c r="I8" s="55">
        <v>2</v>
      </c>
      <c r="J8" s="55">
        <v>2</v>
      </c>
      <c r="K8" s="55">
        <v>1</v>
      </c>
      <c r="L8" s="55">
        <v>2</v>
      </c>
      <c r="M8" s="55">
        <v>1</v>
      </c>
      <c r="N8" s="55">
        <v>2</v>
      </c>
      <c r="O8" s="55">
        <v>1</v>
      </c>
      <c r="P8" s="55"/>
      <c r="Q8" s="55">
        <v>7</v>
      </c>
      <c r="R8" s="49" t="s">
        <v>2359</v>
      </c>
      <c r="S8" s="41"/>
      <c r="T8" s="41"/>
      <c r="U8" s="41"/>
      <c r="V8" s="41"/>
      <c r="W8" s="41"/>
    </row>
    <row r="9" spans="1:23" ht="19.5" customHeight="1" x14ac:dyDescent="0.25">
      <c r="A9" s="43" t="s">
        <v>64</v>
      </c>
      <c r="B9" s="43">
        <v>4</v>
      </c>
      <c r="C9" s="54" t="s">
        <v>65</v>
      </c>
      <c r="D9" s="55">
        <v>0.33333333333333331</v>
      </c>
      <c r="E9" s="55" t="s">
        <v>732</v>
      </c>
      <c r="F9" s="55" t="s">
        <v>424</v>
      </c>
      <c r="G9" s="55">
        <v>2020</v>
      </c>
      <c r="H9" s="55">
        <v>0</v>
      </c>
      <c r="I9" s="55">
        <v>1</v>
      </c>
      <c r="J9" s="55">
        <v>1</v>
      </c>
      <c r="K9" s="55">
        <v>0</v>
      </c>
      <c r="L9" s="55">
        <v>1</v>
      </c>
      <c r="M9" s="55">
        <v>1</v>
      </c>
      <c r="N9" s="55">
        <v>2</v>
      </c>
      <c r="O9" s="55">
        <v>0</v>
      </c>
      <c r="P9" s="55"/>
      <c r="Q9" s="55">
        <v>4</v>
      </c>
      <c r="R9" s="49" t="s">
        <v>2360</v>
      </c>
      <c r="S9" s="41"/>
      <c r="T9" s="41"/>
      <c r="U9" s="41"/>
      <c r="V9" s="41"/>
      <c r="W9" s="41"/>
    </row>
    <row r="10" spans="1:23" ht="19.5" customHeight="1" x14ac:dyDescent="0.25">
      <c r="A10" s="43" t="s">
        <v>66</v>
      </c>
      <c r="B10" s="43">
        <v>4</v>
      </c>
      <c r="C10" s="54" t="s">
        <v>67</v>
      </c>
      <c r="D10" s="55">
        <v>0.33333333333333331</v>
      </c>
      <c r="E10" s="55" t="s">
        <v>732</v>
      </c>
      <c r="F10" s="55" t="s">
        <v>424</v>
      </c>
      <c r="G10" s="55">
        <v>2020</v>
      </c>
      <c r="H10" s="55">
        <v>0</v>
      </c>
      <c r="I10" s="55">
        <v>0</v>
      </c>
      <c r="J10" s="55">
        <v>0</v>
      </c>
      <c r="K10" s="55">
        <v>0</v>
      </c>
      <c r="L10" s="55">
        <v>0</v>
      </c>
      <c r="M10" s="55">
        <v>0</v>
      </c>
      <c r="N10" s="55">
        <v>0</v>
      </c>
      <c r="O10" s="55">
        <v>1</v>
      </c>
      <c r="P10" s="55"/>
      <c r="Q10" s="55">
        <v>1</v>
      </c>
      <c r="R10" s="49" t="s">
        <v>2361</v>
      </c>
      <c r="S10" s="41"/>
      <c r="T10" s="41"/>
      <c r="U10" s="41"/>
      <c r="V10" s="41"/>
      <c r="W10" s="41"/>
    </row>
    <row r="11" spans="1:23" ht="19.5" customHeight="1" x14ac:dyDescent="0.25">
      <c r="A11" s="43" t="s">
        <v>68</v>
      </c>
      <c r="B11" s="43">
        <v>5</v>
      </c>
      <c r="C11" s="54" t="s">
        <v>69</v>
      </c>
      <c r="D11" s="55">
        <v>0.5</v>
      </c>
      <c r="E11" s="55" t="s">
        <v>427</v>
      </c>
      <c r="F11" s="55" t="s">
        <v>429</v>
      </c>
      <c r="G11" s="55">
        <v>2020</v>
      </c>
      <c r="H11" s="55">
        <v>500</v>
      </c>
      <c r="I11" s="55">
        <v>600</v>
      </c>
      <c r="J11" s="55">
        <v>600</v>
      </c>
      <c r="K11" s="55">
        <v>400</v>
      </c>
      <c r="L11" s="55">
        <v>800</v>
      </c>
      <c r="M11" s="55">
        <v>500</v>
      </c>
      <c r="N11" s="55">
        <v>1000</v>
      </c>
      <c r="O11" s="55">
        <v>1050</v>
      </c>
      <c r="P11" s="55"/>
      <c r="Q11" s="55">
        <v>1050</v>
      </c>
      <c r="R11" s="49" t="s">
        <v>2362</v>
      </c>
      <c r="S11" s="41"/>
      <c r="T11" s="41"/>
      <c r="U11" s="41"/>
      <c r="V11" s="41"/>
      <c r="W11" s="41"/>
    </row>
    <row r="12" spans="1:23" ht="19.5" customHeight="1" x14ac:dyDescent="0.25">
      <c r="A12" s="43" t="s">
        <v>70</v>
      </c>
      <c r="B12" s="43">
        <v>5</v>
      </c>
      <c r="C12" s="54" t="s">
        <v>71</v>
      </c>
      <c r="D12" s="55">
        <v>0.5</v>
      </c>
      <c r="E12" s="55" t="s">
        <v>427</v>
      </c>
      <c r="F12" s="55" t="s">
        <v>429</v>
      </c>
      <c r="G12" s="55">
        <v>2020</v>
      </c>
      <c r="H12" s="55">
        <v>40</v>
      </c>
      <c r="I12" s="55">
        <v>45</v>
      </c>
      <c r="J12" s="55">
        <v>45</v>
      </c>
      <c r="K12" s="55">
        <v>25</v>
      </c>
      <c r="L12" s="55">
        <v>50</v>
      </c>
      <c r="M12" s="55">
        <v>25</v>
      </c>
      <c r="N12" s="55">
        <v>55</v>
      </c>
      <c r="O12" s="55">
        <v>60</v>
      </c>
      <c r="P12" s="55"/>
      <c r="Q12" s="55">
        <v>60</v>
      </c>
      <c r="R12" s="49" t="s">
        <v>71</v>
      </c>
      <c r="S12" s="41"/>
      <c r="T12" s="41"/>
      <c r="U12" s="41"/>
      <c r="V12" s="41"/>
      <c r="W12" s="41"/>
    </row>
    <row r="13" spans="1:23" ht="19.5" customHeight="1" x14ac:dyDescent="0.25">
      <c r="A13" s="43" t="s">
        <v>72</v>
      </c>
      <c r="B13" s="43">
        <v>6</v>
      </c>
      <c r="C13" s="54" t="s">
        <v>73</v>
      </c>
      <c r="D13" s="55">
        <v>0.25</v>
      </c>
      <c r="E13" s="55" t="s">
        <v>733</v>
      </c>
      <c r="F13" s="55" t="s">
        <v>419</v>
      </c>
      <c r="G13" s="55">
        <v>2020</v>
      </c>
      <c r="H13" s="55">
        <v>18</v>
      </c>
      <c r="I13" s="55">
        <v>0</v>
      </c>
      <c r="J13" s="55">
        <v>0</v>
      </c>
      <c r="K13" s="55">
        <v>5</v>
      </c>
      <c r="L13" s="55">
        <v>10</v>
      </c>
      <c r="M13" s="55">
        <v>5</v>
      </c>
      <c r="N13" s="55">
        <v>10</v>
      </c>
      <c r="O13" s="55">
        <v>2</v>
      </c>
      <c r="P13" s="55"/>
      <c r="Q13" s="55">
        <v>22</v>
      </c>
      <c r="R13" s="49" t="s">
        <v>73</v>
      </c>
      <c r="S13" s="41"/>
      <c r="T13" s="41"/>
      <c r="U13" s="41"/>
      <c r="V13" s="41"/>
      <c r="W13" s="41"/>
    </row>
    <row r="14" spans="1:23" ht="19.5" customHeight="1" x14ac:dyDescent="0.25">
      <c r="A14" s="43" t="s">
        <v>74</v>
      </c>
      <c r="B14" s="43">
        <v>6</v>
      </c>
      <c r="C14" s="54" t="s">
        <v>75</v>
      </c>
      <c r="D14" s="55">
        <v>0.25</v>
      </c>
      <c r="E14" s="55" t="s">
        <v>427</v>
      </c>
      <c r="F14" s="55" t="s">
        <v>429</v>
      </c>
      <c r="G14" s="55">
        <v>2020</v>
      </c>
      <c r="H14" s="55">
        <v>25</v>
      </c>
      <c r="I14" s="55">
        <v>2</v>
      </c>
      <c r="J14" s="55">
        <v>2</v>
      </c>
      <c r="K14" s="55">
        <v>7</v>
      </c>
      <c r="L14" s="55">
        <v>15</v>
      </c>
      <c r="M14" s="55">
        <v>7</v>
      </c>
      <c r="N14" s="55">
        <v>15</v>
      </c>
      <c r="O14" s="55">
        <v>2</v>
      </c>
      <c r="P14" s="55"/>
      <c r="Q14" s="55">
        <v>34</v>
      </c>
      <c r="R14" s="49" t="s">
        <v>2363</v>
      </c>
      <c r="S14" s="41"/>
      <c r="T14" s="41"/>
      <c r="U14" s="41"/>
      <c r="V14" s="41"/>
      <c r="W14" s="41"/>
    </row>
    <row r="15" spans="1:23" ht="19.5" customHeight="1" x14ac:dyDescent="0.25">
      <c r="A15" s="43" t="s">
        <v>76</v>
      </c>
      <c r="B15" s="43">
        <v>6</v>
      </c>
      <c r="C15" s="54" t="s">
        <v>77</v>
      </c>
      <c r="D15" s="55">
        <v>0.25</v>
      </c>
      <c r="E15" s="55" t="s">
        <v>734</v>
      </c>
      <c r="F15" s="55" t="s">
        <v>591</v>
      </c>
      <c r="G15" s="55">
        <v>2020</v>
      </c>
      <c r="H15" s="55">
        <v>10</v>
      </c>
      <c r="I15" s="55">
        <v>2</v>
      </c>
      <c r="J15" s="55">
        <v>2</v>
      </c>
      <c r="K15" s="55">
        <v>1</v>
      </c>
      <c r="L15" s="55">
        <v>3</v>
      </c>
      <c r="M15" s="55">
        <v>2</v>
      </c>
      <c r="N15" s="55">
        <v>4</v>
      </c>
      <c r="O15" s="55">
        <v>1</v>
      </c>
      <c r="P15" s="55"/>
      <c r="Q15" s="55">
        <v>10</v>
      </c>
      <c r="R15" s="49" t="s">
        <v>2364</v>
      </c>
      <c r="S15" s="41"/>
      <c r="T15" s="41"/>
      <c r="U15" s="41"/>
      <c r="V15" s="41"/>
      <c r="W15" s="41"/>
    </row>
    <row r="16" spans="1:23" ht="19.5" customHeight="1" x14ac:dyDescent="0.25">
      <c r="A16" s="43" t="s">
        <v>78</v>
      </c>
      <c r="B16" s="43">
        <v>6</v>
      </c>
      <c r="C16" s="54" t="s">
        <v>79</v>
      </c>
      <c r="D16" s="55">
        <v>0.25</v>
      </c>
      <c r="E16" s="55" t="s">
        <v>734</v>
      </c>
      <c r="F16" s="55" t="s">
        <v>591</v>
      </c>
      <c r="G16" s="55">
        <v>2020</v>
      </c>
      <c r="H16" s="55">
        <v>50</v>
      </c>
      <c r="I16" s="55">
        <v>55</v>
      </c>
      <c r="J16" s="55">
        <v>55</v>
      </c>
      <c r="K16" s="55">
        <v>25</v>
      </c>
      <c r="L16" s="55">
        <v>60</v>
      </c>
      <c r="M16" s="55">
        <v>30</v>
      </c>
      <c r="N16" s="55">
        <v>65</v>
      </c>
      <c r="O16" s="55">
        <v>10</v>
      </c>
      <c r="P16" s="55"/>
      <c r="Q16" s="55">
        <v>190</v>
      </c>
      <c r="R16" s="49" t="s">
        <v>2365</v>
      </c>
      <c r="S16" s="41"/>
      <c r="T16" s="41"/>
      <c r="U16" s="41"/>
      <c r="V16" s="41"/>
      <c r="W16" s="41"/>
    </row>
    <row r="17" spans="1:23" ht="19.5" customHeight="1" x14ac:dyDescent="0.25">
      <c r="A17" s="43" t="s">
        <v>80</v>
      </c>
      <c r="B17" s="43">
        <v>7</v>
      </c>
      <c r="C17" s="54" t="s">
        <v>81</v>
      </c>
      <c r="D17" s="55">
        <v>0.5</v>
      </c>
      <c r="E17" s="55" t="s">
        <v>436</v>
      </c>
      <c r="F17" s="55" t="s">
        <v>735</v>
      </c>
      <c r="G17" s="55">
        <v>2020</v>
      </c>
      <c r="H17" s="55">
        <v>0</v>
      </c>
      <c r="I17" s="56">
        <v>0.60000002384185791</v>
      </c>
      <c r="J17" s="56">
        <v>0.60000002384185791</v>
      </c>
      <c r="K17" s="56">
        <v>0.30000001192092896</v>
      </c>
      <c r="L17" s="56">
        <v>0.4</v>
      </c>
      <c r="M17" s="55">
        <v>0</v>
      </c>
      <c r="N17" s="55">
        <v>0</v>
      </c>
      <c r="O17" s="55">
        <v>0</v>
      </c>
      <c r="P17" s="55"/>
      <c r="Q17" s="56">
        <v>1</v>
      </c>
      <c r="R17" s="49" t="s">
        <v>2366</v>
      </c>
      <c r="S17" s="41"/>
      <c r="T17" s="41"/>
      <c r="U17" s="41"/>
      <c r="V17" s="41"/>
      <c r="W17" s="41"/>
    </row>
    <row r="18" spans="1:23" ht="19.5" customHeight="1" x14ac:dyDescent="0.25">
      <c r="A18" s="43" t="s">
        <v>82</v>
      </c>
      <c r="B18" s="43">
        <v>7</v>
      </c>
      <c r="C18" s="54" t="s">
        <v>83</v>
      </c>
      <c r="D18" s="55">
        <v>0.5</v>
      </c>
      <c r="E18" s="55" t="s">
        <v>436</v>
      </c>
      <c r="F18" s="55" t="s">
        <v>735</v>
      </c>
      <c r="G18" s="55">
        <v>2020</v>
      </c>
      <c r="H18" s="55">
        <v>0</v>
      </c>
      <c r="I18" s="55">
        <v>0</v>
      </c>
      <c r="J18" s="55">
        <v>0</v>
      </c>
      <c r="K18" s="55">
        <v>10</v>
      </c>
      <c r="L18" s="55">
        <v>15</v>
      </c>
      <c r="M18" s="55">
        <v>5</v>
      </c>
      <c r="N18" s="55">
        <v>10</v>
      </c>
      <c r="O18" s="55">
        <v>0</v>
      </c>
      <c r="P18" s="55"/>
      <c r="Q18" s="55">
        <v>25</v>
      </c>
      <c r="R18" s="49" t="s">
        <v>2367</v>
      </c>
      <c r="S18" s="41"/>
      <c r="T18" s="41"/>
      <c r="U18" s="41"/>
      <c r="V18" s="41"/>
      <c r="W18" s="41"/>
    </row>
    <row r="19" spans="1:23" ht="19.5" customHeight="1" x14ac:dyDescent="0.25">
      <c r="A19" s="43" t="s">
        <v>84</v>
      </c>
      <c r="B19" s="43">
        <v>8</v>
      </c>
      <c r="C19" s="54" t="s">
        <v>85</v>
      </c>
      <c r="D19" s="55">
        <v>0.33333333333333331</v>
      </c>
      <c r="E19" s="55" t="s">
        <v>736</v>
      </c>
      <c r="F19" s="55" t="s">
        <v>737</v>
      </c>
      <c r="G19" s="55">
        <v>2021</v>
      </c>
      <c r="H19" s="56">
        <v>0</v>
      </c>
      <c r="I19" s="56">
        <v>0.30000001192092896</v>
      </c>
      <c r="J19" s="56">
        <v>0.3</v>
      </c>
      <c r="K19" s="56">
        <v>0.35</v>
      </c>
      <c r="L19" s="56">
        <v>0.7</v>
      </c>
      <c r="M19" s="56">
        <v>0</v>
      </c>
      <c r="N19" s="56">
        <v>0</v>
      </c>
      <c r="O19" s="56">
        <v>0</v>
      </c>
      <c r="P19" s="55"/>
      <c r="Q19" s="56">
        <v>1</v>
      </c>
      <c r="R19" s="49" t="s">
        <v>2368</v>
      </c>
      <c r="S19" s="41"/>
      <c r="T19" s="41"/>
      <c r="U19" s="41"/>
      <c r="V19" s="41"/>
      <c r="W19" s="41"/>
    </row>
    <row r="20" spans="1:23" ht="19.5" customHeight="1" x14ac:dyDescent="0.25">
      <c r="A20" s="43" t="s">
        <v>86</v>
      </c>
      <c r="B20" s="43">
        <v>8</v>
      </c>
      <c r="C20" s="54" t="s">
        <v>87</v>
      </c>
      <c r="D20" s="55">
        <v>0.33333333333333331</v>
      </c>
      <c r="E20" s="55" t="s">
        <v>736</v>
      </c>
      <c r="F20" s="55" t="s">
        <v>737</v>
      </c>
      <c r="G20" s="55">
        <v>2021</v>
      </c>
      <c r="H20" s="56">
        <v>0</v>
      </c>
      <c r="I20" s="56">
        <v>1</v>
      </c>
      <c r="J20" s="56">
        <v>1</v>
      </c>
      <c r="K20" s="56">
        <v>0</v>
      </c>
      <c r="L20" s="56">
        <v>0</v>
      </c>
      <c r="M20" s="56">
        <v>0</v>
      </c>
      <c r="N20" s="56">
        <v>0</v>
      </c>
      <c r="O20" s="56">
        <v>0</v>
      </c>
      <c r="P20" s="55"/>
      <c r="Q20" s="56">
        <v>1</v>
      </c>
      <c r="R20" s="49" t="s">
        <v>2369</v>
      </c>
      <c r="S20" s="41"/>
      <c r="T20" s="41"/>
      <c r="U20" s="41"/>
      <c r="V20" s="41"/>
      <c r="W20" s="41"/>
    </row>
    <row r="21" spans="1:23" ht="19.5" customHeight="1" x14ac:dyDescent="0.25">
      <c r="A21" s="43" t="s">
        <v>88</v>
      </c>
      <c r="B21" s="43">
        <v>8</v>
      </c>
      <c r="C21" s="54" t="s">
        <v>89</v>
      </c>
      <c r="D21" s="55">
        <v>0.33333333333333331</v>
      </c>
      <c r="E21" s="55" t="s">
        <v>736</v>
      </c>
      <c r="F21" s="55" t="s">
        <v>737</v>
      </c>
      <c r="G21" s="55">
        <v>2021</v>
      </c>
      <c r="H21" s="56">
        <v>0</v>
      </c>
      <c r="I21" s="56">
        <v>0</v>
      </c>
      <c r="J21" s="56">
        <v>0</v>
      </c>
      <c r="K21" s="56">
        <v>0.7</v>
      </c>
      <c r="L21" s="56">
        <v>1</v>
      </c>
      <c r="M21" s="56">
        <v>0</v>
      </c>
      <c r="N21" s="56">
        <v>0</v>
      </c>
      <c r="O21" s="56">
        <v>0</v>
      </c>
      <c r="P21" s="55"/>
      <c r="Q21" s="56">
        <v>1</v>
      </c>
      <c r="R21" s="49" t="s">
        <v>2370</v>
      </c>
      <c r="S21" s="41"/>
      <c r="T21" s="41"/>
      <c r="U21" s="41"/>
      <c r="V21" s="41"/>
      <c r="W21" s="41"/>
    </row>
    <row r="22" spans="1:23" ht="19.5" customHeight="1" x14ac:dyDescent="0.25">
      <c r="A22" s="43" t="s">
        <v>229</v>
      </c>
      <c r="B22" s="43">
        <v>38</v>
      </c>
      <c r="C22" s="54" t="s">
        <v>230</v>
      </c>
      <c r="D22" s="55">
        <v>1</v>
      </c>
      <c r="E22" s="55" t="s">
        <v>738</v>
      </c>
      <c r="F22" s="55" t="s">
        <v>739</v>
      </c>
      <c r="G22" s="55">
        <v>2021</v>
      </c>
      <c r="H22" s="55">
        <v>8703</v>
      </c>
      <c r="I22" s="55">
        <v>0</v>
      </c>
      <c r="J22" s="55">
        <v>0</v>
      </c>
      <c r="K22" s="55">
        <v>0</v>
      </c>
      <c r="L22" s="55">
        <v>8100</v>
      </c>
      <c r="M22" s="55">
        <v>4200</v>
      </c>
      <c r="N22" s="55">
        <v>8700</v>
      </c>
      <c r="O22" s="55">
        <v>1390</v>
      </c>
      <c r="P22" s="55"/>
      <c r="Q22" s="55">
        <v>18190</v>
      </c>
      <c r="R22" s="49" t="s">
        <v>2441</v>
      </c>
      <c r="S22" s="41"/>
      <c r="T22" s="41"/>
      <c r="U22" s="41"/>
      <c r="V22" s="41"/>
      <c r="W22" s="41"/>
    </row>
    <row r="23" spans="1:23" ht="19.5" customHeight="1" x14ac:dyDescent="0.25">
      <c r="A23" s="43" t="s">
        <v>96</v>
      </c>
      <c r="B23" s="43">
        <v>10</v>
      </c>
      <c r="C23" s="54" t="s">
        <v>97</v>
      </c>
      <c r="D23" s="55">
        <v>1</v>
      </c>
      <c r="E23" s="55" t="s">
        <v>736</v>
      </c>
      <c r="F23" s="55" t="s">
        <v>737</v>
      </c>
      <c r="G23" s="55">
        <v>2021</v>
      </c>
      <c r="H23" s="56">
        <v>0</v>
      </c>
      <c r="I23" s="56">
        <v>0.15</v>
      </c>
      <c r="J23" s="56">
        <v>0.15</v>
      </c>
      <c r="K23" s="56">
        <v>0.25</v>
      </c>
      <c r="L23" s="56">
        <v>0.5</v>
      </c>
      <c r="M23" s="56">
        <v>0.2</v>
      </c>
      <c r="N23" s="56">
        <v>0.35</v>
      </c>
      <c r="O23" s="56">
        <v>0</v>
      </c>
      <c r="P23" s="55"/>
      <c r="Q23" s="56">
        <v>1</v>
      </c>
      <c r="R23" s="49" t="s">
        <v>2374</v>
      </c>
      <c r="S23" s="41"/>
      <c r="T23" s="41"/>
      <c r="U23" s="41"/>
      <c r="V23" s="41"/>
      <c r="W23" s="41"/>
    </row>
    <row r="24" spans="1:23" ht="19.5" customHeight="1" x14ac:dyDescent="0.25">
      <c r="A24" s="43" t="s">
        <v>98</v>
      </c>
      <c r="B24" s="43">
        <v>11</v>
      </c>
      <c r="C24" s="54" t="s">
        <v>99</v>
      </c>
      <c r="D24" s="55">
        <v>0.33333333333333331</v>
      </c>
      <c r="E24" s="55" t="s">
        <v>740</v>
      </c>
      <c r="F24" s="55" t="s">
        <v>461</v>
      </c>
      <c r="G24" s="55">
        <v>2021</v>
      </c>
      <c r="H24" s="55">
        <v>0</v>
      </c>
      <c r="I24" s="55">
        <v>0</v>
      </c>
      <c r="J24" s="55">
        <v>0</v>
      </c>
      <c r="K24" s="55">
        <v>10</v>
      </c>
      <c r="L24" s="55">
        <v>20</v>
      </c>
      <c r="M24" s="55">
        <v>10</v>
      </c>
      <c r="N24" s="55">
        <v>20</v>
      </c>
      <c r="O24" s="55">
        <v>3</v>
      </c>
      <c r="P24" s="55"/>
      <c r="Q24" s="55">
        <v>43</v>
      </c>
      <c r="R24" s="49" t="s">
        <v>2375</v>
      </c>
      <c r="S24" s="41"/>
      <c r="T24" s="41"/>
      <c r="U24" s="41"/>
      <c r="V24" s="41"/>
      <c r="W24" s="41"/>
    </row>
    <row r="25" spans="1:23" ht="19.5" customHeight="1" x14ac:dyDescent="0.25">
      <c r="A25" s="43" t="s">
        <v>100</v>
      </c>
      <c r="B25" s="43">
        <v>11</v>
      </c>
      <c r="C25" s="54" t="s">
        <v>101</v>
      </c>
      <c r="D25" s="55">
        <v>0.33333333333333331</v>
      </c>
      <c r="E25" s="55" t="s">
        <v>741</v>
      </c>
      <c r="F25" s="55" t="s">
        <v>742</v>
      </c>
      <c r="G25" s="55">
        <v>2021</v>
      </c>
      <c r="H25" s="55">
        <v>0</v>
      </c>
      <c r="I25" s="55">
        <v>0</v>
      </c>
      <c r="J25" s="55">
        <v>0</v>
      </c>
      <c r="K25" s="55">
        <v>5</v>
      </c>
      <c r="L25" s="55">
        <v>10</v>
      </c>
      <c r="M25" s="55">
        <v>5</v>
      </c>
      <c r="N25" s="55">
        <v>10</v>
      </c>
      <c r="O25" s="55">
        <v>2</v>
      </c>
      <c r="P25" s="55"/>
      <c r="Q25" s="55">
        <v>22</v>
      </c>
      <c r="R25" s="49" t="s">
        <v>2375</v>
      </c>
      <c r="S25" s="41"/>
      <c r="T25" s="41"/>
      <c r="U25" s="41"/>
      <c r="V25" s="41"/>
      <c r="W25" s="41"/>
    </row>
    <row r="26" spans="1:23" ht="19.5" customHeight="1" x14ac:dyDescent="0.25">
      <c r="A26" s="43" t="s">
        <v>102</v>
      </c>
      <c r="B26" s="43">
        <v>11</v>
      </c>
      <c r="C26" s="54" t="s">
        <v>103</v>
      </c>
      <c r="D26" s="55">
        <v>0.33333333333333331</v>
      </c>
      <c r="E26" s="55" t="s">
        <v>740</v>
      </c>
      <c r="F26" s="55" t="s">
        <v>461</v>
      </c>
      <c r="G26" s="55">
        <v>2021</v>
      </c>
      <c r="H26" s="55">
        <v>0</v>
      </c>
      <c r="I26" s="55">
        <v>0</v>
      </c>
      <c r="J26" s="55">
        <v>0</v>
      </c>
      <c r="K26" s="55">
        <v>6</v>
      </c>
      <c r="L26" s="55">
        <v>11</v>
      </c>
      <c r="M26" s="55">
        <v>6</v>
      </c>
      <c r="N26" s="55">
        <v>11</v>
      </c>
      <c r="O26" s="55">
        <v>3</v>
      </c>
      <c r="P26" s="55"/>
      <c r="Q26" s="55">
        <v>25</v>
      </c>
      <c r="R26" s="49" t="s">
        <v>2376</v>
      </c>
      <c r="S26" s="41"/>
      <c r="T26" s="41"/>
      <c r="U26" s="41"/>
      <c r="V26" s="41"/>
      <c r="W26" s="41"/>
    </row>
    <row r="27" spans="1:23" ht="19.5" customHeight="1" x14ac:dyDescent="0.25">
      <c r="A27" s="43" t="s">
        <v>104</v>
      </c>
      <c r="B27" s="43">
        <v>12</v>
      </c>
      <c r="C27" s="54" t="s">
        <v>105</v>
      </c>
      <c r="D27" s="55">
        <v>0.33333333333333331</v>
      </c>
      <c r="E27" s="55" t="s">
        <v>464</v>
      </c>
      <c r="F27" s="55" t="s">
        <v>466</v>
      </c>
      <c r="G27" s="55">
        <v>2020</v>
      </c>
      <c r="H27" s="55">
        <v>165</v>
      </c>
      <c r="I27" s="55">
        <v>50</v>
      </c>
      <c r="J27" s="55">
        <v>50</v>
      </c>
      <c r="K27" s="55">
        <v>100</v>
      </c>
      <c r="L27" s="55">
        <v>200</v>
      </c>
      <c r="M27" s="55">
        <v>100</v>
      </c>
      <c r="N27" s="55">
        <v>200</v>
      </c>
      <c r="O27" s="55">
        <v>10</v>
      </c>
      <c r="P27" s="55"/>
      <c r="Q27" s="55">
        <v>460</v>
      </c>
      <c r="R27" s="49" t="s">
        <v>2377</v>
      </c>
      <c r="S27" s="41"/>
      <c r="T27" s="41"/>
      <c r="U27" s="41"/>
      <c r="V27" s="41"/>
      <c r="W27" s="41"/>
    </row>
    <row r="28" spans="1:23" ht="19.5" customHeight="1" x14ac:dyDescent="0.25">
      <c r="A28" s="43" t="s">
        <v>106</v>
      </c>
      <c r="B28" s="43">
        <v>12</v>
      </c>
      <c r="C28" s="54" t="s">
        <v>107</v>
      </c>
      <c r="D28" s="55">
        <v>0.33333333333333331</v>
      </c>
      <c r="E28" s="55" t="s">
        <v>464</v>
      </c>
      <c r="F28" s="55" t="s">
        <v>466</v>
      </c>
      <c r="G28" s="55">
        <v>2020</v>
      </c>
      <c r="H28" s="55">
        <v>0</v>
      </c>
      <c r="I28" s="55">
        <v>4</v>
      </c>
      <c r="J28" s="55">
        <v>4</v>
      </c>
      <c r="K28" s="55">
        <v>5</v>
      </c>
      <c r="L28" s="55">
        <v>10</v>
      </c>
      <c r="M28" s="55">
        <v>5</v>
      </c>
      <c r="N28" s="55">
        <v>10</v>
      </c>
      <c r="O28" s="55">
        <v>1</v>
      </c>
      <c r="P28" s="55"/>
      <c r="Q28" s="55">
        <v>25</v>
      </c>
      <c r="R28" s="49" t="s">
        <v>2378</v>
      </c>
      <c r="S28" s="41"/>
      <c r="T28" s="41"/>
      <c r="U28" s="41"/>
      <c r="V28" s="41"/>
      <c r="W28" s="41"/>
    </row>
    <row r="29" spans="1:23" ht="19.5" customHeight="1" x14ac:dyDescent="0.25">
      <c r="A29" s="43" t="s">
        <v>108</v>
      </c>
      <c r="B29" s="43">
        <v>12</v>
      </c>
      <c r="C29" s="54" t="s">
        <v>109</v>
      </c>
      <c r="D29" s="55">
        <v>0.33333333333333331</v>
      </c>
      <c r="E29" s="55" t="s">
        <v>464</v>
      </c>
      <c r="F29" s="55" t="s">
        <v>466</v>
      </c>
      <c r="G29" s="55">
        <v>2020</v>
      </c>
      <c r="H29" s="55">
        <v>13</v>
      </c>
      <c r="I29" s="55">
        <v>0</v>
      </c>
      <c r="J29" s="55">
        <v>0</v>
      </c>
      <c r="K29" s="55">
        <v>8</v>
      </c>
      <c r="L29" s="55">
        <v>15</v>
      </c>
      <c r="M29" s="55">
        <v>8</v>
      </c>
      <c r="N29" s="55">
        <v>15</v>
      </c>
      <c r="O29" s="55">
        <v>0</v>
      </c>
      <c r="P29" s="55"/>
      <c r="Q29" s="55">
        <v>30</v>
      </c>
      <c r="R29" s="49" t="s">
        <v>2379</v>
      </c>
      <c r="S29" s="41"/>
      <c r="T29" s="41"/>
      <c r="U29" s="41"/>
      <c r="V29" s="41"/>
      <c r="W29" s="41"/>
    </row>
    <row r="30" spans="1:23" ht="19.5" customHeight="1" x14ac:dyDescent="0.25">
      <c r="A30" s="43" t="s">
        <v>110</v>
      </c>
      <c r="B30" s="43">
        <v>13</v>
      </c>
      <c r="C30" s="54" t="s">
        <v>111</v>
      </c>
      <c r="D30" s="55">
        <v>0.25</v>
      </c>
      <c r="E30" s="55" t="s">
        <v>469</v>
      </c>
      <c r="F30" s="55" t="s">
        <v>471</v>
      </c>
      <c r="G30" s="55">
        <v>2020</v>
      </c>
      <c r="H30" s="55">
        <v>10</v>
      </c>
      <c r="I30" s="55">
        <v>4</v>
      </c>
      <c r="J30" s="55">
        <v>4</v>
      </c>
      <c r="K30" s="55">
        <v>5</v>
      </c>
      <c r="L30" s="55">
        <v>5</v>
      </c>
      <c r="M30" s="55">
        <v>3</v>
      </c>
      <c r="N30" s="55">
        <v>3</v>
      </c>
      <c r="O30" s="55">
        <v>0</v>
      </c>
      <c r="P30" s="55"/>
      <c r="Q30" s="55">
        <v>12</v>
      </c>
      <c r="R30" s="49" t="s">
        <v>2380</v>
      </c>
      <c r="S30" s="41"/>
      <c r="T30" s="41"/>
      <c r="U30" s="41"/>
      <c r="V30" s="41"/>
      <c r="W30" s="41"/>
    </row>
    <row r="31" spans="1:23" ht="19.5" customHeight="1" x14ac:dyDescent="0.25">
      <c r="A31" s="43" t="s">
        <v>112</v>
      </c>
      <c r="B31" s="43">
        <v>13</v>
      </c>
      <c r="C31" s="54" t="s">
        <v>113</v>
      </c>
      <c r="D31" s="55">
        <v>0.25</v>
      </c>
      <c r="E31" s="55" t="s">
        <v>469</v>
      </c>
      <c r="F31" s="55" t="s">
        <v>471</v>
      </c>
      <c r="G31" s="55">
        <v>2020</v>
      </c>
      <c r="H31" s="55">
        <v>15</v>
      </c>
      <c r="I31" s="55">
        <v>5</v>
      </c>
      <c r="J31" s="55">
        <v>5</v>
      </c>
      <c r="K31" s="55">
        <v>0</v>
      </c>
      <c r="L31" s="55">
        <v>5</v>
      </c>
      <c r="M31" s="55">
        <v>2</v>
      </c>
      <c r="N31" s="55">
        <v>3</v>
      </c>
      <c r="O31" s="55">
        <v>2</v>
      </c>
      <c r="P31" s="55"/>
      <c r="Q31" s="55">
        <v>17</v>
      </c>
      <c r="R31" s="49" t="s">
        <v>2381</v>
      </c>
      <c r="S31" s="41"/>
      <c r="T31" s="41"/>
      <c r="U31" s="41"/>
      <c r="V31" s="41"/>
      <c r="W31" s="41"/>
    </row>
    <row r="32" spans="1:23" ht="19.5" customHeight="1" x14ac:dyDescent="0.25">
      <c r="A32" s="57" t="s">
        <v>114</v>
      </c>
      <c r="B32" s="57">
        <v>13</v>
      </c>
      <c r="C32" s="49" t="s">
        <v>115</v>
      </c>
      <c r="D32" s="58">
        <v>0.25</v>
      </c>
      <c r="E32" s="58" t="s">
        <v>469</v>
      </c>
      <c r="F32" s="58" t="s">
        <v>471</v>
      </c>
      <c r="G32" s="58">
        <v>2020</v>
      </c>
      <c r="H32" s="58">
        <v>0</v>
      </c>
      <c r="I32" s="58">
        <v>2</v>
      </c>
      <c r="J32" s="58">
        <v>2</v>
      </c>
      <c r="K32" s="58">
        <v>1</v>
      </c>
      <c r="L32" s="58">
        <v>2</v>
      </c>
      <c r="M32" s="58">
        <v>1</v>
      </c>
      <c r="N32" s="58">
        <v>2</v>
      </c>
      <c r="O32" s="58">
        <v>2</v>
      </c>
      <c r="P32" s="58"/>
      <c r="Q32" s="58">
        <v>8</v>
      </c>
      <c r="R32" s="49" t="s">
        <v>2382</v>
      </c>
      <c r="S32" s="41"/>
      <c r="T32" s="41"/>
      <c r="U32" s="41"/>
      <c r="V32" s="41"/>
      <c r="W32" s="41"/>
    </row>
    <row r="33" spans="1:23" ht="19.5" customHeight="1" x14ac:dyDescent="0.25">
      <c r="A33" s="57" t="s">
        <v>116</v>
      </c>
      <c r="B33" s="57">
        <v>13</v>
      </c>
      <c r="C33" s="49" t="s">
        <v>117</v>
      </c>
      <c r="D33" s="58">
        <v>0.25</v>
      </c>
      <c r="E33" s="58" t="s">
        <v>469</v>
      </c>
      <c r="F33" s="58" t="s">
        <v>471</v>
      </c>
      <c r="G33" s="58">
        <v>2020</v>
      </c>
      <c r="H33" s="59">
        <v>0.2</v>
      </c>
      <c r="I33" s="59">
        <v>0.2</v>
      </c>
      <c r="J33" s="59">
        <v>0.2</v>
      </c>
      <c r="K33" s="59">
        <v>0.1</v>
      </c>
      <c r="L33" s="59">
        <v>0.2</v>
      </c>
      <c r="M33" s="59">
        <v>0.15</v>
      </c>
      <c r="N33" s="59">
        <v>0.3</v>
      </c>
      <c r="O33" s="59">
        <v>0.1</v>
      </c>
      <c r="P33" s="58"/>
      <c r="Q33" s="59">
        <v>1</v>
      </c>
      <c r="R33" s="49" t="s">
        <v>2383</v>
      </c>
      <c r="S33" s="41"/>
      <c r="T33" s="41"/>
      <c r="U33" s="41"/>
      <c r="V33" s="41"/>
      <c r="W33" s="41"/>
    </row>
    <row r="34" spans="1:23" ht="19.5" customHeight="1" x14ac:dyDescent="0.25">
      <c r="A34" s="57" t="s">
        <v>118</v>
      </c>
      <c r="B34" s="57">
        <v>14</v>
      </c>
      <c r="C34" s="49" t="s">
        <v>119</v>
      </c>
      <c r="D34" s="58">
        <v>0.33333333333333331</v>
      </c>
      <c r="E34" s="58" t="s">
        <v>743</v>
      </c>
      <c r="F34" s="58" t="s">
        <v>477</v>
      </c>
      <c r="G34" s="58">
        <v>2020</v>
      </c>
      <c r="H34" s="58">
        <v>58</v>
      </c>
      <c r="I34" s="58">
        <v>58</v>
      </c>
      <c r="J34" s="58">
        <v>58</v>
      </c>
      <c r="K34" s="58">
        <v>58</v>
      </c>
      <c r="L34" s="58">
        <v>63</v>
      </c>
      <c r="M34" s="58">
        <v>63</v>
      </c>
      <c r="N34" s="58">
        <v>68</v>
      </c>
      <c r="O34" s="58">
        <v>68</v>
      </c>
      <c r="P34" s="58"/>
      <c r="Q34" s="58">
        <v>68</v>
      </c>
      <c r="R34" s="49" t="s">
        <v>2384</v>
      </c>
      <c r="S34" s="41"/>
      <c r="T34" s="41"/>
      <c r="U34" s="41"/>
      <c r="V34" s="41"/>
      <c r="W34" s="41"/>
    </row>
    <row r="35" spans="1:23" ht="19.5" customHeight="1" x14ac:dyDescent="0.25">
      <c r="A35" s="57" t="s">
        <v>120</v>
      </c>
      <c r="B35" s="57">
        <v>14</v>
      </c>
      <c r="C35" s="49" t="s">
        <v>121</v>
      </c>
      <c r="D35" s="58">
        <v>0.33333333333333331</v>
      </c>
      <c r="E35" s="58" t="s">
        <v>743</v>
      </c>
      <c r="F35" s="58" t="s">
        <v>477</v>
      </c>
      <c r="G35" s="58">
        <v>2020</v>
      </c>
      <c r="H35" s="58">
        <v>53</v>
      </c>
      <c r="I35" s="58">
        <v>53</v>
      </c>
      <c r="J35" s="58">
        <v>53</v>
      </c>
      <c r="K35" s="58">
        <v>53</v>
      </c>
      <c r="L35" s="58">
        <v>55</v>
      </c>
      <c r="M35" s="58">
        <v>55</v>
      </c>
      <c r="N35" s="58">
        <v>55</v>
      </c>
      <c r="O35" s="58">
        <v>55</v>
      </c>
      <c r="P35" s="58"/>
      <c r="Q35" s="58">
        <v>55</v>
      </c>
      <c r="R35" s="49" t="s">
        <v>2385</v>
      </c>
      <c r="S35" s="41"/>
      <c r="T35" s="41"/>
      <c r="U35" s="41"/>
      <c r="V35" s="41"/>
      <c r="W35" s="41"/>
    </row>
    <row r="36" spans="1:23" ht="19.5" customHeight="1" x14ac:dyDescent="0.25">
      <c r="A36" s="57" t="s">
        <v>122</v>
      </c>
      <c r="B36" s="57">
        <v>14</v>
      </c>
      <c r="C36" s="49" t="s">
        <v>123</v>
      </c>
      <c r="D36" s="58">
        <v>0.33333333333333331</v>
      </c>
      <c r="E36" s="58" t="s">
        <v>743</v>
      </c>
      <c r="F36" s="58" t="s">
        <v>477</v>
      </c>
      <c r="G36" s="58">
        <v>2020</v>
      </c>
      <c r="H36" s="58">
        <v>6</v>
      </c>
      <c r="I36" s="58">
        <v>12</v>
      </c>
      <c r="J36" s="58">
        <v>12</v>
      </c>
      <c r="K36" s="58">
        <v>12</v>
      </c>
      <c r="L36" s="58">
        <v>15</v>
      </c>
      <c r="M36" s="58">
        <v>15</v>
      </c>
      <c r="N36" s="58">
        <v>18</v>
      </c>
      <c r="O36" s="58">
        <v>3</v>
      </c>
      <c r="P36" s="58"/>
      <c r="Q36" s="58">
        <v>18</v>
      </c>
      <c r="R36" s="49" t="s">
        <v>2386</v>
      </c>
      <c r="S36" s="41"/>
      <c r="T36" s="41"/>
      <c r="U36" s="41"/>
      <c r="V36" s="41"/>
      <c r="W36" s="41"/>
    </row>
    <row r="37" spans="1:23" ht="19.5" customHeight="1" x14ac:dyDescent="0.25">
      <c r="A37" s="57" t="s">
        <v>124</v>
      </c>
      <c r="B37" s="57">
        <v>15</v>
      </c>
      <c r="C37" s="49" t="s">
        <v>125</v>
      </c>
      <c r="D37" s="58">
        <v>0.5</v>
      </c>
      <c r="E37" s="58" t="s">
        <v>481</v>
      </c>
      <c r="F37" s="58" t="s">
        <v>483</v>
      </c>
      <c r="G37" s="58">
        <v>2021</v>
      </c>
      <c r="H37" s="58">
        <v>73444</v>
      </c>
      <c r="I37" s="58">
        <v>73400</v>
      </c>
      <c r="J37" s="58">
        <v>72400</v>
      </c>
      <c r="K37" s="58">
        <v>47700</v>
      </c>
      <c r="L37" s="58">
        <v>98262</v>
      </c>
      <c r="M37" s="58">
        <v>50085</v>
      </c>
      <c r="N37" s="58">
        <v>100170</v>
      </c>
      <c r="O37" s="58">
        <v>0</v>
      </c>
      <c r="P37" s="58"/>
      <c r="Q37" s="58">
        <v>100170</v>
      </c>
      <c r="R37" s="49" t="s">
        <v>2387</v>
      </c>
      <c r="S37" s="41"/>
      <c r="T37" s="41"/>
      <c r="U37" s="41"/>
      <c r="V37" s="41"/>
      <c r="W37" s="41"/>
    </row>
    <row r="38" spans="1:23" ht="19.5" customHeight="1" x14ac:dyDescent="0.25">
      <c r="A38" s="57" t="s">
        <v>126</v>
      </c>
      <c r="B38" s="57">
        <v>15</v>
      </c>
      <c r="C38" s="49" t="s">
        <v>127</v>
      </c>
      <c r="D38" s="58">
        <v>0.5</v>
      </c>
      <c r="E38" s="58" t="s">
        <v>481</v>
      </c>
      <c r="F38" s="58" t="s">
        <v>483</v>
      </c>
      <c r="G38" s="58">
        <v>2021</v>
      </c>
      <c r="H38" s="58">
        <v>6100</v>
      </c>
      <c r="I38" s="58">
        <v>6100</v>
      </c>
      <c r="J38" s="58">
        <v>6100</v>
      </c>
      <c r="K38" s="58">
        <v>3950</v>
      </c>
      <c r="L38" s="58">
        <v>8137</v>
      </c>
      <c r="M38" s="58">
        <v>4147.5</v>
      </c>
      <c r="N38" s="58">
        <v>8295</v>
      </c>
      <c r="O38" s="58">
        <v>0</v>
      </c>
      <c r="P38" s="60"/>
      <c r="Q38" s="58">
        <v>8295</v>
      </c>
      <c r="R38" s="49" t="s">
        <v>2388</v>
      </c>
      <c r="S38" s="41"/>
      <c r="T38" s="41"/>
      <c r="U38" s="41"/>
      <c r="V38" s="41"/>
      <c r="W38" s="41"/>
    </row>
    <row r="39" spans="1:23" ht="19.5" customHeight="1" x14ac:dyDescent="0.25">
      <c r="A39" s="57" t="s">
        <v>128</v>
      </c>
      <c r="B39" s="57">
        <v>16</v>
      </c>
      <c r="C39" s="49" t="s">
        <v>129</v>
      </c>
      <c r="D39" s="58">
        <v>0.5</v>
      </c>
      <c r="E39" s="58" t="s">
        <v>744</v>
      </c>
      <c r="F39" s="58" t="s">
        <v>488</v>
      </c>
      <c r="G39" s="58">
        <v>2021</v>
      </c>
      <c r="H39" s="59">
        <v>0.54166666666666696</v>
      </c>
      <c r="I39" s="61">
        <v>0.54000002145767212</v>
      </c>
      <c r="J39" s="59">
        <v>0</v>
      </c>
      <c r="K39" s="59">
        <v>57</v>
      </c>
      <c r="L39" s="59">
        <v>60</v>
      </c>
      <c r="M39" s="59">
        <v>65</v>
      </c>
      <c r="N39" s="59">
        <v>70</v>
      </c>
      <c r="O39" s="59">
        <v>70</v>
      </c>
      <c r="P39" s="58"/>
      <c r="Q39" s="59">
        <v>70</v>
      </c>
      <c r="R39" s="49" t="s">
        <v>2389</v>
      </c>
      <c r="S39" s="41"/>
      <c r="T39" s="41"/>
      <c r="U39" s="41"/>
      <c r="V39" s="41"/>
      <c r="W39" s="41"/>
    </row>
    <row r="40" spans="1:23" ht="19.5" customHeight="1" x14ac:dyDescent="0.25">
      <c r="A40" s="57" t="s">
        <v>130</v>
      </c>
      <c r="B40" s="57">
        <v>16</v>
      </c>
      <c r="C40" s="49" t="s">
        <v>131</v>
      </c>
      <c r="D40" s="58">
        <v>0.5</v>
      </c>
      <c r="E40" s="58" t="s">
        <v>745</v>
      </c>
      <c r="F40" s="58" t="s">
        <v>488</v>
      </c>
      <c r="G40" s="58">
        <v>2020</v>
      </c>
      <c r="H40" s="58">
        <v>35</v>
      </c>
      <c r="I40" s="58">
        <v>0</v>
      </c>
      <c r="J40" s="58">
        <v>0</v>
      </c>
      <c r="K40" s="58">
        <v>0</v>
      </c>
      <c r="L40" s="58">
        <v>30</v>
      </c>
      <c r="M40" s="58">
        <v>20</v>
      </c>
      <c r="N40" s="58">
        <v>50</v>
      </c>
      <c r="O40" s="58">
        <v>0</v>
      </c>
      <c r="P40" s="58"/>
      <c r="Q40" s="58">
        <v>100</v>
      </c>
      <c r="R40" s="49" t="s">
        <v>2390</v>
      </c>
      <c r="S40" s="41"/>
      <c r="T40" s="41"/>
      <c r="U40" s="41"/>
      <c r="V40" s="41"/>
      <c r="W40" s="41"/>
    </row>
    <row r="41" spans="1:23" ht="19.5" customHeight="1" x14ac:dyDescent="0.25">
      <c r="A41" s="57" t="s">
        <v>132</v>
      </c>
      <c r="B41" s="57">
        <v>17</v>
      </c>
      <c r="C41" s="49" t="s">
        <v>133</v>
      </c>
      <c r="D41" s="58">
        <v>0.5</v>
      </c>
      <c r="E41" s="58" t="s">
        <v>746</v>
      </c>
      <c r="F41" s="58" t="s">
        <v>493</v>
      </c>
      <c r="G41" s="58">
        <v>2021</v>
      </c>
      <c r="H41" s="59">
        <v>0.05</v>
      </c>
      <c r="I41" s="59">
        <v>0</v>
      </c>
      <c r="J41" s="59">
        <v>0</v>
      </c>
      <c r="K41" s="59">
        <v>0.15</v>
      </c>
      <c r="L41" s="59">
        <v>0.15</v>
      </c>
      <c r="M41" s="59">
        <v>0.25</v>
      </c>
      <c r="N41" s="59">
        <v>0.6</v>
      </c>
      <c r="O41" s="59">
        <v>0.1</v>
      </c>
      <c r="P41" s="58"/>
      <c r="Q41" s="59">
        <v>1</v>
      </c>
      <c r="R41" s="49" t="s">
        <v>2391</v>
      </c>
      <c r="S41" s="41"/>
      <c r="T41" s="41"/>
      <c r="U41" s="41"/>
      <c r="V41" s="41"/>
      <c r="W41" s="41"/>
    </row>
    <row r="42" spans="1:23" ht="19.5" customHeight="1" x14ac:dyDescent="0.25">
      <c r="A42" s="57" t="s">
        <v>134</v>
      </c>
      <c r="B42" s="57">
        <v>17</v>
      </c>
      <c r="C42" s="49" t="s">
        <v>135</v>
      </c>
      <c r="D42" s="58">
        <v>0.5</v>
      </c>
      <c r="E42" s="58" t="s">
        <v>746</v>
      </c>
      <c r="F42" s="58" t="s">
        <v>493</v>
      </c>
      <c r="G42" s="58">
        <v>2021</v>
      </c>
      <c r="H42" s="59">
        <v>0.15</v>
      </c>
      <c r="I42" s="59">
        <v>0.1</v>
      </c>
      <c r="J42" s="59">
        <v>0.1</v>
      </c>
      <c r="K42" s="59">
        <v>0.2</v>
      </c>
      <c r="L42" s="59">
        <v>0.4</v>
      </c>
      <c r="M42" s="59">
        <v>0.2</v>
      </c>
      <c r="N42" s="59">
        <v>0.2</v>
      </c>
      <c r="O42" s="59">
        <v>0.1</v>
      </c>
      <c r="P42" s="58"/>
      <c r="Q42" s="59">
        <v>1</v>
      </c>
      <c r="R42" s="49" t="s">
        <v>2392</v>
      </c>
      <c r="S42" s="41"/>
      <c r="T42" s="41"/>
      <c r="U42" s="41"/>
      <c r="V42" s="41"/>
      <c r="W42" s="41"/>
    </row>
    <row r="43" spans="1:23" ht="19.5" customHeight="1" x14ac:dyDescent="0.25">
      <c r="A43" s="57" t="s">
        <v>136</v>
      </c>
      <c r="B43" s="57">
        <v>18</v>
      </c>
      <c r="C43" s="49" t="s">
        <v>137</v>
      </c>
      <c r="D43" s="58">
        <v>0.5</v>
      </c>
      <c r="E43" s="58" t="s">
        <v>747</v>
      </c>
      <c r="F43" s="58" t="s">
        <v>748</v>
      </c>
      <c r="G43" s="58">
        <v>2021</v>
      </c>
      <c r="H43" s="58">
        <v>0</v>
      </c>
      <c r="I43" s="58">
        <v>50</v>
      </c>
      <c r="J43" s="58">
        <v>50</v>
      </c>
      <c r="K43" s="58">
        <v>150</v>
      </c>
      <c r="L43" s="58">
        <v>150</v>
      </c>
      <c r="M43" s="58">
        <v>0</v>
      </c>
      <c r="N43" s="58">
        <v>0</v>
      </c>
      <c r="O43" s="58">
        <v>0</v>
      </c>
      <c r="P43" s="58"/>
      <c r="Q43" s="58">
        <v>200</v>
      </c>
      <c r="R43" s="49" t="s">
        <v>2393</v>
      </c>
      <c r="S43" s="41"/>
      <c r="T43" s="41"/>
      <c r="U43" s="41"/>
      <c r="V43" s="41"/>
      <c r="W43" s="41"/>
    </row>
    <row r="44" spans="1:23" ht="19.5" customHeight="1" x14ac:dyDescent="0.25">
      <c r="A44" s="57" t="s">
        <v>138</v>
      </c>
      <c r="B44" s="57">
        <v>18</v>
      </c>
      <c r="C44" s="49" t="s">
        <v>139</v>
      </c>
      <c r="D44" s="58">
        <v>0.5</v>
      </c>
      <c r="E44" s="58" t="s">
        <v>747</v>
      </c>
      <c r="F44" s="58" t="s">
        <v>748</v>
      </c>
      <c r="G44" s="58">
        <v>2021</v>
      </c>
      <c r="H44" s="59">
        <v>0</v>
      </c>
      <c r="I44" s="59">
        <v>0</v>
      </c>
      <c r="J44" s="59">
        <v>0</v>
      </c>
      <c r="K44" s="61">
        <v>0.5</v>
      </c>
      <c r="L44" s="59">
        <v>1</v>
      </c>
      <c r="M44" s="59">
        <v>0</v>
      </c>
      <c r="N44" s="59">
        <v>0</v>
      </c>
      <c r="O44" s="59">
        <v>0</v>
      </c>
      <c r="P44" s="58"/>
      <c r="Q44" s="59">
        <v>1</v>
      </c>
      <c r="R44" s="49" t="s">
        <v>2394</v>
      </c>
      <c r="S44" s="41"/>
      <c r="T44" s="41"/>
      <c r="U44" s="41"/>
      <c r="V44" s="41"/>
      <c r="W44" s="41"/>
    </row>
    <row r="45" spans="1:23" ht="19.5" customHeight="1" x14ac:dyDescent="0.25">
      <c r="A45" s="57" t="s">
        <v>140</v>
      </c>
      <c r="B45" s="57">
        <v>19</v>
      </c>
      <c r="C45" s="49" t="s">
        <v>141</v>
      </c>
      <c r="D45" s="58">
        <v>0.33333333333333331</v>
      </c>
      <c r="E45" s="58" t="s">
        <v>749</v>
      </c>
      <c r="F45" s="58" t="s">
        <v>504</v>
      </c>
      <c r="G45" s="58">
        <v>2021</v>
      </c>
      <c r="H45" s="59">
        <v>0.2</v>
      </c>
      <c r="I45" s="59">
        <v>0.10000000149011612</v>
      </c>
      <c r="J45" s="59">
        <v>0.10000000149011612</v>
      </c>
      <c r="K45" s="59">
        <v>0.15</v>
      </c>
      <c r="L45" s="59">
        <v>0.3</v>
      </c>
      <c r="M45" s="59">
        <v>0.15</v>
      </c>
      <c r="N45" s="59">
        <v>0.3</v>
      </c>
      <c r="O45" s="59">
        <v>0.10000000149011612</v>
      </c>
      <c r="P45" s="58"/>
      <c r="Q45" s="59">
        <v>0.80000001192092896</v>
      </c>
      <c r="R45" s="49" t="s">
        <v>2395</v>
      </c>
      <c r="S45" s="41"/>
      <c r="T45" s="41"/>
      <c r="U45" s="41"/>
      <c r="V45" s="41"/>
      <c r="W45" s="41"/>
    </row>
    <row r="46" spans="1:23" ht="19.5" customHeight="1" x14ac:dyDescent="0.25">
      <c r="A46" s="57" t="s">
        <v>142</v>
      </c>
      <c r="B46" s="57">
        <v>19</v>
      </c>
      <c r="C46" s="49" t="s">
        <v>143</v>
      </c>
      <c r="D46" s="58">
        <v>0.33333333333333331</v>
      </c>
      <c r="E46" s="58" t="s">
        <v>749</v>
      </c>
      <c r="F46" s="58" t="s">
        <v>504</v>
      </c>
      <c r="G46" s="58">
        <v>2021</v>
      </c>
      <c r="H46" s="59">
        <v>0</v>
      </c>
      <c r="I46" s="59">
        <v>5.000000074505806E-2</v>
      </c>
      <c r="J46" s="59">
        <v>5.000000074505806E-2</v>
      </c>
      <c r="K46" s="59">
        <v>0.1</v>
      </c>
      <c r="L46" s="59">
        <v>0.35</v>
      </c>
      <c r="M46" s="59">
        <v>0.15</v>
      </c>
      <c r="N46" s="59">
        <v>0.35</v>
      </c>
      <c r="O46" s="59">
        <v>0.25</v>
      </c>
      <c r="P46" s="58"/>
      <c r="Q46" s="59">
        <v>1</v>
      </c>
      <c r="R46" s="49" t="s">
        <v>2396</v>
      </c>
      <c r="S46" s="41"/>
      <c r="T46" s="41"/>
      <c r="U46" s="41"/>
      <c r="V46" s="41"/>
      <c r="W46" s="41"/>
    </row>
    <row r="47" spans="1:23" ht="19.5" customHeight="1" x14ac:dyDescent="0.25">
      <c r="A47" s="57" t="s">
        <v>144</v>
      </c>
      <c r="B47" s="57">
        <v>19</v>
      </c>
      <c r="C47" s="49" t="s">
        <v>145</v>
      </c>
      <c r="D47" s="58">
        <v>0.33333333333333331</v>
      </c>
      <c r="E47" s="58" t="s">
        <v>750</v>
      </c>
      <c r="F47" s="58" t="s">
        <v>751</v>
      </c>
      <c r="G47" s="58">
        <v>2021</v>
      </c>
      <c r="H47" s="59">
        <v>0</v>
      </c>
      <c r="I47" s="59">
        <v>0</v>
      </c>
      <c r="J47" s="59">
        <v>0</v>
      </c>
      <c r="K47" s="59">
        <v>0.2</v>
      </c>
      <c r="L47" s="59">
        <v>0.4</v>
      </c>
      <c r="M47" s="59">
        <v>0.25</v>
      </c>
      <c r="N47" s="59">
        <v>0.5</v>
      </c>
      <c r="O47" s="59">
        <v>0.10000000149011612</v>
      </c>
      <c r="P47" s="58"/>
      <c r="Q47" s="59">
        <v>1</v>
      </c>
      <c r="R47" s="49" t="s">
        <v>2397</v>
      </c>
      <c r="S47" s="41"/>
      <c r="T47" s="41"/>
      <c r="U47" s="41"/>
      <c r="V47" s="41"/>
      <c r="W47" s="41"/>
    </row>
    <row r="48" spans="1:23" ht="19.5" customHeight="1" x14ac:dyDescent="0.25">
      <c r="A48" s="57" t="s">
        <v>146</v>
      </c>
      <c r="B48" s="57">
        <v>20</v>
      </c>
      <c r="C48" s="49" t="s">
        <v>147</v>
      </c>
      <c r="D48" s="58">
        <v>0.33333333333333331</v>
      </c>
      <c r="E48" s="58" t="s">
        <v>752</v>
      </c>
      <c r="F48" s="58" t="s">
        <v>753</v>
      </c>
      <c r="G48" s="58">
        <v>2021</v>
      </c>
      <c r="H48" s="59">
        <v>0.1</v>
      </c>
      <c r="I48" s="59">
        <v>0</v>
      </c>
      <c r="J48" s="59">
        <v>0</v>
      </c>
      <c r="K48" s="59">
        <v>0.15000000596046448</v>
      </c>
      <c r="L48" s="59">
        <v>0.5</v>
      </c>
      <c r="M48" s="59">
        <v>0.5</v>
      </c>
      <c r="N48" s="59">
        <v>0</v>
      </c>
      <c r="O48" s="59">
        <v>0</v>
      </c>
      <c r="P48" s="58"/>
      <c r="Q48" s="59">
        <v>1</v>
      </c>
      <c r="R48" s="49" t="s">
        <v>2398</v>
      </c>
      <c r="S48" s="41"/>
      <c r="T48" s="41"/>
      <c r="U48" s="41"/>
      <c r="V48" s="41"/>
      <c r="W48" s="41"/>
    </row>
    <row r="49" spans="1:23" ht="19.5" customHeight="1" x14ac:dyDescent="0.25">
      <c r="A49" s="57" t="s">
        <v>148</v>
      </c>
      <c r="B49" s="57">
        <v>20</v>
      </c>
      <c r="C49" s="49" t="s">
        <v>149</v>
      </c>
      <c r="D49" s="58">
        <v>0.33333333333333331</v>
      </c>
      <c r="E49" s="58" t="s">
        <v>752</v>
      </c>
      <c r="F49" s="58" t="s">
        <v>753</v>
      </c>
      <c r="G49" s="58">
        <v>2021</v>
      </c>
      <c r="H49" s="59">
        <v>0.1</v>
      </c>
      <c r="I49" s="59">
        <v>0</v>
      </c>
      <c r="J49" s="59">
        <v>0</v>
      </c>
      <c r="K49" s="59">
        <v>0</v>
      </c>
      <c r="L49" s="59">
        <v>0.5</v>
      </c>
      <c r="M49" s="59">
        <v>0.5</v>
      </c>
      <c r="N49" s="59">
        <v>0</v>
      </c>
      <c r="O49" s="59">
        <v>0</v>
      </c>
      <c r="P49" s="58"/>
      <c r="Q49" s="59">
        <v>1</v>
      </c>
      <c r="R49" s="49" t="s">
        <v>2399</v>
      </c>
      <c r="S49" s="41"/>
      <c r="T49" s="41"/>
      <c r="U49" s="41"/>
      <c r="V49" s="41"/>
      <c r="W49" s="41"/>
    </row>
    <row r="50" spans="1:23" ht="19.5" customHeight="1" x14ac:dyDescent="0.25">
      <c r="A50" s="57" t="s">
        <v>150</v>
      </c>
      <c r="B50" s="57">
        <v>20</v>
      </c>
      <c r="C50" s="49" t="s">
        <v>151</v>
      </c>
      <c r="D50" s="58">
        <v>0.33333333333333331</v>
      </c>
      <c r="E50" s="58" t="s">
        <v>754</v>
      </c>
      <c r="F50" s="58" t="s">
        <v>755</v>
      </c>
      <c r="G50" s="58">
        <v>2021</v>
      </c>
      <c r="H50" s="59">
        <v>0</v>
      </c>
      <c r="I50" s="59">
        <v>0</v>
      </c>
      <c r="J50" s="59">
        <v>0</v>
      </c>
      <c r="K50" s="59">
        <v>0.25</v>
      </c>
      <c r="L50" s="59">
        <v>0.5</v>
      </c>
      <c r="M50" s="59">
        <v>0.25</v>
      </c>
      <c r="N50" s="59">
        <v>0.5</v>
      </c>
      <c r="O50" s="59">
        <v>0</v>
      </c>
      <c r="P50" s="58"/>
      <c r="Q50" s="59">
        <v>1</v>
      </c>
      <c r="R50" s="49" t="s">
        <v>2400</v>
      </c>
      <c r="S50" s="41"/>
      <c r="T50" s="41"/>
      <c r="U50" s="41"/>
      <c r="V50" s="41"/>
      <c r="W50" s="41"/>
    </row>
    <row r="51" spans="1:23" ht="19.5" customHeight="1" x14ac:dyDescent="0.25">
      <c r="A51" s="57" t="s">
        <v>164</v>
      </c>
      <c r="B51" s="57">
        <v>23</v>
      </c>
      <c r="C51" s="49" t="s">
        <v>165</v>
      </c>
      <c r="D51" s="58">
        <v>0.33333333333333331</v>
      </c>
      <c r="E51" s="58" t="s">
        <v>512</v>
      </c>
      <c r="F51" s="58" t="s">
        <v>513</v>
      </c>
      <c r="G51" s="58">
        <v>2021</v>
      </c>
      <c r="H51" s="59">
        <v>0</v>
      </c>
      <c r="I51" s="59">
        <v>0.3</v>
      </c>
      <c r="J51" s="59">
        <v>0.3</v>
      </c>
      <c r="K51" s="59">
        <v>0.35</v>
      </c>
      <c r="L51" s="59">
        <v>0.7</v>
      </c>
      <c r="M51" s="59">
        <v>0</v>
      </c>
      <c r="N51" s="59">
        <v>0</v>
      </c>
      <c r="O51" s="59">
        <v>0</v>
      </c>
      <c r="P51" s="58"/>
      <c r="Q51" s="59">
        <v>1</v>
      </c>
      <c r="R51" s="49" t="s">
        <v>2407</v>
      </c>
      <c r="S51" s="41"/>
      <c r="T51" s="41"/>
      <c r="U51" s="41"/>
      <c r="V51" s="41"/>
      <c r="W51" s="41"/>
    </row>
    <row r="52" spans="1:23" ht="19.5" customHeight="1" x14ac:dyDescent="0.25">
      <c r="A52" s="57" t="s">
        <v>166</v>
      </c>
      <c r="B52" s="57">
        <v>23</v>
      </c>
      <c r="C52" s="49" t="s">
        <v>167</v>
      </c>
      <c r="D52" s="58">
        <v>0.33333333333333331</v>
      </c>
      <c r="E52" s="58" t="s">
        <v>512</v>
      </c>
      <c r="F52" s="58" t="s">
        <v>513</v>
      </c>
      <c r="G52" s="58">
        <v>2021</v>
      </c>
      <c r="H52" s="59">
        <v>0</v>
      </c>
      <c r="I52" s="59">
        <v>0</v>
      </c>
      <c r="J52" s="59">
        <v>0</v>
      </c>
      <c r="K52" s="59">
        <v>0.15</v>
      </c>
      <c r="L52" s="59">
        <v>0.3</v>
      </c>
      <c r="M52" s="59">
        <v>0.35</v>
      </c>
      <c r="N52" s="59">
        <v>0.7</v>
      </c>
      <c r="O52" s="59">
        <v>0</v>
      </c>
      <c r="P52" s="58"/>
      <c r="Q52" s="59">
        <v>1</v>
      </c>
      <c r="R52" s="49" t="s">
        <v>2408</v>
      </c>
      <c r="S52" s="41"/>
      <c r="T52" s="41"/>
      <c r="U52" s="41"/>
      <c r="V52" s="41"/>
      <c r="W52" s="41"/>
    </row>
    <row r="53" spans="1:23" ht="19.5" customHeight="1" x14ac:dyDescent="0.25">
      <c r="A53" s="57" t="s">
        <v>168</v>
      </c>
      <c r="B53" s="57">
        <v>23</v>
      </c>
      <c r="C53" s="49" t="s">
        <v>169</v>
      </c>
      <c r="D53" s="58">
        <v>0.33333333333333331</v>
      </c>
      <c r="E53" s="58" t="s">
        <v>512</v>
      </c>
      <c r="F53" s="58" t="s">
        <v>513</v>
      </c>
      <c r="G53" s="58">
        <v>2021</v>
      </c>
      <c r="H53" s="59">
        <v>0</v>
      </c>
      <c r="I53" s="59">
        <v>0.25</v>
      </c>
      <c r="J53" s="59">
        <v>0.25</v>
      </c>
      <c r="K53" s="59">
        <v>0.25</v>
      </c>
      <c r="L53" s="59">
        <v>0.5</v>
      </c>
      <c r="M53" s="59">
        <v>0.25</v>
      </c>
      <c r="N53" s="59">
        <v>0.25</v>
      </c>
      <c r="O53" s="59">
        <v>0</v>
      </c>
      <c r="P53" s="58"/>
      <c r="Q53" s="59">
        <v>1</v>
      </c>
      <c r="R53" s="49" t="s">
        <v>2409</v>
      </c>
      <c r="S53" s="41"/>
      <c r="T53" s="41"/>
      <c r="U53" s="41"/>
      <c r="V53" s="41"/>
      <c r="W53" s="41"/>
    </row>
    <row r="54" spans="1:23" ht="19.5" customHeight="1" x14ac:dyDescent="0.25">
      <c r="A54" s="57" t="s">
        <v>170</v>
      </c>
      <c r="B54" s="57">
        <v>24</v>
      </c>
      <c r="C54" s="49" t="s">
        <v>171</v>
      </c>
      <c r="D54" s="58">
        <v>0.33333333333333331</v>
      </c>
      <c r="E54" s="58" t="s">
        <v>756</v>
      </c>
      <c r="F54" s="58" t="s">
        <v>757</v>
      </c>
      <c r="G54" s="58">
        <v>2019</v>
      </c>
      <c r="H54" s="59">
        <v>0</v>
      </c>
      <c r="I54" s="59">
        <v>0.30000001192092896</v>
      </c>
      <c r="J54" s="59">
        <v>0.10000000149011612</v>
      </c>
      <c r="K54" s="59">
        <v>0.10000000149011612</v>
      </c>
      <c r="L54" s="59">
        <v>0.15000000596046448</v>
      </c>
      <c r="M54" s="59">
        <v>0.10000000149011612</v>
      </c>
      <c r="N54" s="59">
        <v>5.000000074505806E-2</v>
      </c>
      <c r="O54" s="59">
        <v>0</v>
      </c>
      <c r="P54" s="58"/>
      <c r="Q54" s="59">
        <v>0.5</v>
      </c>
      <c r="R54" s="49" t="s">
        <v>2410</v>
      </c>
      <c r="S54" s="41"/>
      <c r="T54" s="41"/>
      <c r="U54" s="41"/>
      <c r="V54" s="41"/>
      <c r="W54" s="41"/>
    </row>
    <row r="55" spans="1:23" ht="19.5" customHeight="1" x14ac:dyDescent="0.25">
      <c r="A55" s="57" t="s">
        <v>172</v>
      </c>
      <c r="B55" s="57">
        <v>24</v>
      </c>
      <c r="C55" s="49" t="s">
        <v>173</v>
      </c>
      <c r="D55" s="58">
        <v>0.33333333333333331</v>
      </c>
      <c r="E55" s="58"/>
      <c r="F55" s="58"/>
      <c r="G55" s="58">
        <v>2019</v>
      </c>
      <c r="H55" s="59">
        <v>0.85</v>
      </c>
      <c r="I55" s="59">
        <v>0.85000002384185791</v>
      </c>
      <c r="J55" s="59">
        <v>0.64999997615814209</v>
      </c>
      <c r="K55" s="59">
        <v>0.75</v>
      </c>
      <c r="L55" s="59">
        <v>0.80000001192092896</v>
      </c>
      <c r="M55" s="59">
        <v>0.89999997615814209</v>
      </c>
      <c r="N55" s="59">
        <v>0.94999998807907104</v>
      </c>
      <c r="O55" s="59">
        <v>0</v>
      </c>
      <c r="P55" s="58"/>
      <c r="Q55" s="59">
        <v>0.94999998807907104</v>
      </c>
      <c r="R55" s="49" t="s">
        <v>2411</v>
      </c>
      <c r="S55" s="41"/>
      <c r="T55" s="41"/>
      <c r="U55" s="41"/>
      <c r="V55" s="41"/>
      <c r="W55" s="41"/>
    </row>
    <row r="56" spans="1:23" ht="19.5" customHeight="1" x14ac:dyDescent="0.25">
      <c r="A56" s="57" t="s">
        <v>174</v>
      </c>
      <c r="B56" s="57">
        <v>24</v>
      </c>
      <c r="C56" s="49" t="s">
        <v>175</v>
      </c>
      <c r="D56" s="58">
        <v>0.33333333333333331</v>
      </c>
      <c r="E56" s="58"/>
      <c r="F56" s="58"/>
      <c r="G56" s="58">
        <v>2019</v>
      </c>
      <c r="H56" s="58">
        <v>0</v>
      </c>
      <c r="I56" s="58">
        <v>0</v>
      </c>
      <c r="J56" s="58">
        <v>0</v>
      </c>
      <c r="K56" s="58">
        <v>3</v>
      </c>
      <c r="L56" s="58">
        <v>6</v>
      </c>
      <c r="M56" s="58">
        <v>3</v>
      </c>
      <c r="N56" s="58">
        <v>7</v>
      </c>
      <c r="O56" s="58">
        <v>0</v>
      </c>
      <c r="P56" s="58"/>
      <c r="Q56" s="58">
        <v>13</v>
      </c>
      <c r="R56" s="49" t="s">
        <v>2412</v>
      </c>
      <c r="S56" s="41"/>
      <c r="T56" s="41"/>
      <c r="U56" s="41"/>
      <c r="V56" s="41"/>
      <c r="W56" s="41"/>
    </row>
    <row r="57" spans="1:23" ht="19.5" customHeight="1" x14ac:dyDescent="0.25">
      <c r="A57" s="57" t="s">
        <v>176</v>
      </c>
      <c r="B57" s="57">
        <v>25</v>
      </c>
      <c r="C57" s="49" t="s">
        <v>177</v>
      </c>
      <c r="D57" s="58">
        <v>1</v>
      </c>
      <c r="E57" s="58" t="s">
        <v>758</v>
      </c>
      <c r="F57" s="58" t="s">
        <v>759</v>
      </c>
      <c r="G57" s="58">
        <v>2021</v>
      </c>
      <c r="H57" s="59">
        <v>0</v>
      </c>
      <c r="I57" s="59">
        <v>0</v>
      </c>
      <c r="J57" s="59">
        <v>0</v>
      </c>
      <c r="K57" s="59">
        <v>0</v>
      </c>
      <c r="L57" s="59">
        <v>0.40000000596046448</v>
      </c>
      <c r="M57" s="59">
        <v>0</v>
      </c>
      <c r="N57" s="59">
        <v>0.40000000596046448</v>
      </c>
      <c r="O57" s="59">
        <v>0.20000000298023224</v>
      </c>
      <c r="P57" s="58"/>
      <c r="Q57" s="59">
        <v>1</v>
      </c>
      <c r="R57" s="49" t="s">
        <v>2413</v>
      </c>
      <c r="S57" s="41"/>
      <c r="T57" s="41"/>
      <c r="U57" s="41"/>
      <c r="V57" s="41"/>
      <c r="W57" s="41"/>
    </row>
    <row r="58" spans="1:23" ht="19.5" customHeight="1" x14ac:dyDescent="0.25">
      <c r="A58" s="57" t="s">
        <v>182</v>
      </c>
      <c r="B58" s="57">
        <v>27</v>
      </c>
      <c r="C58" s="49" t="s">
        <v>183</v>
      </c>
      <c r="D58" s="58">
        <v>1</v>
      </c>
      <c r="E58" s="58" t="s">
        <v>760</v>
      </c>
      <c r="F58" s="58" t="s">
        <v>761</v>
      </c>
      <c r="G58" s="58">
        <v>2020</v>
      </c>
      <c r="H58" s="59">
        <v>0</v>
      </c>
      <c r="I58" s="59">
        <v>0</v>
      </c>
      <c r="J58" s="59">
        <v>0</v>
      </c>
      <c r="K58" s="59">
        <v>0</v>
      </c>
      <c r="L58" s="59">
        <v>1</v>
      </c>
      <c r="M58" s="59">
        <v>1</v>
      </c>
      <c r="N58" s="59">
        <v>0</v>
      </c>
      <c r="O58" s="59">
        <v>0</v>
      </c>
      <c r="P58" s="58"/>
      <c r="Q58" s="59">
        <v>0</v>
      </c>
      <c r="R58" s="49" t="s">
        <v>2416</v>
      </c>
      <c r="S58" s="41"/>
      <c r="T58" s="41"/>
      <c r="U58" s="41"/>
      <c r="V58" s="41"/>
      <c r="W58" s="41"/>
    </row>
    <row r="59" spans="1:23" ht="19.5" customHeight="1" x14ac:dyDescent="0.25">
      <c r="A59" s="57" t="s">
        <v>184</v>
      </c>
      <c r="B59" s="57">
        <v>28</v>
      </c>
      <c r="C59" s="49" t="s">
        <v>183</v>
      </c>
      <c r="D59" s="58">
        <v>1</v>
      </c>
      <c r="E59" s="58" t="s">
        <v>760</v>
      </c>
      <c r="F59" s="58" t="s">
        <v>761</v>
      </c>
      <c r="G59" s="58">
        <v>2020</v>
      </c>
      <c r="H59" s="62">
        <v>0</v>
      </c>
      <c r="I59" s="58">
        <v>2</v>
      </c>
      <c r="J59" s="58">
        <v>2</v>
      </c>
      <c r="K59" s="58">
        <v>1</v>
      </c>
      <c r="L59" s="58">
        <v>1</v>
      </c>
      <c r="M59" s="58">
        <v>1</v>
      </c>
      <c r="N59" s="58">
        <v>1</v>
      </c>
      <c r="O59" s="58">
        <v>0</v>
      </c>
      <c r="P59" s="58"/>
      <c r="Q59" s="58">
        <v>6</v>
      </c>
      <c r="R59" s="49" t="s">
        <v>2416</v>
      </c>
      <c r="S59" s="41"/>
      <c r="T59" s="41"/>
      <c r="U59" s="41"/>
      <c r="V59" s="41"/>
      <c r="W59" s="41"/>
    </row>
    <row r="60" spans="1:23" ht="19.5" customHeight="1" x14ac:dyDescent="0.25">
      <c r="A60" s="57" t="s">
        <v>185</v>
      </c>
      <c r="B60" s="57">
        <v>29</v>
      </c>
      <c r="C60" s="49" t="s">
        <v>186</v>
      </c>
      <c r="D60" s="58">
        <v>0.33333333333333331</v>
      </c>
      <c r="E60" s="58" t="s">
        <v>762</v>
      </c>
      <c r="F60" s="58" t="s">
        <v>763</v>
      </c>
      <c r="G60" s="58">
        <v>2020</v>
      </c>
      <c r="H60" s="58">
        <v>0</v>
      </c>
      <c r="I60" s="58">
        <v>0</v>
      </c>
      <c r="J60" s="58">
        <v>0</v>
      </c>
      <c r="K60" s="58">
        <v>0</v>
      </c>
      <c r="L60" s="58">
        <v>1</v>
      </c>
      <c r="M60" s="58">
        <v>0</v>
      </c>
      <c r="N60" s="58">
        <v>1</v>
      </c>
      <c r="O60" s="58">
        <v>0</v>
      </c>
      <c r="P60" s="58"/>
      <c r="Q60" s="58">
        <v>2</v>
      </c>
      <c r="R60" s="49" t="s">
        <v>2417</v>
      </c>
      <c r="S60" s="41"/>
      <c r="T60" s="41"/>
      <c r="U60" s="41"/>
      <c r="V60" s="41"/>
      <c r="W60" s="41"/>
    </row>
    <row r="61" spans="1:23" ht="19.5" customHeight="1" x14ac:dyDescent="0.25">
      <c r="A61" s="57" t="s">
        <v>187</v>
      </c>
      <c r="B61" s="57">
        <v>29</v>
      </c>
      <c r="C61" s="49" t="s">
        <v>188</v>
      </c>
      <c r="D61" s="58">
        <v>0.33333333333333331</v>
      </c>
      <c r="E61" s="58" t="s">
        <v>762</v>
      </c>
      <c r="F61" s="58" t="s">
        <v>763</v>
      </c>
      <c r="G61" s="58">
        <v>2020</v>
      </c>
      <c r="H61" s="58">
        <v>0</v>
      </c>
      <c r="I61" s="58">
        <v>0</v>
      </c>
      <c r="J61" s="58">
        <v>0</v>
      </c>
      <c r="K61" s="58">
        <v>0</v>
      </c>
      <c r="L61" s="58">
        <v>2</v>
      </c>
      <c r="M61" s="58">
        <v>0</v>
      </c>
      <c r="N61" s="58">
        <v>2</v>
      </c>
      <c r="O61" s="58">
        <v>0</v>
      </c>
      <c r="P61" s="58"/>
      <c r="Q61" s="58">
        <v>4</v>
      </c>
      <c r="R61" s="49" t="s">
        <v>2418</v>
      </c>
      <c r="S61" s="41"/>
      <c r="T61" s="41"/>
      <c r="U61" s="41"/>
      <c r="V61" s="41"/>
      <c r="W61" s="41"/>
    </row>
    <row r="62" spans="1:23" ht="19.5" customHeight="1" x14ac:dyDescent="0.25">
      <c r="A62" s="57" t="s">
        <v>189</v>
      </c>
      <c r="B62" s="57">
        <v>29</v>
      </c>
      <c r="C62" s="49" t="s">
        <v>190</v>
      </c>
      <c r="D62" s="58">
        <v>0.33333333333333331</v>
      </c>
      <c r="E62" s="58" t="s">
        <v>762</v>
      </c>
      <c r="F62" s="58" t="s">
        <v>763</v>
      </c>
      <c r="G62" s="58">
        <v>2021</v>
      </c>
      <c r="H62" s="58">
        <v>22</v>
      </c>
      <c r="I62" s="58">
        <v>0</v>
      </c>
      <c r="J62" s="58">
        <v>0</v>
      </c>
      <c r="K62" s="58">
        <v>14</v>
      </c>
      <c r="L62" s="58">
        <v>14</v>
      </c>
      <c r="M62" s="58">
        <v>15</v>
      </c>
      <c r="N62" s="58">
        <v>15</v>
      </c>
      <c r="O62" s="58">
        <v>8</v>
      </c>
      <c r="P62" s="58"/>
      <c r="Q62" s="58">
        <v>66</v>
      </c>
      <c r="R62" s="49" t="s">
        <v>2419</v>
      </c>
      <c r="S62" s="41"/>
      <c r="T62" s="41"/>
      <c r="U62" s="41"/>
      <c r="V62" s="41"/>
      <c r="W62" s="41"/>
    </row>
    <row r="63" spans="1:23" ht="19.5" customHeight="1" x14ac:dyDescent="0.25">
      <c r="A63" s="57" t="s">
        <v>191</v>
      </c>
      <c r="B63" s="57">
        <v>30</v>
      </c>
      <c r="C63" s="49" t="s">
        <v>192</v>
      </c>
      <c r="D63" s="58">
        <v>0.33333333333333331</v>
      </c>
      <c r="E63" s="58" t="s">
        <v>764</v>
      </c>
      <c r="F63" s="58" t="s">
        <v>763</v>
      </c>
      <c r="G63" s="58">
        <v>2021</v>
      </c>
      <c r="H63" s="58">
        <v>0</v>
      </c>
      <c r="I63" s="58">
        <v>0</v>
      </c>
      <c r="J63" s="58">
        <v>0</v>
      </c>
      <c r="K63" s="58">
        <v>3</v>
      </c>
      <c r="L63" s="58">
        <v>5</v>
      </c>
      <c r="M63" s="58">
        <v>3</v>
      </c>
      <c r="N63" s="58">
        <v>5</v>
      </c>
      <c r="O63" s="58">
        <v>0</v>
      </c>
      <c r="P63" s="58"/>
      <c r="Q63" s="58">
        <v>10</v>
      </c>
      <c r="R63" s="49" t="s">
        <v>2420</v>
      </c>
      <c r="S63" s="41"/>
      <c r="T63" s="41"/>
      <c r="U63" s="41"/>
      <c r="V63" s="41"/>
      <c r="W63" s="41"/>
    </row>
    <row r="64" spans="1:23" ht="19.5" customHeight="1" x14ac:dyDescent="0.25">
      <c r="A64" s="57" t="s">
        <v>193</v>
      </c>
      <c r="B64" s="57">
        <v>30</v>
      </c>
      <c r="C64" s="49" t="s">
        <v>194</v>
      </c>
      <c r="D64" s="58">
        <v>0.33333333333333331</v>
      </c>
      <c r="E64" s="58" t="s">
        <v>764</v>
      </c>
      <c r="F64" s="58" t="s">
        <v>763</v>
      </c>
      <c r="G64" s="58">
        <v>2021</v>
      </c>
      <c r="H64" s="58">
        <v>0</v>
      </c>
      <c r="I64" s="58">
        <v>0</v>
      </c>
      <c r="J64" s="58">
        <v>0</v>
      </c>
      <c r="K64" s="58">
        <v>2</v>
      </c>
      <c r="L64" s="58">
        <v>3</v>
      </c>
      <c r="M64" s="58">
        <v>2</v>
      </c>
      <c r="N64" s="58">
        <v>3</v>
      </c>
      <c r="O64" s="58">
        <v>0</v>
      </c>
      <c r="P64" s="58"/>
      <c r="Q64" s="58">
        <v>6</v>
      </c>
      <c r="R64" s="49" t="s">
        <v>2421</v>
      </c>
      <c r="S64" s="41"/>
      <c r="T64" s="41"/>
      <c r="U64" s="41"/>
      <c r="V64" s="41"/>
      <c r="W64" s="41"/>
    </row>
    <row r="65" spans="1:23" ht="19.5" customHeight="1" x14ac:dyDescent="0.25">
      <c r="A65" s="57" t="s">
        <v>195</v>
      </c>
      <c r="B65" s="57">
        <v>30</v>
      </c>
      <c r="C65" s="49" t="s">
        <v>196</v>
      </c>
      <c r="D65" s="58">
        <v>0.33333333333333331</v>
      </c>
      <c r="E65" s="58" t="s">
        <v>764</v>
      </c>
      <c r="F65" s="58" t="s">
        <v>763</v>
      </c>
      <c r="G65" s="58">
        <v>2021</v>
      </c>
      <c r="H65" s="58">
        <v>0</v>
      </c>
      <c r="I65" s="58">
        <v>0</v>
      </c>
      <c r="J65" s="58">
        <v>0</v>
      </c>
      <c r="K65" s="58">
        <v>2</v>
      </c>
      <c r="L65" s="58">
        <v>3</v>
      </c>
      <c r="M65" s="58">
        <v>2</v>
      </c>
      <c r="N65" s="58">
        <v>3</v>
      </c>
      <c r="O65" s="58">
        <v>0</v>
      </c>
      <c r="P65" s="58"/>
      <c r="Q65" s="58">
        <v>6</v>
      </c>
      <c r="R65" s="49" t="s">
        <v>2422</v>
      </c>
      <c r="S65" s="41"/>
      <c r="T65" s="41"/>
      <c r="U65" s="41"/>
      <c r="V65" s="41"/>
      <c r="W65" s="41"/>
    </row>
    <row r="66" spans="1:23" ht="19.5" customHeight="1" x14ac:dyDescent="0.25">
      <c r="A66" s="57" t="s">
        <v>197</v>
      </c>
      <c r="B66" s="57">
        <v>31</v>
      </c>
      <c r="C66" s="49" t="s">
        <v>198</v>
      </c>
      <c r="D66" s="58">
        <v>0.33333333333333331</v>
      </c>
      <c r="E66" s="58" t="s">
        <v>765</v>
      </c>
      <c r="F66" s="58" t="s">
        <v>766</v>
      </c>
      <c r="G66" s="58">
        <v>2021</v>
      </c>
      <c r="H66" s="58">
        <v>3</v>
      </c>
      <c r="I66" s="58">
        <v>0</v>
      </c>
      <c r="J66" s="58">
        <v>0</v>
      </c>
      <c r="K66" s="58">
        <v>1</v>
      </c>
      <c r="L66" s="58">
        <v>2</v>
      </c>
      <c r="M66" s="58">
        <v>1</v>
      </c>
      <c r="N66" s="58">
        <v>3</v>
      </c>
      <c r="O66" s="58">
        <v>2</v>
      </c>
      <c r="P66" s="58"/>
      <c r="Q66" s="58">
        <v>7</v>
      </c>
      <c r="R66" s="49" t="s">
        <v>2423</v>
      </c>
      <c r="S66" s="41"/>
      <c r="T66" s="41"/>
      <c r="U66" s="41"/>
      <c r="V66" s="41"/>
      <c r="W66" s="41"/>
    </row>
    <row r="67" spans="1:23" ht="19.5" customHeight="1" x14ac:dyDescent="0.25">
      <c r="A67" s="57" t="s">
        <v>199</v>
      </c>
      <c r="B67" s="57">
        <v>31</v>
      </c>
      <c r="C67" s="49" t="s">
        <v>200</v>
      </c>
      <c r="D67" s="58">
        <v>0.33333333333333331</v>
      </c>
      <c r="E67" s="58" t="s">
        <v>765</v>
      </c>
      <c r="F67" s="58" t="s">
        <v>766</v>
      </c>
      <c r="G67" s="58">
        <v>2021</v>
      </c>
      <c r="H67" s="59">
        <v>0</v>
      </c>
      <c r="I67" s="59">
        <v>0</v>
      </c>
      <c r="J67" s="59">
        <v>0</v>
      </c>
      <c r="K67" s="59">
        <v>0</v>
      </c>
      <c r="L67" s="59">
        <v>0.80000001192092896</v>
      </c>
      <c r="M67" s="59">
        <v>0.80000001192092896</v>
      </c>
      <c r="N67" s="59">
        <v>0.80000001192092896</v>
      </c>
      <c r="O67" s="59">
        <v>0.80000001192092896</v>
      </c>
      <c r="P67" s="58"/>
      <c r="Q67" s="59">
        <v>0.8</v>
      </c>
      <c r="R67" s="49" t="s">
        <v>2424</v>
      </c>
      <c r="S67" s="41"/>
      <c r="T67" s="41"/>
      <c r="U67" s="41"/>
      <c r="V67" s="41"/>
      <c r="W67" s="41"/>
    </row>
    <row r="68" spans="1:23" ht="19.5" customHeight="1" x14ac:dyDescent="0.25">
      <c r="A68" s="57" t="s">
        <v>201</v>
      </c>
      <c r="B68" s="57">
        <v>31</v>
      </c>
      <c r="C68" s="49" t="s">
        <v>202</v>
      </c>
      <c r="D68" s="58">
        <v>0.33333333333333331</v>
      </c>
      <c r="E68" s="58" t="s">
        <v>765</v>
      </c>
      <c r="F68" s="58" t="s">
        <v>766</v>
      </c>
      <c r="G68" s="58">
        <v>2021</v>
      </c>
      <c r="H68" s="59">
        <v>0</v>
      </c>
      <c r="I68" s="59">
        <v>0</v>
      </c>
      <c r="J68" s="59">
        <v>0</v>
      </c>
      <c r="K68" s="59">
        <v>0</v>
      </c>
      <c r="L68" s="59">
        <v>0.20000000298023224</v>
      </c>
      <c r="M68" s="59">
        <v>0.20000000298023224</v>
      </c>
      <c r="N68" s="59">
        <v>0.20000000298023224</v>
      </c>
      <c r="O68" s="59">
        <v>0.20000000298023224</v>
      </c>
      <c r="P68" s="58"/>
      <c r="Q68" s="59">
        <v>0.2</v>
      </c>
      <c r="R68" s="49" t="s">
        <v>2425</v>
      </c>
      <c r="S68" s="41"/>
      <c r="T68" s="41"/>
      <c r="U68" s="41"/>
      <c r="V68" s="41"/>
      <c r="W68" s="41"/>
    </row>
    <row r="69" spans="1:23" ht="19.5" customHeight="1" x14ac:dyDescent="0.25">
      <c r="A69" s="57" t="s">
        <v>203</v>
      </c>
      <c r="B69" s="57">
        <v>32</v>
      </c>
      <c r="C69" s="49" t="s">
        <v>204</v>
      </c>
      <c r="D69" s="58">
        <v>1</v>
      </c>
      <c r="E69" s="58" t="s">
        <v>767</v>
      </c>
      <c r="F69" s="58" t="s">
        <v>768</v>
      </c>
      <c r="G69" s="58">
        <v>2020</v>
      </c>
      <c r="H69" s="59">
        <v>0</v>
      </c>
      <c r="I69" s="59">
        <v>0.10000000149011612</v>
      </c>
      <c r="J69" s="59">
        <v>0.10000000149011612</v>
      </c>
      <c r="K69" s="59">
        <v>0.34999999403953552</v>
      </c>
      <c r="L69" s="59">
        <v>0.5</v>
      </c>
      <c r="M69" s="59">
        <v>0.69999998807907104</v>
      </c>
      <c r="N69" s="59">
        <v>0.89999997615814209</v>
      </c>
      <c r="O69" s="59">
        <v>1</v>
      </c>
      <c r="P69" s="58"/>
      <c r="Q69" s="59">
        <v>1</v>
      </c>
      <c r="R69" s="49" t="s">
        <v>2426</v>
      </c>
      <c r="S69" s="41"/>
      <c r="T69" s="41"/>
      <c r="U69" s="41"/>
      <c r="V69" s="41"/>
      <c r="W69" s="41"/>
    </row>
    <row r="70" spans="1:23" ht="19.5" customHeight="1" x14ac:dyDescent="0.25">
      <c r="A70" s="57" t="s">
        <v>207</v>
      </c>
      <c r="B70" s="57">
        <v>34</v>
      </c>
      <c r="C70" s="49" t="s">
        <v>208</v>
      </c>
      <c r="D70" s="58">
        <v>0.5</v>
      </c>
      <c r="E70" s="58" t="s">
        <v>559</v>
      </c>
      <c r="F70" s="58" t="s">
        <v>769</v>
      </c>
      <c r="G70" s="58">
        <v>2021</v>
      </c>
      <c r="H70" s="59">
        <v>0</v>
      </c>
      <c r="I70" s="59">
        <v>0</v>
      </c>
      <c r="J70" s="59">
        <v>0</v>
      </c>
      <c r="K70" s="59">
        <v>0</v>
      </c>
      <c r="L70" s="59">
        <v>0</v>
      </c>
      <c r="M70" s="61">
        <v>0.20000000298023224</v>
      </c>
      <c r="N70" s="61">
        <v>0.60000002384185791</v>
      </c>
      <c r="O70" s="59">
        <v>0</v>
      </c>
      <c r="P70" s="58"/>
      <c r="Q70" s="59">
        <v>0</v>
      </c>
      <c r="R70" s="49" t="s">
        <v>2430</v>
      </c>
      <c r="S70" s="41"/>
      <c r="T70" s="41"/>
      <c r="U70" s="41"/>
      <c r="V70" s="41"/>
      <c r="W70" s="41"/>
    </row>
    <row r="71" spans="1:23" ht="19.5" customHeight="1" x14ac:dyDescent="0.25">
      <c r="A71" s="57" t="s">
        <v>209</v>
      </c>
      <c r="B71" s="57">
        <v>34</v>
      </c>
      <c r="C71" s="49" t="s">
        <v>210</v>
      </c>
      <c r="D71" s="58">
        <v>0.5</v>
      </c>
      <c r="E71" s="58" t="s">
        <v>559</v>
      </c>
      <c r="F71" s="58" t="s">
        <v>769</v>
      </c>
      <c r="G71" s="58">
        <v>2021</v>
      </c>
      <c r="H71" s="59">
        <v>0</v>
      </c>
      <c r="I71" s="59">
        <v>0</v>
      </c>
      <c r="J71" s="59">
        <v>0</v>
      </c>
      <c r="K71" s="59">
        <v>0</v>
      </c>
      <c r="L71" s="59">
        <v>0</v>
      </c>
      <c r="M71" s="59">
        <v>0</v>
      </c>
      <c r="N71" s="61">
        <v>0.60000002384185791</v>
      </c>
      <c r="O71" s="59">
        <v>1</v>
      </c>
      <c r="P71" s="58"/>
      <c r="Q71" s="59">
        <v>0</v>
      </c>
      <c r="R71" s="49" t="s">
        <v>2431</v>
      </c>
      <c r="S71" s="41"/>
      <c r="T71" s="41"/>
      <c r="U71" s="41"/>
      <c r="V71" s="41"/>
      <c r="W71" s="41"/>
    </row>
    <row r="72" spans="1:23" ht="19.5" customHeight="1" x14ac:dyDescent="0.25">
      <c r="A72" s="57" t="s">
        <v>211</v>
      </c>
      <c r="B72" s="57">
        <v>35</v>
      </c>
      <c r="C72" s="49" t="s">
        <v>212</v>
      </c>
      <c r="D72" s="58">
        <v>1</v>
      </c>
      <c r="E72" s="58" t="s">
        <v>564</v>
      </c>
      <c r="F72" s="58">
        <v>315444325</v>
      </c>
      <c r="G72" s="58">
        <v>2017</v>
      </c>
      <c r="H72" s="58">
        <v>0</v>
      </c>
      <c r="I72" s="58">
        <v>0</v>
      </c>
      <c r="J72" s="58">
        <v>0</v>
      </c>
      <c r="K72" s="58">
        <v>5</v>
      </c>
      <c r="L72" s="58">
        <v>8</v>
      </c>
      <c r="M72" s="58">
        <v>4</v>
      </c>
      <c r="N72" s="58">
        <v>8</v>
      </c>
      <c r="O72" s="58">
        <v>2</v>
      </c>
      <c r="P72" s="58"/>
      <c r="Q72" s="58">
        <v>18</v>
      </c>
      <c r="R72" s="49" t="s">
        <v>2432</v>
      </c>
      <c r="S72" s="41"/>
      <c r="T72" s="41"/>
      <c r="U72" s="41"/>
      <c r="V72" s="41"/>
      <c r="W72" s="41"/>
    </row>
    <row r="73" spans="1:23" ht="19.5" customHeight="1" x14ac:dyDescent="0.25">
      <c r="A73" s="57" t="s">
        <v>213</v>
      </c>
      <c r="B73" s="57">
        <v>36</v>
      </c>
      <c r="C73" s="49" t="s">
        <v>214</v>
      </c>
      <c r="D73" s="58">
        <v>0.5</v>
      </c>
      <c r="E73" s="58" t="s">
        <v>756</v>
      </c>
      <c r="F73" s="58" t="s">
        <v>757</v>
      </c>
      <c r="G73" s="58">
        <v>2020</v>
      </c>
      <c r="H73" s="58">
        <v>3</v>
      </c>
      <c r="I73" s="58">
        <v>4</v>
      </c>
      <c r="J73" s="58">
        <v>4</v>
      </c>
      <c r="K73" s="58">
        <v>2</v>
      </c>
      <c r="L73" s="58">
        <v>5</v>
      </c>
      <c r="M73" s="58">
        <v>3</v>
      </c>
      <c r="N73" s="58">
        <v>6</v>
      </c>
      <c r="O73" s="58">
        <v>6</v>
      </c>
      <c r="P73" s="58"/>
      <c r="Q73" s="58">
        <v>21</v>
      </c>
      <c r="R73" s="49" t="s">
        <v>2433</v>
      </c>
      <c r="S73" s="41"/>
      <c r="T73" s="41"/>
      <c r="U73" s="41"/>
      <c r="V73" s="41"/>
      <c r="W73" s="41"/>
    </row>
    <row r="74" spans="1:23" ht="19.5" customHeight="1" x14ac:dyDescent="0.25">
      <c r="A74" s="57" t="s">
        <v>215</v>
      </c>
      <c r="B74" s="57">
        <v>36</v>
      </c>
      <c r="C74" s="49" t="s">
        <v>216</v>
      </c>
      <c r="D74" s="58">
        <v>0.5</v>
      </c>
      <c r="E74" s="58"/>
      <c r="F74" s="58"/>
      <c r="G74" s="58">
        <v>2020</v>
      </c>
      <c r="H74" s="58">
        <v>0</v>
      </c>
      <c r="I74" s="58">
        <v>1</v>
      </c>
      <c r="J74" s="58">
        <v>1</v>
      </c>
      <c r="K74" s="58">
        <v>2</v>
      </c>
      <c r="L74" s="58">
        <v>2</v>
      </c>
      <c r="M74" s="58">
        <v>3</v>
      </c>
      <c r="N74" s="58">
        <v>3</v>
      </c>
      <c r="O74" s="58">
        <v>4</v>
      </c>
      <c r="P74" s="58"/>
      <c r="Q74" s="58">
        <v>10</v>
      </c>
      <c r="R74" s="49" t="s">
        <v>2434</v>
      </c>
      <c r="S74" s="41"/>
      <c r="T74" s="41"/>
      <c r="U74" s="41"/>
      <c r="V74" s="41"/>
      <c r="W74" s="41"/>
    </row>
    <row r="75" spans="1:23" ht="19.5" customHeight="1" x14ac:dyDescent="0.25">
      <c r="A75" s="57" t="s">
        <v>231</v>
      </c>
      <c r="B75" s="57">
        <v>39</v>
      </c>
      <c r="C75" s="49" t="s">
        <v>232</v>
      </c>
      <c r="D75" s="58">
        <v>0.16666666666666666</v>
      </c>
      <c r="E75" s="58" t="s">
        <v>770</v>
      </c>
      <c r="F75" s="58" t="s">
        <v>771</v>
      </c>
      <c r="G75" s="58">
        <v>2021</v>
      </c>
      <c r="H75" s="58">
        <v>0</v>
      </c>
      <c r="I75" s="58">
        <v>0</v>
      </c>
      <c r="J75" s="58">
        <v>0</v>
      </c>
      <c r="K75" s="58">
        <v>0</v>
      </c>
      <c r="L75" s="58">
        <v>157</v>
      </c>
      <c r="M75" s="58">
        <v>157</v>
      </c>
      <c r="N75" s="58">
        <v>157</v>
      </c>
      <c r="O75" s="58">
        <v>157</v>
      </c>
      <c r="P75" s="58"/>
      <c r="Q75" s="58">
        <v>157</v>
      </c>
      <c r="R75" s="49" t="s">
        <v>2442</v>
      </c>
      <c r="S75" s="41"/>
      <c r="T75" s="41"/>
      <c r="U75" s="41"/>
      <c r="V75" s="41"/>
      <c r="W75" s="41"/>
    </row>
    <row r="76" spans="1:23" ht="19.5" customHeight="1" x14ac:dyDescent="0.25">
      <c r="A76" s="57" t="s">
        <v>233</v>
      </c>
      <c r="B76" s="57">
        <v>39</v>
      </c>
      <c r="C76" s="49" t="s">
        <v>234</v>
      </c>
      <c r="D76" s="58">
        <v>0.16666666666666666</v>
      </c>
      <c r="E76" s="58" t="s">
        <v>770</v>
      </c>
      <c r="F76" s="58" t="s">
        <v>771</v>
      </c>
      <c r="G76" s="58">
        <v>2021</v>
      </c>
      <c r="H76" s="58">
        <v>0</v>
      </c>
      <c r="I76" s="58">
        <v>0</v>
      </c>
      <c r="J76" s="58">
        <v>0</v>
      </c>
      <c r="K76" s="58">
        <v>0</v>
      </c>
      <c r="L76" s="58">
        <v>416</v>
      </c>
      <c r="M76" s="58">
        <v>416</v>
      </c>
      <c r="N76" s="58">
        <v>416</v>
      </c>
      <c r="O76" s="58">
        <v>416</v>
      </c>
      <c r="P76" s="58"/>
      <c r="Q76" s="58">
        <v>416</v>
      </c>
      <c r="R76" s="49" t="s">
        <v>2443</v>
      </c>
      <c r="S76" s="41"/>
      <c r="T76" s="41"/>
      <c r="U76" s="41"/>
      <c r="V76" s="41"/>
      <c r="W76" s="41"/>
    </row>
    <row r="77" spans="1:23" ht="19.5" customHeight="1" x14ac:dyDescent="0.25">
      <c r="A77" s="57" t="s">
        <v>235</v>
      </c>
      <c r="B77" s="57">
        <v>39</v>
      </c>
      <c r="C77" s="49" t="s">
        <v>236</v>
      </c>
      <c r="D77" s="58">
        <v>0.16666666666666666</v>
      </c>
      <c r="E77" s="58" t="s">
        <v>770</v>
      </c>
      <c r="F77" s="58" t="s">
        <v>771</v>
      </c>
      <c r="G77" s="58">
        <v>2021</v>
      </c>
      <c r="H77" s="58">
        <v>0</v>
      </c>
      <c r="I77" s="58">
        <v>0</v>
      </c>
      <c r="J77" s="58">
        <v>0</v>
      </c>
      <c r="K77" s="58">
        <v>0</v>
      </c>
      <c r="L77" s="58">
        <v>3.5</v>
      </c>
      <c r="M77" s="58">
        <v>3.5</v>
      </c>
      <c r="N77" s="58">
        <v>3.5</v>
      </c>
      <c r="O77" s="58">
        <v>3.5</v>
      </c>
      <c r="P77" s="58"/>
      <c r="Q77" s="58">
        <v>3.5</v>
      </c>
      <c r="R77" s="49" t="s">
        <v>2444</v>
      </c>
      <c r="S77" s="41"/>
      <c r="T77" s="41"/>
      <c r="U77" s="41"/>
      <c r="V77" s="41"/>
      <c r="W77" s="41"/>
    </row>
    <row r="78" spans="1:23" ht="19.5" customHeight="1" x14ac:dyDescent="0.25">
      <c r="A78" s="57" t="s">
        <v>237</v>
      </c>
      <c r="B78" s="57">
        <v>39</v>
      </c>
      <c r="C78" s="49" t="s">
        <v>238</v>
      </c>
      <c r="D78" s="58">
        <v>0.16666666666666666</v>
      </c>
      <c r="E78" s="58" t="s">
        <v>770</v>
      </c>
      <c r="F78" s="58" t="s">
        <v>771</v>
      </c>
      <c r="G78" s="58">
        <v>2021</v>
      </c>
      <c r="H78" s="58">
        <v>0</v>
      </c>
      <c r="I78" s="58">
        <v>0</v>
      </c>
      <c r="J78" s="58">
        <v>0</v>
      </c>
      <c r="K78" s="58">
        <v>0</v>
      </c>
      <c r="L78" s="58">
        <v>2</v>
      </c>
      <c r="M78" s="58">
        <v>2</v>
      </c>
      <c r="N78" s="58">
        <v>2</v>
      </c>
      <c r="O78" s="58">
        <v>2</v>
      </c>
      <c r="P78" s="58"/>
      <c r="Q78" s="58">
        <v>2</v>
      </c>
      <c r="R78" s="49" t="s">
        <v>2445</v>
      </c>
      <c r="S78" s="41"/>
      <c r="T78" s="41"/>
      <c r="U78" s="41"/>
      <c r="V78" s="41"/>
      <c r="W78" s="41"/>
    </row>
    <row r="79" spans="1:23" ht="19.5" customHeight="1" x14ac:dyDescent="0.25">
      <c r="A79" s="57" t="s">
        <v>239</v>
      </c>
      <c r="B79" s="57">
        <v>39</v>
      </c>
      <c r="C79" s="49" t="s">
        <v>240</v>
      </c>
      <c r="D79" s="58">
        <v>0.16666666666666666</v>
      </c>
      <c r="E79" s="58" t="s">
        <v>770</v>
      </c>
      <c r="F79" s="58" t="s">
        <v>771</v>
      </c>
      <c r="G79" s="58">
        <v>2021</v>
      </c>
      <c r="H79" s="58">
        <v>0</v>
      </c>
      <c r="I79" s="58">
        <v>0</v>
      </c>
      <c r="J79" s="58">
        <v>0</v>
      </c>
      <c r="K79" s="58">
        <v>0</v>
      </c>
      <c r="L79" s="58">
        <v>2</v>
      </c>
      <c r="M79" s="58">
        <v>2</v>
      </c>
      <c r="N79" s="58">
        <v>2</v>
      </c>
      <c r="O79" s="58">
        <v>2</v>
      </c>
      <c r="P79" s="58"/>
      <c r="Q79" s="58">
        <v>2</v>
      </c>
      <c r="R79" s="49" t="s">
        <v>2446</v>
      </c>
      <c r="S79" s="41"/>
      <c r="T79" s="41"/>
      <c r="U79" s="41"/>
      <c r="V79" s="41"/>
      <c r="W79" s="41"/>
    </row>
    <row r="80" spans="1:23" ht="19.5" customHeight="1" x14ac:dyDescent="0.25">
      <c r="A80" s="57" t="s">
        <v>241</v>
      </c>
      <c r="B80" s="57">
        <v>39</v>
      </c>
      <c r="C80" s="49" t="s">
        <v>242</v>
      </c>
      <c r="D80" s="58">
        <v>0.16666666666666666</v>
      </c>
      <c r="E80" s="58" t="s">
        <v>772</v>
      </c>
      <c r="F80" s="58" t="s">
        <v>773</v>
      </c>
      <c r="G80" s="58">
        <v>2021</v>
      </c>
      <c r="H80" s="58">
        <v>0</v>
      </c>
      <c r="I80" s="58">
        <v>0</v>
      </c>
      <c r="J80" s="58">
        <v>0</v>
      </c>
      <c r="K80" s="58">
        <v>0</v>
      </c>
      <c r="L80" s="58">
        <v>0</v>
      </c>
      <c r="M80" s="58">
        <v>0</v>
      </c>
      <c r="N80" s="58">
        <v>1</v>
      </c>
      <c r="O80" s="58">
        <v>1</v>
      </c>
      <c r="P80" s="58"/>
      <c r="Q80" s="58">
        <v>1</v>
      </c>
      <c r="R80" s="49" t="s">
        <v>2447</v>
      </c>
      <c r="S80" s="41"/>
      <c r="T80" s="41"/>
      <c r="U80" s="41"/>
      <c r="V80" s="41"/>
      <c r="W80" s="41"/>
    </row>
    <row r="81" spans="1:23" ht="19.5" customHeight="1" x14ac:dyDescent="0.25">
      <c r="A81" s="57" t="s">
        <v>243</v>
      </c>
      <c r="B81" s="57">
        <v>40</v>
      </c>
      <c r="C81" s="49" t="s">
        <v>244</v>
      </c>
      <c r="D81" s="58">
        <v>7.6923076923076927E-2</v>
      </c>
      <c r="E81" s="58" t="s">
        <v>774</v>
      </c>
      <c r="F81" s="58" t="s">
        <v>775</v>
      </c>
      <c r="G81" s="58">
        <v>2021</v>
      </c>
      <c r="H81" s="58">
        <v>0</v>
      </c>
      <c r="I81" s="58">
        <v>0</v>
      </c>
      <c r="J81" s="58">
        <v>0</v>
      </c>
      <c r="K81" s="58">
        <v>0</v>
      </c>
      <c r="L81" s="58">
        <v>0</v>
      </c>
      <c r="M81" s="58">
        <v>561</v>
      </c>
      <c r="N81" s="58">
        <v>561</v>
      </c>
      <c r="O81" s="58">
        <v>561</v>
      </c>
      <c r="P81" s="58"/>
      <c r="Q81" s="58">
        <v>561</v>
      </c>
      <c r="R81" s="49" t="s">
        <v>2448</v>
      </c>
      <c r="S81" s="41"/>
      <c r="T81" s="41"/>
      <c r="U81" s="41"/>
      <c r="V81" s="41"/>
      <c r="W81" s="41"/>
    </row>
    <row r="82" spans="1:23" ht="19.5" customHeight="1" x14ac:dyDescent="0.25">
      <c r="A82" s="57" t="s">
        <v>245</v>
      </c>
      <c r="B82" s="57">
        <v>40</v>
      </c>
      <c r="C82" s="49" t="s">
        <v>246</v>
      </c>
      <c r="D82" s="58">
        <v>7.6923076923076927E-2</v>
      </c>
      <c r="E82" s="58" t="s">
        <v>774</v>
      </c>
      <c r="F82" s="58" t="s">
        <v>775</v>
      </c>
      <c r="G82" s="58">
        <v>2021</v>
      </c>
      <c r="H82" s="58">
        <v>0</v>
      </c>
      <c r="I82" s="58">
        <v>0</v>
      </c>
      <c r="J82" s="58">
        <v>0</v>
      </c>
      <c r="K82" s="58">
        <v>0</v>
      </c>
      <c r="L82" s="58">
        <v>0</v>
      </c>
      <c r="M82" s="58">
        <v>0</v>
      </c>
      <c r="N82" s="58">
        <v>0</v>
      </c>
      <c r="O82" s="58">
        <v>0</v>
      </c>
      <c r="P82" s="58"/>
      <c r="Q82" s="58">
        <v>0</v>
      </c>
      <c r="R82" s="49" t="s">
        <v>2449</v>
      </c>
      <c r="S82" s="41"/>
      <c r="T82" s="41"/>
      <c r="U82" s="41"/>
      <c r="V82" s="41"/>
      <c r="W82" s="41"/>
    </row>
    <row r="83" spans="1:23" ht="19.5" customHeight="1" x14ac:dyDescent="0.25">
      <c r="A83" s="57" t="s">
        <v>247</v>
      </c>
      <c r="B83" s="57">
        <v>40</v>
      </c>
      <c r="C83" s="49" t="s">
        <v>248</v>
      </c>
      <c r="D83" s="58">
        <v>7.6923076923076927E-2</v>
      </c>
      <c r="E83" s="58" t="s">
        <v>774</v>
      </c>
      <c r="F83" s="58" t="s">
        <v>775</v>
      </c>
      <c r="G83" s="58">
        <v>2021</v>
      </c>
      <c r="H83" s="59">
        <v>0</v>
      </c>
      <c r="I83" s="59">
        <v>0</v>
      </c>
      <c r="J83" s="59">
        <v>0</v>
      </c>
      <c r="K83" s="59">
        <v>0.15000000596046448</v>
      </c>
      <c r="L83" s="59">
        <v>0.30000001192092896</v>
      </c>
      <c r="M83" s="59">
        <v>0.5</v>
      </c>
      <c r="N83" s="59">
        <v>1</v>
      </c>
      <c r="O83" s="59">
        <v>1</v>
      </c>
      <c r="P83" s="58"/>
      <c r="Q83" s="59">
        <v>1</v>
      </c>
      <c r="R83" s="49" t="s">
        <v>2450</v>
      </c>
      <c r="S83" s="41"/>
      <c r="T83" s="41"/>
      <c r="U83" s="41"/>
      <c r="V83" s="41"/>
      <c r="W83" s="41"/>
    </row>
    <row r="84" spans="1:23" ht="19.5" customHeight="1" x14ac:dyDescent="0.25">
      <c r="A84" s="57" t="s">
        <v>249</v>
      </c>
      <c r="B84" s="57">
        <v>40</v>
      </c>
      <c r="C84" s="49" t="s">
        <v>250</v>
      </c>
      <c r="D84" s="58">
        <v>7.6923076923076927E-2</v>
      </c>
      <c r="E84" s="58" t="s">
        <v>774</v>
      </c>
      <c r="F84" s="58" t="s">
        <v>775</v>
      </c>
      <c r="G84" s="58">
        <v>2021</v>
      </c>
      <c r="H84" s="58">
        <v>127</v>
      </c>
      <c r="I84" s="58">
        <v>127</v>
      </c>
      <c r="J84" s="58">
        <v>127</v>
      </c>
      <c r="K84" s="58">
        <v>127</v>
      </c>
      <c r="L84" s="58">
        <v>146</v>
      </c>
      <c r="M84" s="58">
        <v>146</v>
      </c>
      <c r="N84" s="58">
        <v>146</v>
      </c>
      <c r="O84" s="58">
        <v>146</v>
      </c>
      <c r="P84" s="58"/>
      <c r="Q84" s="58">
        <v>146</v>
      </c>
      <c r="R84" s="49" t="s">
        <v>2451</v>
      </c>
      <c r="S84" s="41"/>
      <c r="T84" s="41"/>
      <c r="U84" s="41"/>
      <c r="V84" s="41"/>
      <c r="W84" s="41"/>
    </row>
    <row r="85" spans="1:23" ht="51.75" customHeight="1" x14ac:dyDescent="0.25">
      <c r="A85" s="57" t="s">
        <v>251</v>
      </c>
      <c r="B85" s="57">
        <v>40</v>
      </c>
      <c r="C85" s="49" t="s">
        <v>252</v>
      </c>
      <c r="D85" s="58">
        <v>7.6923076923076927E-2</v>
      </c>
      <c r="E85" s="58" t="s">
        <v>774</v>
      </c>
      <c r="F85" s="58" t="s">
        <v>775</v>
      </c>
      <c r="G85" s="58">
        <v>2021</v>
      </c>
      <c r="H85" s="58">
        <v>57</v>
      </c>
      <c r="I85" s="58">
        <v>57</v>
      </c>
      <c r="J85" s="58">
        <v>57</v>
      </c>
      <c r="K85" s="58">
        <v>57</v>
      </c>
      <c r="L85" s="58">
        <v>57</v>
      </c>
      <c r="M85" s="58">
        <v>57</v>
      </c>
      <c r="N85" s="58">
        <v>57</v>
      </c>
      <c r="O85" s="58">
        <v>57</v>
      </c>
      <c r="P85" s="58"/>
      <c r="Q85" s="58">
        <v>57</v>
      </c>
      <c r="R85" s="49" t="s">
        <v>2452</v>
      </c>
      <c r="S85" s="41"/>
      <c r="T85" s="41"/>
      <c r="U85" s="41"/>
      <c r="V85" s="41"/>
      <c r="W85" s="41"/>
    </row>
    <row r="86" spans="1:23" ht="19.5" customHeight="1" x14ac:dyDescent="0.25">
      <c r="A86" s="57" t="s">
        <v>253</v>
      </c>
      <c r="B86" s="57">
        <v>40</v>
      </c>
      <c r="C86" s="49" t="s">
        <v>254</v>
      </c>
      <c r="D86" s="58">
        <v>7.6923076923076927E-2</v>
      </c>
      <c r="E86" s="58" t="s">
        <v>776</v>
      </c>
      <c r="F86" s="58" t="s">
        <v>777</v>
      </c>
      <c r="G86" s="58">
        <v>2021</v>
      </c>
      <c r="H86" s="59">
        <v>0.108</v>
      </c>
      <c r="I86" s="59">
        <v>0.1080000028014183</v>
      </c>
      <c r="J86" s="59">
        <v>0.1080000028014183</v>
      </c>
      <c r="K86" s="59">
        <v>0.125</v>
      </c>
      <c r="L86" s="59">
        <v>0.25</v>
      </c>
      <c r="M86" s="59">
        <v>0.30000001192092896</v>
      </c>
      <c r="N86" s="59">
        <v>0.34999999403953552</v>
      </c>
      <c r="O86" s="59">
        <v>0.5</v>
      </c>
      <c r="P86" s="58"/>
      <c r="Q86" s="59">
        <v>0.5</v>
      </c>
      <c r="R86" s="49" t="s">
        <v>2453</v>
      </c>
      <c r="S86" s="41"/>
      <c r="T86" s="41"/>
      <c r="U86" s="41"/>
      <c r="V86" s="41"/>
      <c r="W86" s="41"/>
    </row>
    <row r="87" spans="1:23" ht="19.5" customHeight="1" x14ac:dyDescent="0.25">
      <c r="A87" s="57" t="s">
        <v>255</v>
      </c>
      <c r="B87" s="57">
        <v>40</v>
      </c>
      <c r="C87" s="49" t="s">
        <v>256</v>
      </c>
      <c r="D87" s="58">
        <v>7.6923076923076927E-2</v>
      </c>
      <c r="E87" s="58" t="s">
        <v>776</v>
      </c>
      <c r="F87" s="58" t="s">
        <v>777</v>
      </c>
      <c r="G87" s="58">
        <v>2021</v>
      </c>
      <c r="H87" s="59" t="s">
        <v>778</v>
      </c>
      <c r="I87" s="59">
        <v>0.64999997615814209</v>
      </c>
      <c r="J87" s="59">
        <v>0.64999997615814209</v>
      </c>
      <c r="K87" s="59">
        <v>0.64999997615814209</v>
      </c>
      <c r="L87" s="59">
        <v>0.64999997615814209</v>
      </c>
      <c r="M87" s="59">
        <v>0.69999998807907104</v>
      </c>
      <c r="N87" s="59">
        <v>0.75</v>
      </c>
      <c r="O87" s="59">
        <v>0.76999998092651367</v>
      </c>
      <c r="P87" s="58"/>
      <c r="Q87" s="59">
        <v>0.80000001192092896</v>
      </c>
      <c r="R87" s="49" t="s">
        <v>2454</v>
      </c>
      <c r="S87" s="41"/>
      <c r="T87" s="41"/>
      <c r="U87" s="41"/>
      <c r="V87" s="41"/>
      <c r="W87" s="41"/>
    </row>
    <row r="88" spans="1:23" ht="19.5" customHeight="1" x14ac:dyDescent="0.25">
      <c r="A88" s="57" t="s">
        <v>257</v>
      </c>
      <c r="B88" s="57">
        <v>40</v>
      </c>
      <c r="C88" s="49" t="s">
        <v>258</v>
      </c>
      <c r="D88" s="58">
        <v>7.6923076923076927E-2</v>
      </c>
      <c r="E88" s="58" t="s">
        <v>776</v>
      </c>
      <c r="F88" s="58" t="s">
        <v>777</v>
      </c>
      <c r="G88" s="58">
        <v>2021</v>
      </c>
      <c r="H88" s="59">
        <v>0</v>
      </c>
      <c r="I88" s="59">
        <v>0</v>
      </c>
      <c r="J88" s="59">
        <v>0</v>
      </c>
      <c r="K88" s="59">
        <v>0</v>
      </c>
      <c r="L88" s="59">
        <v>5</v>
      </c>
      <c r="M88" s="59">
        <v>5</v>
      </c>
      <c r="N88" s="59">
        <v>5</v>
      </c>
      <c r="O88" s="59">
        <v>5</v>
      </c>
      <c r="P88" s="58"/>
      <c r="Q88" s="59">
        <v>5</v>
      </c>
      <c r="R88" s="49" t="s">
        <v>2455</v>
      </c>
      <c r="S88" s="41"/>
      <c r="T88" s="41"/>
      <c r="U88" s="41"/>
      <c r="V88" s="41"/>
      <c r="W88" s="41"/>
    </row>
    <row r="89" spans="1:23" ht="19.5" customHeight="1" x14ac:dyDescent="0.25">
      <c r="A89" s="57" t="s">
        <v>259</v>
      </c>
      <c r="B89" s="57">
        <v>40</v>
      </c>
      <c r="C89" s="49" t="s">
        <v>260</v>
      </c>
      <c r="D89" s="58">
        <v>7.6923076923076927E-2</v>
      </c>
      <c r="E89" s="58" t="s">
        <v>779</v>
      </c>
      <c r="F89" s="58" t="s">
        <v>780</v>
      </c>
      <c r="G89" s="58">
        <v>2021</v>
      </c>
      <c r="H89" s="59">
        <v>0</v>
      </c>
      <c r="I89" s="59">
        <v>0</v>
      </c>
      <c r="J89" s="59">
        <v>0</v>
      </c>
      <c r="K89" s="59">
        <v>0</v>
      </c>
      <c r="L89" s="59">
        <v>0</v>
      </c>
      <c r="M89" s="59">
        <v>0</v>
      </c>
      <c r="N89" s="59">
        <v>0</v>
      </c>
      <c r="O89" s="59">
        <v>0</v>
      </c>
      <c r="P89" s="58"/>
      <c r="Q89" s="59">
        <v>0</v>
      </c>
      <c r="R89" s="49" t="s">
        <v>2456</v>
      </c>
      <c r="S89" s="41"/>
      <c r="T89" s="41"/>
      <c r="U89" s="41"/>
      <c r="V89" s="41"/>
      <c r="W89" s="41"/>
    </row>
    <row r="90" spans="1:23" ht="19.5" customHeight="1" x14ac:dyDescent="0.25">
      <c r="A90" s="57" t="s">
        <v>261</v>
      </c>
      <c r="B90" s="57">
        <v>40</v>
      </c>
      <c r="C90" s="49" t="s">
        <v>262</v>
      </c>
      <c r="D90" s="58">
        <v>7.6923076923076927E-2</v>
      </c>
      <c r="E90" s="58" t="s">
        <v>779</v>
      </c>
      <c r="F90" s="58" t="s">
        <v>780</v>
      </c>
      <c r="G90" s="58">
        <v>2021</v>
      </c>
      <c r="H90" s="62" t="s">
        <v>781</v>
      </c>
      <c r="I90" s="59">
        <v>0.5</v>
      </c>
      <c r="J90" s="59">
        <v>0.5</v>
      </c>
      <c r="K90" s="59">
        <v>0.5</v>
      </c>
      <c r="L90" s="59">
        <v>0.5</v>
      </c>
      <c r="M90" s="59">
        <v>0.5</v>
      </c>
      <c r="N90" s="59">
        <v>0.5</v>
      </c>
      <c r="O90" s="59">
        <v>0.5</v>
      </c>
      <c r="P90" s="62"/>
      <c r="Q90" s="59">
        <v>0.5</v>
      </c>
      <c r="R90" s="49" t="s">
        <v>2457</v>
      </c>
      <c r="S90" s="41"/>
      <c r="T90" s="41"/>
      <c r="U90" s="41"/>
      <c r="V90" s="41"/>
      <c r="W90" s="41"/>
    </row>
    <row r="91" spans="1:23" ht="19.5" customHeight="1" x14ac:dyDescent="0.25">
      <c r="A91" s="57" t="s">
        <v>263</v>
      </c>
      <c r="B91" s="57">
        <v>40</v>
      </c>
      <c r="C91" s="49" t="s">
        <v>264</v>
      </c>
      <c r="D91" s="58">
        <v>7.6923076923076927E-2</v>
      </c>
      <c r="E91" s="58" t="s">
        <v>779</v>
      </c>
      <c r="F91" s="58" t="s">
        <v>780</v>
      </c>
      <c r="G91" s="58">
        <v>2021</v>
      </c>
      <c r="H91" s="59">
        <v>0</v>
      </c>
      <c r="I91" s="59">
        <v>0</v>
      </c>
      <c r="J91" s="59">
        <v>0</v>
      </c>
      <c r="K91" s="59">
        <v>0</v>
      </c>
      <c r="L91" s="59">
        <v>0</v>
      </c>
      <c r="M91" s="59">
        <v>0</v>
      </c>
      <c r="N91" s="59">
        <v>0</v>
      </c>
      <c r="O91" s="59">
        <v>0</v>
      </c>
      <c r="P91" s="58"/>
      <c r="Q91" s="59">
        <v>0</v>
      </c>
      <c r="R91" s="49" t="s">
        <v>2458</v>
      </c>
      <c r="S91" s="41"/>
      <c r="T91" s="41"/>
      <c r="U91" s="41"/>
      <c r="V91" s="41"/>
      <c r="W91" s="41"/>
    </row>
    <row r="92" spans="1:23" ht="19.5" customHeight="1" x14ac:dyDescent="0.25">
      <c r="A92" s="57" t="s">
        <v>265</v>
      </c>
      <c r="B92" s="57">
        <v>40</v>
      </c>
      <c r="C92" s="49" t="s">
        <v>266</v>
      </c>
      <c r="D92" s="58">
        <v>7.6923076923076927E-2</v>
      </c>
      <c r="E92" s="58" t="s">
        <v>779</v>
      </c>
      <c r="F92" s="58" t="s">
        <v>780</v>
      </c>
      <c r="G92" s="58">
        <v>2021</v>
      </c>
      <c r="H92" s="59">
        <v>0</v>
      </c>
      <c r="I92" s="59">
        <v>0</v>
      </c>
      <c r="J92" s="59">
        <v>0</v>
      </c>
      <c r="K92" s="59">
        <v>0</v>
      </c>
      <c r="L92" s="59">
        <v>0</v>
      </c>
      <c r="M92" s="59">
        <v>0</v>
      </c>
      <c r="N92" s="59">
        <v>0</v>
      </c>
      <c r="O92" s="59">
        <v>0</v>
      </c>
      <c r="P92" s="58"/>
      <c r="Q92" s="59">
        <v>0</v>
      </c>
      <c r="R92" s="49" t="s">
        <v>2459</v>
      </c>
      <c r="S92" s="41"/>
      <c r="T92" s="41"/>
      <c r="U92" s="41"/>
      <c r="V92" s="41"/>
      <c r="W92" s="41"/>
    </row>
    <row r="93" spans="1:23" ht="19.5" customHeight="1" x14ac:dyDescent="0.25">
      <c r="A93" s="57" t="s">
        <v>267</v>
      </c>
      <c r="B93" s="57">
        <v>40</v>
      </c>
      <c r="C93" s="49" t="s">
        <v>268</v>
      </c>
      <c r="D93" s="58">
        <v>7.6923076923076927E-2</v>
      </c>
      <c r="E93" s="58" t="s">
        <v>779</v>
      </c>
      <c r="F93" s="58" t="s">
        <v>780</v>
      </c>
      <c r="G93" s="58">
        <v>2021</v>
      </c>
      <c r="H93" s="59">
        <v>0</v>
      </c>
      <c r="I93" s="59">
        <v>0</v>
      </c>
      <c r="J93" s="59">
        <v>0</v>
      </c>
      <c r="K93" s="59">
        <v>0</v>
      </c>
      <c r="L93" s="59">
        <v>0</v>
      </c>
      <c r="M93" s="59">
        <v>0</v>
      </c>
      <c r="N93" s="59">
        <v>0</v>
      </c>
      <c r="O93" s="59">
        <v>0</v>
      </c>
      <c r="P93" s="59"/>
      <c r="Q93" s="59">
        <v>0</v>
      </c>
      <c r="R93" s="49" t="s">
        <v>2460</v>
      </c>
      <c r="S93" s="41"/>
      <c r="T93" s="41"/>
      <c r="U93" s="41"/>
      <c r="V93" s="41"/>
      <c r="W93" s="41"/>
    </row>
    <row r="94" spans="1:23" ht="19.5" customHeight="1" x14ac:dyDescent="0.25">
      <c r="A94" s="57" t="s">
        <v>275</v>
      </c>
      <c r="B94" s="57">
        <v>42</v>
      </c>
      <c r="C94" s="49" t="s">
        <v>276</v>
      </c>
      <c r="D94" s="58">
        <v>0.33333333333333331</v>
      </c>
      <c r="E94" s="58" t="s">
        <v>584</v>
      </c>
      <c r="F94" s="58" t="s">
        <v>586</v>
      </c>
      <c r="G94" s="58">
        <v>2020</v>
      </c>
      <c r="H94" s="58">
        <v>22</v>
      </c>
      <c r="I94" s="58">
        <v>4</v>
      </c>
      <c r="J94" s="58">
        <v>4</v>
      </c>
      <c r="K94" s="58">
        <v>3</v>
      </c>
      <c r="L94" s="58">
        <v>4</v>
      </c>
      <c r="M94" s="58">
        <v>2</v>
      </c>
      <c r="N94" s="58">
        <v>3</v>
      </c>
      <c r="O94" s="58">
        <v>1</v>
      </c>
      <c r="P94" s="58"/>
      <c r="Q94" s="58">
        <v>12</v>
      </c>
      <c r="R94" s="49" t="s">
        <v>2464</v>
      </c>
      <c r="S94" s="41"/>
      <c r="T94" s="41"/>
      <c r="U94" s="41"/>
      <c r="V94" s="41"/>
      <c r="W94" s="41"/>
    </row>
    <row r="95" spans="1:23" ht="19.5" customHeight="1" x14ac:dyDescent="0.25">
      <c r="A95" s="57" t="s">
        <v>277</v>
      </c>
      <c r="B95" s="57">
        <v>42</v>
      </c>
      <c r="C95" s="49" t="s">
        <v>278</v>
      </c>
      <c r="D95" s="58">
        <v>0.33333333333333331</v>
      </c>
      <c r="E95" s="58" t="s">
        <v>584</v>
      </c>
      <c r="F95" s="58" t="s">
        <v>586</v>
      </c>
      <c r="G95" s="58">
        <v>2020</v>
      </c>
      <c r="H95" s="58">
        <v>3</v>
      </c>
      <c r="I95" s="58">
        <v>2</v>
      </c>
      <c r="J95" s="58">
        <v>2</v>
      </c>
      <c r="K95" s="58">
        <v>1</v>
      </c>
      <c r="L95" s="58">
        <v>3</v>
      </c>
      <c r="M95" s="58">
        <v>2</v>
      </c>
      <c r="N95" s="58">
        <v>2</v>
      </c>
      <c r="O95" s="58">
        <v>0</v>
      </c>
      <c r="P95" s="58"/>
      <c r="Q95" s="58">
        <v>7</v>
      </c>
      <c r="R95" s="49" t="s">
        <v>2465</v>
      </c>
      <c r="S95" s="41"/>
      <c r="T95" s="41"/>
      <c r="U95" s="41"/>
      <c r="V95" s="41"/>
      <c r="W95" s="41"/>
    </row>
    <row r="96" spans="1:23" ht="19.5" customHeight="1" x14ac:dyDescent="0.25">
      <c r="A96" s="57" t="s">
        <v>279</v>
      </c>
      <c r="B96" s="57">
        <v>42</v>
      </c>
      <c r="C96" s="49" t="s">
        <v>280</v>
      </c>
      <c r="D96" s="58">
        <v>0.33333333333333331</v>
      </c>
      <c r="E96" s="58" t="s">
        <v>584</v>
      </c>
      <c r="F96" s="58" t="s">
        <v>586</v>
      </c>
      <c r="G96" s="58">
        <v>2020</v>
      </c>
      <c r="H96" s="58">
        <v>2</v>
      </c>
      <c r="I96" s="58">
        <v>2</v>
      </c>
      <c r="J96" s="58">
        <v>2</v>
      </c>
      <c r="K96" s="58">
        <v>2</v>
      </c>
      <c r="L96" s="58">
        <v>3</v>
      </c>
      <c r="M96" s="58">
        <v>2</v>
      </c>
      <c r="N96" s="58">
        <v>3</v>
      </c>
      <c r="O96" s="58">
        <v>0</v>
      </c>
      <c r="P96" s="58"/>
      <c r="Q96" s="58">
        <v>8</v>
      </c>
      <c r="R96" s="49" t="s">
        <v>2466</v>
      </c>
      <c r="S96" s="41"/>
      <c r="T96" s="41"/>
      <c r="U96" s="41"/>
      <c r="V96" s="41"/>
      <c r="W96" s="41"/>
    </row>
    <row r="97" spans="1:23" ht="19.5" customHeight="1" x14ac:dyDescent="0.25">
      <c r="A97" s="57" t="s">
        <v>281</v>
      </c>
      <c r="B97" s="57">
        <v>43</v>
      </c>
      <c r="C97" s="49" t="s">
        <v>282</v>
      </c>
      <c r="D97" s="58">
        <v>1</v>
      </c>
      <c r="E97" s="58" t="s">
        <v>734</v>
      </c>
      <c r="F97" s="58" t="s">
        <v>591</v>
      </c>
      <c r="G97" s="58">
        <v>2021</v>
      </c>
      <c r="H97" s="59">
        <v>0</v>
      </c>
      <c r="I97" s="59">
        <v>0</v>
      </c>
      <c r="J97" s="59">
        <v>0</v>
      </c>
      <c r="K97" s="59">
        <v>0.20000000298023224</v>
      </c>
      <c r="L97" s="59">
        <v>0.5</v>
      </c>
      <c r="M97" s="59">
        <v>0.20000000298023224</v>
      </c>
      <c r="N97" s="59">
        <v>0.5</v>
      </c>
      <c r="O97" s="59">
        <v>0</v>
      </c>
      <c r="P97" s="58"/>
      <c r="Q97" s="59">
        <v>1</v>
      </c>
      <c r="R97" s="49" t="s">
        <v>2467</v>
      </c>
      <c r="S97" s="41"/>
      <c r="T97" s="41"/>
      <c r="U97" s="41"/>
      <c r="V97" s="41"/>
      <c r="W97" s="41"/>
    </row>
    <row r="98" spans="1:23" ht="19.5" customHeight="1" x14ac:dyDescent="0.25">
      <c r="A98" s="57" t="s">
        <v>283</v>
      </c>
      <c r="B98" s="57">
        <v>44</v>
      </c>
      <c r="C98" s="49" t="s">
        <v>284</v>
      </c>
      <c r="D98" s="58">
        <v>0.33333333333333331</v>
      </c>
      <c r="E98" s="58" t="s">
        <v>762</v>
      </c>
      <c r="F98" s="58" t="s">
        <v>763</v>
      </c>
      <c r="G98" s="58">
        <v>2021</v>
      </c>
      <c r="H98" s="58">
        <v>2</v>
      </c>
      <c r="I98" s="58">
        <v>0</v>
      </c>
      <c r="J98" s="58">
        <v>0</v>
      </c>
      <c r="K98" s="58">
        <v>0</v>
      </c>
      <c r="L98" s="58">
        <v>1</v>
      </c>
      <c r="M98" s="58">
        <v>1</v>
      </c>
      <c r="N98" s="58">
        <v>1</v>
      </c>
      <c r="O98" s="58">
        <v>0</v>
      </c>
      <c r="P98" s="58"/>
      <c r="Q98" s="58">
        <v>2</v>
      </c>
      <c r="R98" s="49" t="s">
        <v>284</v>
      </c>
      <c r="S98" s="41"/>
      <c r="T98" s="41"/>
      <c r="U98" s="41"/>
      <c r="V98" s="41"/>
      <c r="W98" s="41"/>
    </row>
    <row r="99" spans="1:23" ht="19.5" customHeight="1" x14ac:dyDescent="0.25">
      <c r="A99" s="57" t="s">
        <v>285</v>
      </c>
      <c r="B99" s="57">
        <v>44</v>
      </c>
      <c r="C99" s="49" t="s">
        <v>286</v>
      </c>
      <c r="D99" s="58">
        <v>0.33333333333333331</v>
      </c>
      <c r="E99" s="58" t="s">
        <v>762</v>
      </c>
      <c r="F99" s="58" t="s">
        <v>763</v>
      </c>
      <c r="G99" s="58">
        <v>2021</v>
      </c>
      <c r="H99" s="58">
        <v>16</v>
      </c>
      <c r="I99" s="58">
        <v>0</v>
      </c>
      <c r="J99" s="58">
        <v>0</v>
      </c>
      <c r="K99" s="58">
        <v>0</v>
      </c>
      <c r="L99" s="58">
        <v>8</v>
      </c>
      <c r="M99" s="58">
        <v>8</v>
      </c>
      <c r="N99" s="58">
        <v>8</v>
      </c>
      <c r="O99" s="58">
        <v>0</v>
      </c>
      <c r="P99" s="58"/>
      <c r="Q99" s="58">
        <v>16</v>
      </c>
      <c r="R99" s="49" t="s">
        <v>2468</v>
      </c>
      <c r="S99" s="41"/>
      <c r="T99" s="41"/>
      <c r="U99" s="41"/>
      <c r="V99" s="41"/>
      <c r="W99" s="41"/>
    </row>
    <row r="100" spans="1:23" ht="19.5" customHeight="1" x14ac:dyDescent="0.25">
      <c r="A100" s="57" t="s">
        <v>287</v>
      </c>
      <c r="B100" s="57">
        <v>44</v>
      </c>
      <c r="C100" s="49" t="s">
        <v>288</v>
      </c>
      <c r="D100" s="58">
        <v>0.33333333333333331</v>
      </c>
      <c r="E100" s="58" t="s">
        <v>762</v>
      </c>
      <c r="F100" s="58" t="s">
        <v>763</v>
      </c>
      <c r="G100" s="58">
        <v>2021</v>
      </c>
      <c r="H100" s="58">
        <v>2</v>
      </c>
      <c r="I100" s="58">
        <v>0</v>
      </c>
      <c r="J100" s="58">
        <v>0</v>
      </c>
      <c r="K100" s="58">
        <v>0</v>
      </c>
      <c r="L100" s="58">
        <v>1</v>
      </c>
      <c r="M100" s="58">
        <v>1</v>
      </c>
      <c r="N100" s="58">
        <v>1</v>
      </c>
      <c r="O100" s="58">
        <v>0</v>
      </c>
      <c r="P100" s="58"/>
      <c r="Q100" s="58">
        <v>2</v>
      </c>
      <c r="R100" s="49" t="s">
        <v>2469</v>
      </c>
      <c r="S100" s="41"/>
      <c r="T100" s="41"/>
      <c r="U100" s="41"/>
      <c r="V100" s="41"/>
      <c r="W100" s="41"/>
    </row>
    <row r="101" spans="1:23" ht="19.5" customHeight="1" x14ac:dyDescent="0.25">
      <c r="A101" s="57" t="s">
        <v>289</v>
      </c>
      <c r="B101" s="57">
        <v>45</v>
      </c>
      <c r="C101" s="49" t="s">
        <v>290</v>
      </c>
      <c r="D101" s="58">
        <v>0.5</v>
      </c>
      <c r="E101" s="58" t="s">
        <v>764</v>
      </c>
      <c r="F101" s="58" t="s">
        <v>763</v>
      </c>
      <c r="G101" s="58">
        <v>2021</v>
      </c>
      <c r="H101" s="59">
        <v>0</v>
      </c>
      <c r="I101" s="59">
        <v>0.10000000149011612</v>
      </c>
      <c r="J101" s="59">
        <v>0.10000000149011612</v>
      </c>
      <c r="K101" s="59">
        <v>0.60000002384185791</v>
      </c>
      <c r="L101" s="59">
        <v>0.9</v>
      </c>
      <c r="M101" s="59">
        <v>0</v>
      </c>
      <c r="N101" s="59">
        <v>0</v>
      </c>
      <c r="O101" s="59">
        <v>0</v>
      </c>
      <c r="P101" s="58"/>
      <c r="Q101" s="59">
        <v>1</v>
      </c>
      <c r="R101" s="49" t="s">
        <v>2470</v>
      </c>
      <c r="S101" s="41"/>
      <c r="T101" s="41"/>
      <c r="U101" s="41"/>
      <c r="V101" s="41"/>
      <c r="W101" s="41"/>
    </row>
    <row r="102" spans="1:23" ht="19.5" customHeight="1" x14ac:dyDescent="0.25">
      <c r="A102" s="57" t="s">
        <v>291</v>
      </c>
      <c r="B102" s="57">
        <v>45</v>
      </c>
      <c r="C102" s="49" t="s">
        <v>292</v>
      </c>
      <c r="D102" s="58">
        <v>0.5</v>
      </c>
      <c r="E102" s="58" t="s">
        <v>764</v>
      </c>
      <c r="F102" s="58" t="s">
        <v>763</v>
      </c>
      <c r="G102" s="58">
        <v>2021</v>
      </c>
      <c r="H102" s="59">
        <v>0</v>
      </c>
      <c r="I102" s="59">
        <v>0</v>
      </c>
      <c r="J102" s="59">
        <v>0</v>
      </c>
      <c r="K102" s="59">
        <v>0.20000000298023224</v>
      </c>
      <c r="L102" s="59">
        <v>0.5</v>
      </c>
      <c r="M102" s="59">
        <v>0.5</v>
      </c>
      <c r="N102" s="59">
        <v>0.5</v>
      </c>
      <c r="O102" s="59">
        <v>0</v>
      </c>
      <c r="P102" s="58"/>
      <c r="Q102" s="59">
        <v>1</v>
      </c>
      <c r="R102" s="49" t="s">
        <v>2471</v>
      </c>
      <c r="S102" s="41"/>
      <c r="T102" s="41"/>
      <c r="U102" s="41"/>
      <c r="V102" s="41"/>
      <c r="W102" s="41"/>
    </row>
    <row r="103" spans="1:23" ht="19.5" customHeight="1" x14ac:dyDescent="0.25">
      <c r="A103" s="57" t="s">
        <v>293</v>
      </c>
      <c r="B103" s="57">
        <v>46</v>
      </c>
      <c r="C103" s="49" t="s">
        <v>294</v>
      </c>
      <c r="D103" s="58">
        <v>1</v>
      </c>
      <c r="E103" s="58" t="s">
        <v>762</v>
      </c>
      <c r="F103" s="58" t="s">
        <v>763</v>
      </c>
      <c r="G103" s="58">
        <v>2021</v>
      </c>
      <c r="H103" s="58">
        <v>0</v>
      </c>
      <c r="I103" s="58">
        <v>10000</v>
      </c>
      <c r="J103" s="58">
        <v>10000</v>
      </c>
      <c r="K103" s="58">
        <v>25000</v>
      </c>
      <c r="L103" s="58">
        <v>50000</v>
      </c>
      <c r="M103" s="58">
        <v>25000</v>
      </c>
      <c r="N103" s="58">
        <v>50000</v>
      </c>
      <c r="O103" s="58">
        <v>10000</v>
      </c>
      <c r="P103" s="58"/>
      <c r="Q103" s="58">
        <v>120000</v>
      </c>
      <c r="R103" s="49" t="s">
        <v>2472</v>
      </c>
      <c r="S103" s="41"/>
      <c r="T103" s="41"/>
      <c r="U103" s="41"/>
      <c r="V103" s="41"/>
      <c r="W103" s="41"/>
    </row>
    <row r="104" spans="1:23" ht="19.5" customHeight="1" x14ac:dyDescent="0.25">
      <c r="A104" s="57" t="s">
        <v>295</v>
      </c>
      <c r="B104" s="57">
        <v>47</v>
      </c>
      <c r="C104" s="49" t="s">
        <v>296</v>
      </c>
      <c r="D104" s="58">
        <v>1</v>
      </c>
      <c r="E104" s="58" t="s">
        <v>609</v>
      </c>
      <c r="F104" s="58" t="s">
        <v>611</v>
      </c>
      <c r="G104" s="58">
        <v>2021</v>
      </c>
      <c r="H104" s="58">
        <v>0</v>
      </c>
      <c r="I104" s="58">
        <v>0</v>
      </c>
      <c r="J104" s="58">
        <v>0</v>
      </c>
      <c r="K104" s="58">
        <v>0</v>
      </c>
      <c r="L104" s="58">
        <v>2794</v>
      </c>
      <c r="M104" s="58">
        <v>0</v>
      </c>
      <c r="N104" s="58">
        <v>0</v>
      </c>
      <c r="O104" s="58">
        <v>0</v>
      </c>
      <c r="P104" s="58"/>
      <c r="Q104" s="58">
        <v>2794</v>
      </c>
      <c r="R104" s="49" t="s">
        <v>2473</v>
      </c>
      <c r="S104" s="41"/>
      <c r="T104" s="41"/>
      <c r="U104" s="41"/>
      <c r="V104" s="41"/>
      <c r="W104" s="41"/>
    </row>
    <row r="105" spans="1:23" ht="19.5" customHeight="1" x14ac:dyDescent="0.25">
      <c r="A105" s="57" t="s">
        <v>297</v>
      </c>
      <c r="B105" s="57">
        <v>48</v>
      </c>
      <c r="C105" s="49" t="s">
        <v>298</v>
      </c>
      <c r="D105" s="58">
        <v>1</v>
      </c>
      <c r="E105" s="58" t="s">
        <v>609</v>
      </c>
      <c r="F105" s="58" t="s">
        <v>611</v>
      </c>
      <c r="G105" s="58">
        <v>2021</v>
      </c>
      <c r="H105" s="58">
        <v>0</v>
      </c>
      <c r="I105" s="58">
        <v>0</v>
      </c>
      <c r="J105" s="58">
        <v>0</v>
      </c>
      <c r="K105" s="58">
        <v>0</v>
      </c>
      <c r="L105" s="58">
        <v>0</v>
      </c>
      <c r="M105" s="58">
        <v>0</v>
      </c>
      <c r="N105" s="58">
        <v>22323</v>
      </c>
      <c r="O105" s="58">
        <v>0</v>
      </c>
      <c r="P105" s="58"/>
      <c r="Q105" s="58">
        <v>22323</v>
      </c>
      <c r="R105" s="49" t="s">
        <v>2474</v>
      </c>
      <c r="S105" s="41"/>
      <c r="T105" s="41"/>
      <c r="U105" s="41"/>
      <c r="V105" s="41"/>
      <c r="W105" s="41"/>
    </row>
    <row r="106" spans="1:23" ht="19.5" customHeight="1" x14ac:dyDescent="0.25">
      <c r="A106" s="57" t="s">
        <v>299</v>
      </c>
      <c r="B106" s="57">
        <v>49</v>
      </c>
      <c r="C106" s="49" t="s">
        <v>300</v>
      </c>
      <c r="D106" s="58">
        <v>1</v>
      </c>
      <c r="E106" s="58" t="s">
        <v>609</v>
      </c>
      <c r="F106" s="58" t="s">
        <v>611</v>
      </c>
      <c r="G106" s="58">
        <v>2021</v>
      </c>
      <c r="H106" s="58">
        <v>30000</v>
      </c>
      <c r="I106" s="58">
        <v>7600</v>
      </c>
      <c r="J106" s="58">
        <v>7600</v>
      </c>
      <c r="K106" s="58">
        <v>2000</v>
      </c>
      <c r="L106" s="58">
        <v>4500</v>
      </c>
      <c r="M106" s="58">
        <v>2000</v>
      </c>
      <c r="N106" s="58">
        <v>4000</v>
      </c>
      <c r="O106" s="58">
        <v>13900</v>
      </c>
      <c r="P106" s="58"/>
      <c r="Q106" s="58">
        <v>30000</v>
      </c>
      <c r="R106" s="49" t="s">
        <v>2475</v>
      </c>
      <c r="S106" s="41"/>
      <c r="T106" s="41"/>
      <c r="U106" s="41"/>
      <c r="V106" s="41"/>
      <c r="W106" s="41"/>
    </row>
    <row r="107" spans="1:23" ht="19.5" customHeight="1" x14ac:dyDescent="0.25">
      <c r="A107" s="57" t="s">
        <v>301</v>
      </c>
      <c r="B107" s="57">
        <v>50</v>
      </c>
      <c r="C107" s="49" t="s">
        <v>302</v>
      </c>
      <c r="D107" s="58">
        <v>0.33333333333333331</v>
      </c>
      <c r="E107" s="58" t="s">
        <v>618</v>
      </c>
      <c r="F107" s="58" t="s">
        <v>620</v>
      </c>
      <c r="G107" s="58">
        <v>2020</v>
      </c>
      <c r="H107" s="59">
        <v>0</v>
      </c>
      <c r="I107" s="59">
        <v>0</v>
      </c>
      <c r="J107" s="59">
        <v>0</v>
      </c>
      <c r="K107" s="59">
        <v>0.15000000596046448</v>
      </c>
      <c r="L107" s="59">
        <v>0.8</v>
      </c>
      <c r="M107" s="59">
        <v>0.20000000298023224</v>
      </c>
      <c r="N107" s="59">
        <v>0.2</v>
      </c>
      <c r="O107" s="59">
        <v>0</v>
      </c>
      <c r="P107" s="58"/>
      <c r="Q107" s="59">
        <v>1</v>
      </c>
      <c r="R107" s="49" t="s">
        <v>2476</v>
      </c>
      <c r="S107" s="41"/>
      <c r="T107" s="41"/>
      <c r="U107" s="41"/>
      <c r="V107" s="41"/>
      <c r="W107" s="41"/>
    </row>
    <row r="108" spans="1:23" ht="19.5" customHeight="1" x14ac:dyDescent="0.25">
      <c r="A108" s="57" t="s">
        <v>303</v>
      </c>
      <c r="B108" s="57">
        <v>50</v>
      </c>
      <c r="C108" s="49" t="s">
        <v>304</v>
      </c>
      <c r="D108" s="58">
        <v>0.33333333333333331</v>
      </c>
      <c r="E108" s="58" t="s">
        <v>618</v>
      </c>
      <c r="F108" s="58" t="s">
        <v>620</v>
      </c>
      <c r="G108" s="58">
        <v>2020</v>
      </c>
      <c r="H108" s="58">
        <v>0</v>
      </c>
      <c r="I108" s="58">
        <v>0</v>
      </c>
      <c r="J108" s="58">
        <v>0</v>
      </c>
      <c r="K108" s="58">
        <v>0</v>
      </c>
      <c r="L108" s="58">
        <v>200</v>
      </c>
      <c r="M108" s="58">
        <v>200</v>
      </c>
      <c r="N108" s="58">
        <v>0</v>
      </c>
      <c r="O108" s="58">
        <v>0</v>
      </c>
      <c r="P108" s="58"/>
      <c r="Q108" s="58">
        <v>200</v>
      </c>
      <c r="R108" s="49" t="s">
        <v>2477</v>
      </c>
      <c r="S108" s="41"/>
      <c r="T108" s="41"/>
      <c r="U108" s="41"/>
      <c r="V108" s="41"/>
      <c r="W108" s="41"/>
    </row>
    <row r="109" spans="1:23" ht="19.5" customHeight="1" x14ac:dyDescent="0.25">
      <c r="A109" s="57" t="s">
        <v>305</v>
      </c>
      <c r="B109" s="57">
        <v>50</v>
      </c>
      <c r="C109" s="49" t="s">
        <v>306</v>
      </c>
      <c r="D109" s="58">
        <v>0.33333333333333331</v>
      </c>
      <c r="E109" s="58" t="s">
        <v>618</v>
      </c>
      <c r="F109" s="58" t="s">
        <v>620</v>
      </c>
      <c r="G109" s="58">
        <v>2020</v>
      </c>
      <c r="H109" s="59">
        <v>0</v>
      </c>
      <c r="I109" s="59">
        <v>0</v>
      </c>
      <c r="J109" s="59">
        <v>0</v>
      </c>
      <c r="K109" s="59">
        <v>0</v>
      </c>
      <c r="L109" s="59">
        <v>0</v>
      </c>
      <c r="M109" s="59">
        <v>0.30000001192092896</v>
      </c>
      <c r="N109" s="59">
        <v>0.8</v>
      </c>
      <c r="O109" s="59">
        <v>0.20000000298023224</v>
      </c>
      <c r="P109" s="58"/>
      <c r="Q109" s="59">
        <v>1</v>
      </c>
      <c r="R109" s="49" t="s">
        <v>2478</v>
      </c>
      <c r="S109" s="41"/>
      <c r="T109" s="41"/>
      <c r="U109" s="41"/>
      <c r="V109" s="41"/>
      <c r="W109" s="41"/>
    </row>
    <row r="110" spans="1:23" ht="19.5" customHeight="1" x14ac:dyDescent="0.25">
      <c r="A110" s="57" t="s">
        <v>307</v>
      </c>
      <c r="B110" s="57">
        <v>51</v>
      </c>
      <c r="C110" s="49" t="s">
        <v>308</v>
      </c>
      <c r="D110" s="58">
        <v>0.33333333333333331</v>
      </c>
      <c r="E110" s="58" t="s">
        <v>782</v>
      </c>
      <c r="F110" s="58" t="s">
        <v>625</v>
      </c>
      <c r="G110" s="58">
        <v>2021</v>
      </c>
      <c r="H110" s="58">
        <v>30</v>
      </c>
      <c r="I110" s="58">
        <v>70</v>
      </c>
      <c r="J110" s="58">
        <v>20</v>
      </c>
      <c r="K110" s="58">
        <v>20</v>
      </c>
      <c r="L110" s="58">
        <v>20</v>
      </c>
      <c r="M110" s="58">
        <v>20</v>
      </c>
      <c r="N110" s="58">
        <v>20</v>
      </c>
      <c r="O110" s="58">
        <v>10</v>
      </c>
      <c r="P110" s="58"/>
      <c r="Q110" s="58">
        <v>0</v>
      </c>
      <c r="R110" s="49" t="s">
        <v>2479</v>
      </c>
      <c r="S110" s="41"/>
      <c r="T110" s="41"/>
      <c r="U110" s="41"/>
      <c r="V110" s="41"/>
      <c r="W110" s="41"/>
    </row>
    <row r="111" spans="1:23" ht="19.5" customHeight="1" x14ac:dyDescent="0.25">
      <c r="A111" s="57" t="s">
        <v>309</v>
      </c>
      <c r="B111" s="57">
        <v>51</v>
      </c>
      <c r="C111" s="49" t="s">
        <v>310</v>
      </c>
      <c r="D111" s="58">
        <v>0.33333333333333331</v>
      </c>
      <c r="E111" s="58" t="s">
        <v>782</v>
      </c>
      <c r="F111" s="58" t="s">
        <v>625</v>
      </c>
      <c r="G111" s="58">
        <v>2021</v>
      </c>
      <c r="H111" s="58">
        <v>393</v>
      </c>
      <c r="I111" s="58">
        <v>100</v>
      </c>
      <c r="J111" s="58">
        <v>100</v>
      </c>
      <c r="K111" s="58">
        <v>250</v>
      </c>
      <c r="L111" s="58">
        <v>250</v>
      </c>
      <c r="M111" s="58">
        <v>250</v>
      </c>
      <c r="N111" s="58">
        <v>250</v>
      </c>
      <c r="O111" s="58">
        <v>50</v>
      </c>
      <c r="P111" s="58"/>
      <c r="Q111" s="58">
        <v>0</v>
      </c>
      <c r="R111" s="49" t="s">
        <v>2480</v>
      </c>
      <c r="S111" s="41"/>
      <c r="T111" s="41"/>
      <c r="U111" s="41"/>
      <c r="V111" s="41"/>
      <c r="W111" s="41"/>
    </row>
    <row r="112" spans="1:23" ht="19.5" customHeight="1" x14ac:dyDescent="0.25">
      <c r="A112" s="57" t="s">
        <v>311</v>
      </c>
      <c r="B112" s="57">
        <v>51</v>
      </c>
      <c r="C112" s="49" t="s">
        <v>312</v>
      </c>
      <c r="D112" s="58">
        <v>0.33333333333333331</v>
      </c>
      <c r="E112" s="58" t="s">
        <v>783</v>
      </c>
      <c r="F112" s="58" t="s">
        <v>784</v>
      </c>
      <c r="G112" s="58">
        <v>2020</v>
      </c>
      <c r="H112" s="58">
        <v>7</v>
      </c>
      <c r="I112" s="58">
        <v>2</v>
      </c>
      <c r="J112" s="58">
        <v>2</v>
      </c>
      <c r="K112" s="58">
        <v>15</v>
      </c>
      <c r="L112" s="58">
        <v>10</v>
      </c>
      <c r="M112" s="58">
        <v>15</v>
      </c>
      <c r="N112" s="58">
        <v>15</v>
      </c>
      <c r="O112" s="58">
        <v>0</v>
      </c>
      <c r="P112" s="58"/>
      <c r="Q112" s="58">
        <v>0</v>
      </c>
      <c r="R112" s="49" t="s">
        <v>2481</v>
      </c>
      <c r="S112" s="41"/>
      <c r="T112" s="41"/>
      <c r="U112" s="41"/>
      <c r="V112" s="41"/>
      <c r="W112" s="41"/>
    </row>
    <row r="113" spans="1:23" ht="19.5" customHeight="1" x14ac:dyDescent="0.25">
      <c r="A113" s="57" t="s">
        <v>313</v>
      </c>
      <c r="B113" s="57">
        <v>52</v>
      </c>
      <c r="C113" s="49" t="s">
        <v>314</v>
      </c>
      <c r="D113" s="58">
        <v>0.33333333333333331</v>
      </c>
      <c r="E113" s="58" t="s">
        <v>628</v>
      </c>
      <c r="F113" s="58" t="s">
        <v>630</v>
      </c>
      <c r="G113" s="58">
        <v>2020</v>
      </c>
      <c r="H113" s="59">
        <v>0.4</v>
      </c>
      <c r="I113" s="59">
        <v>0.40000000596046448</v>
      </c>
      <c r="J113" s="59">
        <v>0.4</v>
      </c>
      <c r="K113" s="59">
        <v>0.20000000298023224</v>
      </c>
      <c r="L113" s="59">
        <v>0.3</v>
      </c>
      <c r="M113" s="59">
        <v>0.20000000298023224</v>
      </c>
      <c r="N113" s="59">
        <v>0.20000000298023224</v>
      </c>
      <c r="O113" s="59">
        <v>0.1</v>
      </c>
      <c r="P113" s="58"/>
      <c r="Q113" s="59">
        <v>1</v>
      </c>
      <c r="R113" s="49" t="s">
        <v>314</v>
      </c>
      <c r="S113" s="41"/>
      <c r="T113" s="41"/>
      <c r="U113" s="41"/>
      <c r="V113" s="41"/>
      <c r="W113" s="41"/>
    </row>
    <row r="114" spans="1:23" ht="19.5" customHeight="1" x14ac:dyDescent="0.25">
      <c r="A114" s="57" t="s">
        <v>315</v>
      </c>
      <c r="B114" s="57">
        <v>52</v>
      </c>
      <c r="C114" s="49" t="s">
        <v>316</v>
      </c>
      <c r="D114" s="58">
        <v>0.33333333333333331</v>
      </c>
      <c r="E114" s="58" t="s">
        <v>628</v>
      </c>
      <c r="F114" s="58" t="s">
        <v>630</v>
      </c>
      <c r="G114" s="58">
        <v>2020</v>
      </c>
      <c r="H114" s="59">
        <v>0.3</v>
      </c>
      <c r="I114" s="59">
        <v>0.30000001192092896</v>
      </c>
      <c r="J114" s="59">
        <v>0.3</v>
      </c>
      <c r="K114" s="59">
        <v>0.20000000298023224</v>
      </c>
      <c r="L114" s="59">
        <v>0.3</v>
      </c>
      <c r="M114" s="59">
        <v>0.20000000298023224</v>
      </c>
      <c r="N114" s="59">
        <v>0.3</v>
      </c>
      <c r="O114" s="59">
        <v>0.10000000149011612</v>
      </c>
      <c r="P114" s="58"/>
      <c r="Q114" s="59">
        <v>1</v>
      </c>
      <c r="R114" s="49" t="s">
        <v>2482</v>
      </c>
      <c r="S114" s="41"/>
      <c r="T114" s="41"/>
      <c r="U114" s="41"/>
      <c r="V114" s="41"/>
      <c r="W114" s="41"/>
    </row>
    <row r="115" spans="1:23" ht="19.5" customHeight="1" x14ac:dyDescent="0.25">
      <c r="A115" s="57" t="s">
        <v>317</v>
      </c>
      <c r="B115" s="57">
        <v>52</v>
      </c>
      <c r="C115" s="49" t="s">
        <v>318</v>
      </c>
      <c r="D115" s="58">
        <v>0.33333333333333331</v>
      </c>
      <c r="E115" s="58" t="s">
        <v>628</v>
      </c>
      <c r="F115" s="58" t="s">
        <v>630</v>
      </c>
      <c r="G115" s="58">
        <v>2020</v>
      </c>
      <c r="H115" s="59">
        <v>0.3</v>
      </c>
      <c r="I115" s="59">
        <v>0.20000000298023224</v>
      </c>
      <c r="J115" s="59">
        <v>0.2</v>
      </c>
      <c r="K115" s="59">
        <v>0.20000000298023224</v>
      </c>
      <c r="L115" s="59">
        <v>0.3</v>
      </c>
      <c r="M115" s="59">
        <v>0.20000000298023224</v>
      </c>
      <c r="N115" s="59">
        <v>0.4</v>
      </c>
      <c r="O115" s="59">
        <v>0.1</v>
      </c>
      <c r="P115" s="58"/>
      <c r="Q115" s="59">
        <v>1</v>
      </c>
      <c r="R115" s="49" t="s">
        <v>2483</v>
      </c>
      <c r="S115" s="41"/>
      <c r="T115" s="41"/>
      <c r="U115" s="41"/>
      <c r="V115" s="41"/>
      <c r="W115" s="41"/>
    </row>
    <row r="116" spans="1:23" ht="19.5" customHeight="1" x14ac:dyDescent="0.25">
      <c r="A116" s="57" t="s">
        <v>319</v>
      </c>
      <c r="B116" s="57">
        <v>53</v>
      </c>
      <c r="C116" s="49" t="s">
        <v>320</v>
      </c>
      <c r="D116" s="58">
        <v>0.5</v>
      </c>
      <c r="E116" s="58" t="s">
        <v>564</v>
      </c>
      <c r="F116" s="58">
        <v>3154444325</v>
      </c>
      <c r="G116" s="58">
        <v>2020</v>
      </c>
      <c r="H116" s="58">
        <v>3</v>
      </c>
      <c r="I116" s="58">
        <v>2</v>
      </c>
      <c r="J116" s="58">
        <v>2</v>
      </c>
      <c r="K116" s="58">
        <v>3</v>
      </c>
      <c r="L116" s="58">
        <v>5</v>
      </c>
      <c r="M116" s="58">
        <v>3</v>
      </c>
      <c r="N116" s="58">
        <v>5</v>
      </c>
      <c r="O116" s="58">
        <v>2</v>
      </c>
      <c r="P116" s="58"/>
      <c r="Q116" s="58">
        <v>14</v>
      </c>
      <c r="R116" s="49" t="s">
        <v>2484</v>
      </c>
      <c r="S116" s="41"/>
      <c r="T116" s="41"/>
      <c r="U116" s="41"/>
      <c r="V116" s="41"/>
      <c r="W116" s="41"/>
    </row>
    <row r="117" spans="1:23" ht="19.5" customHeight="1" x14ac:dyDescent="0.25">
      <c r="A117" s="57" t="s">
        <v>321</v>
      </c>
      <c r="B117" s="57">
        <v>53</v>
      </c>
      <c r="C117" s="49" t="s">
        <v>322</v>
      </c>
      <c r="D117" s="58">
        <v>0.5</v>
      </c>
      <c r="E117" s="58" t="s">
        <v>785</v>
      </c>
      <c r="F117" s="58" t="s">
        <v>786</v>
      </c>
      <c r="G117" s="58">
        <v>2020</v>
      </c>
      <c r="H117" s="58">
        <v>0</v>
      </c>
      <c r="I117" s="58">
        <v>0</v>
      </c>
      <c r="J117" s="58">
        <v>0</v>
      </c>
      <c r="K117" s="58">
        <v>1</v>
      </c>
      <c r="L117" s="58">
        <v>2</v>
      </c>
      <c r="M117" s="58">
        <v>0</v>
      </c>
      <c r="N117" s="58">
        <v>1</v>
      </c>
      <c r="O117" s="58">
        <v>1</v>
      </c>
      <c r="P117" s="58"/>
      <c r="Q117" s="58">
        <v>4</v>
      </c>
      <c r="R117" s="49" t="s">
        <v>2485</v>
      </c>
      <c r="S117" s="41"/>
      <c r="T117" s="41"/>
      <c r="U117" s="41"/>
      <c r="V117" s="41"/>
      <c r="W117" s="41"/>
    </row>
    <row r="118" spans="1:23" ht="19.5" customHeight="1" x14ac:dyDescent="0.25">
      <c r="A118" s="57" t="s">
        <v>323</v>
      </c>
      <c r="B118" s="57">
        <v>54</v>
      </c>
      <c r="C118" s="49" t="s">
        <v>324</v>
      </c>
      <c r="D118" s="58">
        <v>0.33333333333333331</v>
      </c>
      <c r="E118" s="58" t="s">
        <v>517</v>
      </c>
      <c r="F118" s="58" t="s">
        <v>519</v>
      </c>
      <c r="G118" s="58">
        <v>2020</v>
      </c>
      <c r="H118" s="59">
        <v>0</v>
      </c>
      <c r="I118" s="59">
        <v>0.10000000149011612</v>
      </c>
      <c r="J118" s="59">
        <v>0.1</v>
      </c>
      <c r="K118" s="59">
        <v>5.000000074505806E-2</v>
      </c>
      <c r="L118" s="59">
        <v>0.2</v>
      </c>
      <c r="M118" s="59">
        <v>0.10000000149011612</v>
      </c>
      <c r="N118" s="59">
        <v>0.3</v>
      </c>
      <c r="O118" s="59">
        <v>0.33</v>
      </c>
      <c r="P118" s="58"/>
      <c r="Q118" s="59">
        <v>0.33000001311302185</v>
      </c>
      <c r="R118" s="49" t="s">
        <v>2486</v>
      </c>
      <c r="S118" s="41"/>
      <c r="T118" s="41"/>
      <c r="U118" s="41"/>
      <c r="V118" s="41"/>
      <c r="W118" s="41"/>
    </row>
    <row r="119" spans="1:23" ht="19.5" customHeight="1" x14ac:dyDescent="0.25">
      <c r="A119" s="57" t="s">
        <v>325</v>
      </c>
      <c r="B119" s="57">
        <v>54</v>
      </c>
      <c r="C119" s="49" t="s">
        <v>326</v>
      </c>
      <c r="D119" s="58">
        <v>0.33333333333333331</v>
      </c>
      <c r="E119" s="58" t="s">
        <v>517</v>
      </c>
      <c r="F119" s="58" t="s">
        <v>519</v>
      </c>
      <c r="G119" s="58">
        <v>2020</v>
      </c>
      <c r="H119" s="58">
        <v>0</v>
      </c>
      <c r="I119" s="58">
        <v>10</v>
      </c>
      <c r="J119" s="58">
        <v>10</v>
      </c>
      <c r="K119" s="58">
        <v>4</v>
      </c>
      <c r="L119" s="58">
        <v>13</v>
      </c>
      <c r="M119" s="58">
        <v>4</v>
      </c>
      <c r="N119" s="58">
        <v>15</v>
      </c>
      <c r="O119" s="58">
        <v>15</v>
      </c>
      <c r="P119" s="58"/>
      <c r="Q119" s="58">
        <v>15</v>
      </c>
      <c r="R119" s="49" t="s">
        <v>2487</v>
      </c>
      <c r="S119" s="41"/>
      <c r="T119" s="41"/>
      <c r="U119" s="41"/>
      <c r="V119" s="41"/>
      <c r="W119" s="41"/>
    </row>
    <row r="120" spans="1:23" ht="19.5" customHeight="1" x14ac:dyDescent="0.25">
      <c r="A120" s="57" t="s">
        <v>327</v>
      </c>
      <c r="B120" s="57">
        <v>54</v>
      </c>
      <c r="C120" s="49" t="s">
        <v>328</v>
      </c>
      <c r="D120" s="58">
        <v>0.33333333333333331</v>
      </c>
      <c r="E120" s="58" t="s">
        <v>635</v>
      </c>
      <c r="F120" s="58" t="s">
        <v>787</v>
      </c>
      <c r="G120" s="58">
        <v>2020</v>
      </c>
      <c r="H120" s="58">
        <v>0</v>
      </c>
      <c r="I120" s="58">
        <v>0</v>
      </c>
      <c r="J120" s="58">
        <v>0</v>
      </c>
      <c r="K120" s="58">
        <v>0</v>
      </c>
      <c r="L120" s="58">
        <v>1</v>
      </c>
      <c r="M120" s="58">
        <v>0</v>
      </c>
      <c r="N120" s="58">
        <v>0</v>
      </c>
      <c r="O120" s="58">
        <v>0</v>
      </c>
      <c r="P120" s="58"/>
      <c r="Q120" s="58">
        <v>1</v>
      </c>
      <c r="R120" s="49" t="s">
        <v>2488</v>
      </c>
      <c r="S120" s="41"/>
      <c r="T120" s="41"/>
      <c r="U120" s="41"/>
      <c r="V120" s="41"/>
      <c r="W120" s="41"/>
    </row>
    <row r="121" spans="1:23" ht="19.5" customHeight="1" x14ac:dyDescent="0.25">
      <c r="A121" s="57" t="s">
        <v>329</v>
      </c>
      <c r="B121" s="57">
        <v>55</v>
      </c>
      <c r="C121" s="49" t="s">
        <v>330</v>
      </c>
      <c r="D121" s="58">
        <v>0.5</v>
      </c>
      <c r="E121" s="58" t="s">
        <v>788</v>
      </c>
      <c r="F121" s="58" t="s">
        <v>642</v>
      </c>
      <c r="G121" s="58">
        <v>2021</v>
      </c>
      <c r="H121" s="58">
        <v>5</v>
      </c>
      <c r="I121" s="58">
        <v>1</v>
      </c>
      <c r="J121" s="58">
        <v>1</v>
      </c>
      <c r="K121" s="58">
        <v>1</v>
      </c>
      <c r="L121" s="58">
        <v>2</v>
      </c>
      <c r="M121" s="58">
        <v>1</v>
      </c>
      <c r="N121" s="58">
        <v>2</v>
      </c>
      <c r="O121" s="58">
        <v>1</v>
      </c>
      <c r="P121" s="58"/>
      <c r="Q121" s="58">
        <v>6</v>
      </c>
      <c r="R121" s="49" t="s">
        <v>2489</v>
      </c>
      <c r="S121" s="41"/>
      <c r="T121" s="41"/>
      <c r="U121" s="41"/>
      <c r="V121" s="41"/>
      <c r="W121" s="41"/>
    </row>
    <row r="122" spans="1:23" ht="19.5" customHeight="1" x14ac:dyDescent="0.25">
      <c r="A122" s="57" t="s">
        <v>331</v>
      </c>
      <c r="B122" s="57">
        <v>55</v>
      </c>
      <c r="C122" s="49" t="s">
        <v>332</v>
      </c>
      <c r="D122" s="58">
        <v>0.5</v>
      </c>
      <c r="E122" s="58" t="s">
        <v>788</v>
      </c>
      <c r="F122" s="58" t="s">
        <v>642</v>
      </c>
      <c r="G122" s="58">
        <v>2021</v>
      </c>
      <c r="H122" s="58">
        <v>0</v>
      </c>
      <c r="I122" s="58">
        <v>7</v>
      </c>
      <c r="J122" s="58">
        <v>7</v>
      </c>
      <c r="K122" s="58">
        <v>5</v>
      </c>
      <c r="L122" s="58">
        <v>13</v>
      </c>
      <c r="M122" s="58">
        <v>7</v>
      </c>
      <c r="N122" s="58">
        <v>17</v>
      </c>
      <c r="O122" s="58">
        <v>3</v>
      </c>
      <c r="P122" s="58"/>
      <c r="Q122" s="58">
        <v>40</v>
      </c>
      <c r="R122" s="49" t="s">
        <v>2490</v>
      </c>
      <c r="S122" s="41"/>
      <c r="T122" s="41"/>
      <c r="U122" s="41"/>
      <c r="V122" s="41"/>
      <c r="W122" s="41"/>
    </row>
    <row r="123" spans="1:23" ht="19.5" customHeight="1" x14ac:dyDescent="0.25">
      <c r="A123" s="57" t="s">
        <v>333</v>
      </c>
      <c r="B123" s="57">
        <v>56</v>
      </c>
      <c r="C123" s="49" t="s">
        <v>334</v>
      </c>
      <c r="D123" s="58">
        <v>0.33333333333333331</v>
      </c>
      <c r="E123" s="58" t="s">
        <v>788</v>
      </c>
      <c r="F123" s="58" t="s">
        <v>642</v>
      </c>
      <c r="G123" s="58">
        <v>2021</v>
      </c>
      <c r="H123" s="58">
        <v>0</v>
      </c>
      <c r="I123" s="58">
        <v>1</v>
      </c>
      <c r="J123" s="58">
        <v>1</v>
      </c>
      <c r="K123" s="58">
        <v>1</v>
      </c>
      <c r="L123" s="58">
        <v>2</v>
      </c>
      <c r="M123" s="58">
        <v>1</v>
      </c>
      <c r="N123" s="58">
        <v>2</v>
      </c>
      <c r="O123" s="58">
        <v>0</v>
      </c>
      <c r="P123" s="58"/>
      <c r="Q123" s="58">
        <v>5</v>
      </c>
      <c r="R123" s="49" t="s">
        <v>2491</v>
      </c>
      <c r="S123" s="41"/>
      <c r="T123" s="41"/>
      <c r="U123" s="41"/>
      <c r="V123" s="41"/>
      <c r="W123" s="41"/>
    </row>
    <row r="124" spans="1:23" ht="19.5" customHeight="1" x14ac:dyDescent="0.25">
      <c r="A124" s="57" t="s">
        <v>335</v>
      </c>
      <c r="B124" s="57">
        <v>56</v>
      </c>
      <c r="C124" s="49" t="s">
        <v>336</v>
      </c>
      <c r="D124" s="58">
        <v>0.33333333333333331</v>
      </c>
      <c r="E124" s="58" t="s">
        <v>788</v>
      </c>
      <c r="F124" s="58" t="s">
        <v>642</v>
      </c>
      <c r="G124" s="58">
        <v>2021</v>
      </c>
      <c r="H124" s="58">
        <v>0</v>
      </c>
      <c r="I124" s="58">
        <v>0</v>
      </c>
      <c r="J124" s="58">
        <v>0</v>
      </c>
      <c r="K124" s="58">
        <v>0</v>
      </c>
      <c r="L124" s="58">
        <v>0</v>
      </c>
      <c r="M124" s="58">
        <v>0</v>
      </c>
      <c r="N124" s="58">
        <v>1</v>
      </c>
      <c r="O124" s="58">
        <v>0</v>
      </c>
      <c r="P124" s="58"/>
      <c r="Q124" s="58">
        <v>1</v>
      </c>
      <c r="R124" s="49" t="s">
        <v>2492</v>
      </c>
      <c r="S124" s="41"/>
      <c r="T124" s="41"/>
      <c r="U124" s="41"/>
      <c r="V124" s="41"/>
      <c r="W124" s="41"/>
    </row>
    <row r="125" spans="1:23" ht="19.5" customHeight="1" x14ac:dyDescent="0.25">
      <c r="A125" s="57" t="s">
        <v>337</v>
      </c>
      <c r="B125" s="57">
        <v>56</v>
      </c>
      <c r="C125" s="49" t="s">
        <v>338</v>
      </c>
      <c r="D125" s="58">
        <v>0.33333333333333331</v>
      </c>
      <c r="E125" s="58" t="s">
        <v>788</v>
      </c>
      <c r="F125" s="58" t="s">
        <v>642</v>
      </c>
      <c r="G125" s="58">
        <v>2021</v>
      </c>
      <c r="H125" s="58">
        <v>0</v>
      </c>
      <c r="I125" s="58">
        <v>0</v>
      </c>
      <c r="J125" s="58">
        <v>0</v>
      </c>
      <c r="K125" s="58">
        <v>0</v>
      </c>
      <c r="L125" s="58">
        <v>0</v>
      </c>
      <c r="M125" s="58">
        <v>0</v>
      </c>
      <c r="N125" s="58">
        <v>1</v>
      </c>
      <c r="O125" s="58">
        <v>0</v>
      </c>
      <c r="P125" s="58"/>
      <c r="Q125" s="58">
        <v>1</v>
      </c>
      <c r="R125" s="49" t="s">
        <v>2493</v>
      </c>
      <c r="S125" s="41"/>
      <c r="T125" s="41"/>
      <c r="U125" s="41"/>
      <c r="V125" s="41"/>
      <c r="W125" s="41"/>
    </row>
    <row r="126" spans="1:23" ht="19.5" customHeight="1" x14ac:dyDescent="0.25">
      <c r="A126" s="57" t="s">
        <v>339</v>
      </c>
      <c r="B126" s="57">
        <v>57</v>
      </c>
      <c r="C126" s="49" t="s">
        <v>340</v>
      </c>
      <c r="D126" s="58">
        <v>1</v>
      </c>
      <c r="E126" s="58" t="s">
        <v>788</v>
      </c>
      <c r="F126" s="58" t="s">
        <v>642</v>
      </c>
      <c r="G126" s="58">
        <v>2021</v>
      </c>
      <c r="H126" s="58">
        <v>0</v>
      </c>
      <c r="I126" s="58">
        <v>0</v>
      </c>
      <c r="J126" s="58">
        <v>0</v>
      </c>
      <c r="K126" s="58">
        <v>0</v>
      </c>
      <c r="L126" s="58">
        <v>0</v>
      </c>
      <c r="M126" s="58">
        <v>0</v>
      </c>
      <c r="N126" s="58">
        <v>0</v>
      </c>
      <c r="O126" s="58">
        <v>1</v>
      </c>
      <c r="P126" s="58"/>
      <c r="Q126" s="58">
        <v>1</v>
      </c>
      <c r="R126" s="49" t="s">
        <v>2494</v>
      </c>
      <c r="S126" s="41"/>
      <c r="T126" s="41"/>
      <c r="U126" s="41"/>
      <c r="V126" s="41"/>
      <c r="W126" s="41"/>
    </row>
    <row r="127" spans="1:23" ht="19.5" customHeight="1" x14ac:dyDescent="0.25">
      <c r="A127" s="57" t="s">
        <v>341</v>
      </c>
      <c r="B127" s="57">
        <v>58</v>
      </c>
      <c r="C127" s="49" t="s">
        <v>342</v>
      </c>
      <c r="D127" s="58">
        <v>0.5</v>
      </c>
      <c r="E127" s="58" t="s">
        <v>789</v>
      </c>
      <c r="F127" s="58" t="s">
        <v>790</v>
      </c>
      <c r="G127" s="58">
        <v>2021</v>
      </c>
      <c r="H127" s="58">
        <v>4</v>
      </c>
      <c r="I127" s="58">
        <v>1</v>
      </c>
      <c r="J127" s="58">
        <v>1</v>
      </c>
      <c r="K127" s="58">
        <v>0</v>
      </c>
      <c r="L127" s="58">
        <v>3</v>
      </c>
      <c r="M127" s="58">
        <v>0</v>
      </c>
      <c r="N127" s="58">
        <v>0</v>
      </c>
      <c r="O127" s="58">
        <v>0</v>
      </c>
      <c r="P127" s="58"/>
      <c r="Q127" s="58">
        <v>4</v>
      </c>
      <c r="R127" s="49" t="s">
        <v>2495</v>
      </c>
      <c r="S127" s="41"/>
      <c r="T127" s="41"/>
      <c r="U127" s="41"/>
      <c r="V127" s="41"/>
      <c r="W127" s="41"/>
    </row>
    <row r="128" spans="1:23" ht="19.5" customHeight="1" x14ac:dyDescent="0.25">
      <c r="A128" s="57" t="s">
        <v>343</v>
      </c>
      <c r="B128" s="57">
        <v>58</v>
      </c>
      <c r="C128" s="49" t="s">
        <v>344</v>
      </c>
      <c r="D128" s="58">
        <v>0.5</v>
      </c>
      <c r="E128" s="58" t="s">
        <v>649</v>
      </c>
      <c r="F128" s="58" t="s">
        <v>651</v>
      </c>
      <c r="G128" s="58">
        <v>2021</v>
      </c>
      <c r="H128" s="58">
        <v>2</v>
      </c>
      <c r="I128" s="58">
        <v>0</v>
      </c>
      <c r="J128" s="58">
        <v>0</v>
      </c>
      <c r="K128" s="58">
        <v>0</v>
      </c>
      <c r="L128" s="58">
        <v>1</v>
      </c>
      <c r="M128" s="58">
        <v>0</v>
      </c>
      <c r="N128" s="58">
        <v>0</v>
      </c>
      <c r="O128" s="58">
        <v>0</v>
      </c>
      <c r="P128" s="58"/>
      <c r="Q128" s="58">
        <v>1</v>
      </c>
      <c r="R128" s="49" t="s">
        <v>2496</v>
      </c>
      <c r="S128" s="41"/>
      <c r="T128" s="41"/>
      <c r="U128" s="41"/>
      <c r="V128" s="41"/>
      <c r="W128" s="41"/>
    </row>
    <row r="129" spans="1:23" ht="19.5" customHeight="1" x14ac:dyDescent="0.25">
      <c r="A129" s="57" t="s">
        <v>345</v>
      </c>
      <c r="B129" s="57">
        <v>59</v>
      </c>
      <c r="C129" s="49" t="s">
        <v>346</v>
      </c>
      <c r="D129" s="58">
        <v>0.33333333333333331</v>
      </c>
      <c r="E129" s="58" t="s">
        <v>654</v>
      </c>
      <c r="F129" s="58" t="s">
        <v>791</v>
      </c>
      <c r="G129" s="58">
        <v>2019</v>
      </c>
      <c r="H129" s="58">
        <v>10</v>
      </c>
      <c r="I129" s="58">
        <v>7</v>
      </c>
      <c r="J129" s="58">
        <v>0</v>
      </c>
      <c r="K129" s="58">
        <v>10</v>
      </c>
      <c r="L129" s="58">
        <v>10</v>
      </c>
      <c r="M129" s="58">
        <v>8</v>
      </c>
      <c r="N129" s="58">
        <v>9</v>
      </c>
      <c r="O129" s="58">
        <v>1</v>
      </c>
      <c r="P129" s="58"/>
      <c r="Q129" s="58">
        <v>38</v>
      </c>
      <c r="R129" s="49" t="s">
        <v>2497</v>
      </c>
      <c r="S129" s="41"/>
      <c r="T129" s="41"/>
      <c r="U129" s="41"/>
      <c r="V129" s="41"/>
      <c r="W129" s="41"/>
    </row>
    <row r="130" spans="1:23" ht="19.5" customHeight="1" x14ac:dyDescent="0.25">
      <c r="A130" s="57" t="s">
        <v>347</v>
      </c>
      <c r="B130" s="57">
        <v>59</v>
      </c>
      <c r="C130" s="49" t="s">
        <v>348</v>
      </c>
      <c r="D130" s="58">
        <v>0.33333333333333331</v>
      </c>
      <c r="E130" s="58" t="s">
        <v>654</v>
      </c>
      <c r="F130" s="58" t="s">
        <v>791</v>
      </c>
      <c r="G130" s="58">
        <v>2020</v>
      </c>
      <c r="H130" s="59">
        <v>0</v>
      </c>
      <c r="I130" s="61">
        <v>0.15000000596046448</v>
      </c>
      <c r="J130" s="59">
        <v>0</v>
      </c>
      <c r="K130" s="63">
        <v>0.25</v>
      </c>
      <c r="L130" s="63">
        <v>0.25</v>
      </c>
      <c r="M130" s="63">
        <v>0.30000001192092896</v>
      </c>
      <c r="N130" s="63">
        <v>0.15000000596046448</v>
      </c>
      <c r="O130" s="63">
        <v>5.000000074505806E-2</v>
      </c>
      <c r="P130" s="58"/>
      <c r="Q130" s="59">
        <v>1</v>
      </c>
      <c r="R130" s="49" t="s">
        <v>2498</v>
      </c>
      <c r="S130" s="41"/>
      <c r="T130" s="41"/>
      <c r="U130" s="41"/>
      <c r="V130" s="41"/>
      <c r="W130" s="41"/>
    </row>
    <row r="131" spans="1:23" ht="19.5" customHeight="1" x14ac:dyDescent="0.25">
      <c r="A131" s="57" t="s">
        <v>349</v>
      </c>
      <c r="B131" s="57">
        <v>59</v>
      </c>
      <c r="C131" s="49" t="s">
        <v>350</v>
      </c>
      <c r="D131" s="58">
        <v>0.33333333333333331</v>
      </c>
      <c r="E131" s="58" t="s">
        <v>654</v>
      </c>
      <c r="F131" s="58" t="s">
        <v>791</v>
      </c>
      <c r="G131" s="58">
        <v>2020</v>
      </c>
      <c r="H131" s="58">
        <v>10</v>
      </c>
      <c r="I131" s="58">
        <v>6</v>
      </c>
      <c r="J131" s="58">
        <v>3</v>
      </c>
      <c r="K131" s="58">
        <v>8</v>
      </c>
      <c r="L131" s="58">
        <v>8</v>
      </c>
      <c r="M131" s="58">
        <v>6</v>
      </c>
      <c r="N131" s="58">
        <v>6</v>
      </c>
      <c r="O131" s="58">
        <v>4</v>
      </c>
      <c r="P131" s="58"/>
      <c r="Q131" s="58">
        <v>35</v>
      </c>
      <c r="R131" s="49" t="s">
        <v>2499</v>
      </c>
      <c r="S131" s="41"/>
      <c r="T131" s="41"/>
      <c r="U131" s="41"/>
      <c r="V131" s="41"/>
      <c r="W131" s="41"/>
    </row>
    <row r="132" spans="1:23" ht="19.5" customHeight="1" x14ac:dyDescent="0.25">
      <c r="A132" s="57" t="s">
        <v>351</v>
      </c>
      <c r="B132" s="57">
        <v>60</v>
      </c>
      <c r="C132" s="49" t="s">
        <v>352</v>
      </c>
      <c r="D132" s="58">
        <v>0.33333333333333331</v>
      </c>
      <c r="E132" s="58" t="s">
        <v>792</v>
      </c>
      <c r="F132" s="58" t="s">
        <v>793</v>
      </c>
      <c r="G132" s="58">
        <v>2020</v>
      </c>
      <c r="H132" s="58">
        <v>13</v>
      </c>
      <c r="I132" s="58">
        <v>10</v>
      </c>
      <c r="J132" s="58">
        <v>10</v>
      </c>
      <c r="K132" s="58">
        <v>10</v>
      </c>
      <c r="L132" s="58">
        <v>20</v>
      </c>
      <c r="M132" s="58">
        <v>10</v>
      </c>
      <c r="N132" s="58">
        <v>20</v>
      </c>
      <c r="O132" s="58">
        <v>5</v>
      </c>
      <c r="P132" s="58"/>
      <c r="Q132" s="58">
        <v>55</v>
      </c>
      <c r="R132" s="49" t="s">
        <v>2500</v>
      </c>
      <c r="S132" s="41"/>
      <c r="T132" s="41"/>
      <c r="U132" s="41"/>
      <c r="V132" s="41"/>
      <c r="W132" s="41"/>
    </row>
    <row r="133" spans="1:23" ht="19.5" customHeight="1" x14ac:dyDescent="0.25">
      <c r="A133" s="57" t="s">
        <v>353</v>
      </c>
      <c r="B133" s="57">
        <v>60</v>
      </c>
      <c r="C133" s="49" t="s">
        <v>354</v>
      </c>
      <c r="D133" s="58">
        <v>0.33333333333333331</v>
      </c>
      <c r="E133" s="58" t="s">
        <v>792</v>
      </c>
      <c r="F133" s="58" t="s">
        <v>793</v>
      </c>
      <c r="G133" s="58">
        <v>2020</v>
      </c>
      <c r="H133" s="58">
        <v>2</v>
      </c>
      <c r="I133" s="58">
        <v>1</v>
      </c>
      <c r="J133" s="58">
        <v>1</v>
      </c>
      <c r="K133" s="58">
        <v>4</v>
      </c>
      <c r="L133" s="58">
        <v>9</v>
      </c>
      <c r="M133" s="58">
        <v>5</v>
      </c>
      <c r="N133" s="58">
        <v>9</v>
      </c>
      <c r="O133" s="58">
        <v>0</v>
      </c>
      <c r="P133" s="58"/>
      <c r="Q133" s="58">
        <v>19</v>
      </c>
      <c r="R133" s="49" t="s">
        <v>2501</v>
      </c>
      <c r="S133" s="41"/>
      <c r="T133" s="41"/>
      <c r="U133" s="41"/>
      <c r="V133" s="41"/>
      <c r="W133" s="41"/>
    </row>
    <row r="134" spans="1:23" ht="19.5" customHeight="1" x14ac:dyDescent="0.25">
      <c r="A134" s="57" t="s">
        <v>355</v>
      </c>
      <c r="B134" s="57">
        <v>60</v>
      </c>
      <c r="C134" s="49" t="s">
        <v>356</v>
      </c>
      <c r="D134" s="58">
        <v>0.33333333333333331</v>
      </c>
      <c r="E134" s="58" t="s">
        <v>792</v>
      </c>
      <c r="F134" s="58" t="s">
        <v>793</v>
      </c>
      <c r="G134" s="58">
        <v>2020</v>
      </c>
      <c r="H134" s="58">
        <v>8</v>
      </c>
      <c r="I134" s="58">
        <v>0</v>
      </c>
      <c r="J134" s="58">
        <v>0</v>
      </c>
      <c r="K134" s="58">
        <v>2</v>
      </c>
      <c r="L134" s="58">
        <v>6</v>
      </c>
      <c r="M134" s="58">
        <v>2</v>
      </c>
      <c r="N134" s="58">
        <v>3</v>
      </c>
      <c r="O134" s="58">
        <v>0</v>
      </c>
      <c r="P134" s="58"/>
      <c r="Q134" s="58">
        <v>9</v>
      </c>
      <c r="R134" s="49" t="s">
        <v>2502</v>
      </c>
      <c r="S134" s="41"/>
      <c r="T134" s="41"/>
      <c r="U134" s="41"/>
      <c r="V134" s="41"/>
      <c r="W134" s="41"/>
    </row>
    <row r="135" spans="1:23" ht="19.5" customHeight="1" x14ac:dyDescent="0.25">
      <c r="A135" s="57" t="s">
        <v>357</v>
      </c>
      <c r="B135" s="57">
        <v>61</v>
      </c>
      <c r="C135" s="49" t="s">
        <v>358</v>
      </c>
      <c r="D135" s="58">
        <v>0.25</v>
      </c>
      <c r="E135" s="58" t="s">
        <v>663</v>
      </c>
      <c r="F135" s="58" t="s">
        <v>665</v>
      </c>
      <c r="G135" s="58">
        <v>2020</v>
      </c>
      <c r="H135" s="58">
        <v>638</v>
      </c>
      <c r="I135" s="58">
        <v>350</v>
      </c>
      <c r="J135" s="58">
        <v>350</v>
      </c>
      <c r="K135" s="58">
        <v>350</v>
      </c>
      <c r="L135" s="58">
        <v>700</v>
      </c>
      <c r="M135" s="58">
        <v>500</v>
      </c>
      <c r="N135" s="58">
        <v>1000</v>
      </c>
      <c r="O135" s="58">
        <v>200</v>
      </c>
      <c r="P135" s="58"/>
      <c r="Q135" s="58">
        <v>2250</v>
      </c>
      <c r="R135" s="49" t="s">
        <v>2503</v>
      </c>
      <c r="S135" s="41"/>
      <c r="T135" s="41"/>
      <c r="U135" s="41"/>
      <c r="V135" s="41"/>
      <c r="W135" s="41"/>
    </row>
    <row r="136" spans="1:23" ht="19.5" customHeight="1" x14ac:dyDescent="0.25">
      <c r="A136" s="57" t="s">
        <v>359</v>
      </c>
      <c r="B136" s="57">
        <v>61</v>
      </c>
      <c r="C136" s="49" t="s">
        <v>360</v>
      </c>
      <c r="D136" s="58">
        <v>0.25</v>
      </c>
      <c r="E136" s="58" t="s">
        <v>663</v>
      </c>
      <c r="F136" s="58" t="s">
        <v>665</v>
      </c>
      <c r="G136" s="58">
        <v>2020</v>
      </c>
      <c r="H136" s="58">
        <v>329</v>
      </c>
      <c r="I136" s="58">
        <v>300</v>
      </c>
      <c r="J136" s="58">
        <v>300</v>
      </c>
      <c r="K136" s="58">
        <v>250</v>
      </c>
      <c r="L136" s="58">
        <v>500</v>
      </c>
      <c r="M136" s="58">
        <v>250</v>
      </c>
      <c r="N136" s="58">
        <v>500</v>
      </c>
      <c r="O136" s="58">
        <v>100</v>
      </c>
      <c r="P136" s="58"/>
      <c r="Q136" s="58">
        <v>1400</v>
      </c>
      <c r="R136" s="49" t="s">
        <v>2504</v>
      </c>
      <c r="S136" s="41"/>
      <c r="T136" s="41"/>
      <c r="U136" s="41"/>
      <c r="V136" s="41"/>
      <c r="W136" s="41"/>
    </row>
    <row r="137" spans="1:23" ht="19.5" customHeight="1" x14ac:dyDescent="0.25">
      <c r="A137" s="57" t="s">
        <v>361</v>
      </c>
      <c r="B137" s="57">
        <v>61</v>
      </c>
      <c r="C137" s="49" t="s">
        <v>362</v>
      </c>
      <c r="D137" s="58">
        <v>0.25</v>
      </c>
      <c r="E137" s="58" t="s">
        <v>663</v>
      </c>
      <c r="F137" s="58" t="s">
        <v>665</v>
      </c>
      <c r="G137" s="58">
        <v>2020</v>
      </c>
      <c r="H137" s="58">
        <v>19979</v>
      </c>
      <c r="I137" s="58">
        <v>20000</v>
      </c>
      <c r="J137" s="58">
        <v>20000</v>
      </c>
      <c r="K137" s="58">
        <v>12000</v>
      </c>
      <c r="L137" s="58">
        <v>25000</v>
      </c>
      <c r="M137" s="58">
        <v>12000</v>
      </c>
      <c r="N137" s="58">
        <v>25000</v>
      </c>
      <c r="O137" s="58">
        <v>5000</v>
      </c>
      <c r="P137" s="58"/>
      <c r="Q137" s="58">
        <v>75000</v>
      </c>
      <c r="R137" s="49" t="s">
        <v>2505</v>
      </c>
      <c r="S137" s="41"/>
      <c r="T137" s="41"/>
      <c r="U137" s="41"/>
      <c r="V137" s="41"/>
      <c r="W137" s="41"/>
    </row>
    <row r="138" spans="1:23" ht="19.5" customHeight="1" x14ac:dyDescent="0.25">
      <c r="A138" s="57" t="s">
        <v>363</v>
      </c>
      <c r="B138" s="57">
        <v>61</v>
      </c>
      <c r="C138" s="49" t="s">
        <v>364</v>
      </c>
      <c r="D138" s="58">
        <v>0.25</v>
      </c>
      <c r="E138" s="58" t="s">
        <v>663</v>
      </c>
      <c r="F138" s="58" t="s">
        <v>665</v>
      </c>
      <c r="G138" s="58">
        <v>2020</v>
      </c>
      <c r="H138" s="58">
        <v>0</v>
      </c>
      <c r="I138" s="58">
        <v>0</v>
      </c>
      <c r="J138" s="58">
        <v>0</v>
      </c>
      <c r="K138" s="58">
        <v>0</v>
      </c>
      <c r="L138" s="58">
        <v>1</v>
      </c>
      <c r="M138" s="58">
        <v>0</v>
      </c>
      <c r="N138" s="58">
        <v>3</v>
      </c>
      <c r="O138" s="58">
        <v>0</v>
      </c>
      <c r="P138" s="58"/>
      <c r="Q138" s="58">
        <v>4</v>
      </c>
      <c r="R138" s="49" t="s">
        <v>2506</v>
      </c>
      <c r="S138" s="41"/>
      <c r="T138" s="41"/>
      <c r="U138" s="41"/>
      <c r="V138" s="41"/>
      <c r="W138" s="41"/>
    </row>
    <row r="139" spans="1:23" ht="19.5" customHeight="1" x14ac:dyDescent="0.25">
      <c r="A139" s="57" t="s">
        <v>365</v>
      </c>
      <c r="B139" s="57">
        <v>62</v>
      </c>
      <c r="C139" s="49" t="s">
        <v>366</v>
      </c>
      <c r="D139" s="58">
        <v>0.33333333333333331</v>
      </c>
      <c r="E139" s="58" t="s">
        <v>668</v>
      </c>
      <c r="F139" s="58">
        <v>2195322</v>
      </c>
      <c r="G139" s="58">
        <v>2021</v>
      </c>
      <c r="H139" s="59">
        <v>0</v>
      </c>
      <c r="I139" s="59">
        <v>0</v>
      </c>
      <c r="J139" s="59">
        <v>0</v>
      </c>
      <c r="K139" s="59">
        <v>0.2</v>
      </c>
      <c r="L139" s="59">
        <v>0.6</v>
      </c>
      <c r="M139" s="59">
        <v>0.4</v>
      </c>
      <c r="N139" s="59">
        <v>0.4</v>
      </c>
      <c r="O139" s="59">
        <v>0</v>
      </c>
      <c r="P139" s="58"/>
      <c r="Q139" s="59">
        <v>1</v>
      </c>
      <c r="R139" s="49" t="s">
        <v>2507</v>
      </c>
      <c r="S139" s="41"/>
      <c r="T139" s="41"/>
      <c r="U139" s="41"/>
      <c r="V139" s="41"/>
      <c r="W139" s="41"/>
    </row>
    <row r="140" spans="1:23" ht="19.5" customHeight="1" x14ac:dyDescent="0.25">
      <c r="A140" s="57" t="s">
        <v>367</v>
      </c>
      <c r="B140" s="57">
        <v>62</v>
      </c>
      <c r="C140" s="49" t="s">
        <v>368</v>
      </c>
      <c r="D140" s="58">
        <v>0.33333333333333331</v>
      </c>
      <c r="E140" s="58" t="s">
        <v>668</v>
      </c>
      <c r="F140" s="58">
        <v>2195322</v>
      </c>
      <c r="G140" s="58">
        <v>2021</v>
      </c>
      <c r="H140" s="59">
        <v>0</v>
      </c>
      <c r="I140" s="59">
        <v>0</v>
      </c>
      <c r="J140" s="59">
        <v>0</v>
      </c>
      <c r="K140" s="59">
        <v>0.2</v>
      </c>
      <c r="L140" s="59">
        <v>0.6</v>
      </c>
      <c r="M140" s="59">
        <v>0.4</v>
      </c>
      <c r="N140" s="59">
        <v>0.4</v>
      </c>
      <c r="O140" s="59">
        <v>0</v>
      </c>
      <c r="P140" s="58"/>
      <c r="Q140" s="59">
        <v>1</v>
      </c>
      <c r="R140" s="49" t="s">
        <v>2508</v>
      </c>
      <c r="S140" s="41"/>
      <c r="T140" s="41"/>
      <c r="U140" s="41"/>
      <c r="V140" s="41"/>
      <c r="W140" s="41"/>
    </row>
    <row r="141" spans="1:23" ht="19.5" customHeight="1" x14ac:dyDescent="0.25">
      <c r="A141" s="57" t="s">
        <v>369</v>
      </c>
      <c r="B141" s="57">
        <v>62</v>
      </c>
      <c r="C141" s="49" t="s">
        <v>370</v>
      </c>
      <c r="D141" s="58">
        <v>0.33333333333333331</v>
      </c>
      <c r="E141" s="58" t="s">
        <v>668</v>
      </c>
      <c r="F141" s="58">
        <v>2195322</v>
      </c>
      <c r="G141" s="58">
        <v>2021</v>
      </c>
      <c r="H141" s="59">
        <v>0</v>
      </c>
      <c r="I141" s="59">
        <v>0</v>
      </c>
      <c r="J141" s="59">
        <v>0</v>
      </c>
      <c r="K141" s="59">
        <v>0.3</v>
      </c>
      <c r="L141" s="59">
        <v>0.6</v>
      </c>
      <c r="M141" s="59">
        <v>0.4</v>
      </c>
      <c r="N141" s="59">
        <v>0.4</v>
      </c>
      <c r="O141" s="59">
        <v>0</v>
      </c>
      <c r="P141" s="58"/>
      <c r="Q141" s="59">
        <v>1</v>
      </c>
      <c r="R141" s="49" t="s">
        <v>2509</v>
      </c>
      <c r="S141" s="41"/>
      <c r="T141" s="41"/>
      <c r="U141" s="41"/>
      <c r="V141" s="41"/>
      <c r="W141" s="41"/>
    </row>
    <row r="142" spans="1:23" ht="19.5" customHeight="1" x14ac:dyDescent="0.25">
      <c r="A142" s="57" t="s">
        <v>371</v>
      </c>
      <c r="B142" s="57">
        <v>65</v>
      </c>
      <c r="C142" s="49" t="s">
        <v>372</v>
      </c>
      <c r="D142" s="58">
        <v>0.5</v>
      </c>
      <c r="E142" s="58" t="s">
        <v>673</v>
      </c>
      <c r="F142" s="58" t="s">
        <v>675</v>
      </c>
      <c r="G142" s="58">
        <v>2021</v>
      </c>
      <c r="H142" s="59">
        <v>0</v>
      </c>
      <c r="I142" s="59">
        <v>0.10000000149011612</v>
      </c>
      <c r="J142" s="59">
        <v>0.10000000149011612</v>
      </c>
      <c r="K142" s="59">
        <v>0.10000000149011612</v>
      </c>
      <c r="L142" s="59">
        <v>0.30000001192092896</v>
      </c>
      <c r="M142" s="59">
        <v>0.10000000149011612</v>
      </c>
      <c r="N142" s="59">
        <v>0.30000001192092896</v>
      </c>
      <c r="O142" s="59">
        <v>0.10000000149011612</v>
      </c>
      <c r="P142" s="58"/>
      <c r="Q142" s="59">
        <v>1</v>
      </c>
      <c r="R142" s="49" t="s">
        <v>2510</v>
      </c>
      <c r="S142" s="41"/>
      <c r="T142" s="41"/>
      <c r="U142" s="41"/>
      <c r="V142" s="41"/>
      <c r="W142" s="41"/>
    </row>
    <row r="143" spans="1:23" ht="19.5" customHeight="1" x14ac:dyDescent="0.25">
      <c r="A143" s="57" t="s">
        <v>373</v>
      </c>
      <c r="B143" s="57">
        <v>65</v>
      </c>
      <c r="C143" s="49" t="s">
        <v>374</v>
      </c>
      <c r="D143" s="58">
        <v>0.5</v>
      </c>
      <c r="E143" s="58" t="s">
        <v>673</v>
      </c>
      <c r="F143" s="58" t="s">
        <v>675</v>
      </c>
      <c r="G143" s="58">
        <v>2021</v>
      </c>
      <c r="H143" s="59">
        <v>0</v>
      </c>
      <c r="I143" s="59">
        <v>0.30000001192092896</v>
      </c>
      <c r="J143" s="59">
        <v>0.30000001192092896</v>
      </c>
      <c r="K143" s="59">
        <v>0.10000000149011612</v>
      </c>
      <c r="L143" s="59">
        <v>0.20000000298023224</v>
      </c>
      <c r="M143" s="59">
        <v>0.10000000149011612</v>
      </c>
      <c r="N143" s="59">
        <v>0.20000000298023224</v>
      </c>
      <c r="O143" s="59">
        <v>0.10000000149011612</v>
      </c>
      <c r="P143" s="58"/>
      <c r="Q143" s="59">
        <v>1</v>
      </c>
      <c r="R143" s="49" t="s">
        <v>2511</v>
      </c>
      <c r="S143" s="41"/>
      <c r="T143" s="41"/>
      <c r="U143" s="41"/>
      <c r="V143" s="41"/>
      <c r="W143" s="41"/>
    </row>
    <row r="144" spans="1:23" ht="19.5" customHeight="1" x14ac:dyDescent="0.25">
      <c r="A144" s="57" t="s">
        <v>375</v>
      </c>
      <c r="B144" s="57">
        <v>66</v>
      </c>
      <c r="C144" s="49" t="s">
        <v>376</v>
      </c>
      <c r="D144" s="58">
        <v>0.5</v>
      </c>
      <c r="E144" s="58" t="s">
        <v>673</v>
      </c>
      <c r="F144" s="58" t="s">
        <v>675</v>
      </c>
      <c r="G144" s="58">
        <v>2020</v>
      </c>
      <c r="H144" s="59">
        <v>0.05</v>
      </c>
      <c r="I144" s="59">
        <v>0.10000000149011612</v>
      </c>
      <c r="J144" s="59">
        <v>0.10000000149011612</v>
      </c>
      <c r="K144" s="59">
        <v>0.10000000149011612</v>
      </c>
      <c r="L144" s="59">
        <v>0.4</v>
      </c>
      <c r="M144" s="59">
        <v>0.20000000298023224</v>
      </c>
      <c r="N144" s="59">
        <v>0.4</v>
      </c>
      <c r="O144" s="59">
        <v>0.10000000149011612</v>
      </c>
      <c r="P144" s="58"/>
      <c r="Q144" s="59">
        <v>1</v>
      </c>
      <c r="R144" s="49" t="s">
        <v>2512</v>
      </c>
      <c r="S144" s="41"/>
      <c r="T144" s="41"/>
      <c r="U144" s="41"/>
      <c r="V144" s="41"/>
      <c r="W144" s="41"/>
    </row>
    <row r="145" spans="1:23" ht="19.5" customHeight="1" x14ac:dyDescent="0.25">
      <c r="A145" s="57" t="s">
        <v>377</v>
      </c>
      <c r="B145" s="57">
        <v>66</v>
      </c>
      <c r="C145" s="49" t="s">
        <v>378</v>
      </c>
      <c r="D145" s="58">
        <v>0.5</v>
      </c>
      <c r="E145" s="58" t="s">
        <v>673</v>
      </c>
      <c r="F145" s="58" t="s">
        <v>675</v>
      </c>
      <c r="G145" s="58">
        <v>2020</v>
      </c>
      <c r="H145" s="58">
        <v>0</v>
      </c>
      <c r="I145" s="59">
        <v>0.10000000149011612</v>
      </c>
      <c r="J145" s="59">
        <v>0.10000000149011612</v>
      </c>
      <c r="K145" s="59">
        <v>0.10000000149011612</v>
      </c>
      <c r="L145" s="59">
        <v>0.4</v>
      </c>
      <c r="M145" s="59">
        <v>0.20000000298023224</v>
      </c>
      <c r="N145" s="59">
        <v>0.4</v>
      </c>
      <c r="O145" s="59">
        <v>0.10000000149011612</v>
      </c>
      <c r="P145" s="58"/>
      <c r="Q145" s="59">
        <v>1</v>
      </c>
      <c r="R145" s="49" t="s">
        <v>2513</v>
      </c>
      <c r="S145" s="41"/>
      <c r="T145" s="41"/>
      <c r="U145" s="41"/>
      <c r="V145" s="41"/>
      <c r="W145" s="41"/>
    </row>
    <row r="146" spans="1:23" ht="19.5" customHeight="1" x14ac:dyDescent="0.25">
      <c r="A146" s="57" t="s">
        <v>54</v>
      </c>
      <c r="B146" s="57">
        <v>3</v>
      </c>
      <c r="C146" s="49" t="s">
        <v>55</v>
      </c>
      <c r="D146" s="58">
        <v>0.25</v>
      </c>
      <c r="E146" s="58" t="s">
        <v>427</v>
      </c>
      <c r="F146" s="58" t="s">
        <v>429</v>
      </c>
      <c r="G146" s="58">
        <v>2020</v>
      </c>
      <c r="H146" s="59">
        <v>0</v>
      </c>
      <c r="I146" s="59">
        <v>0</v>
      </c>
      <c r="J146" s="59">
        <v>0</v>
      </c>
      <c r="K146" s="59">
        <v>0.21500000357627869</v>
      </c>
      <c r="L146" s="59">
        <v>0.43</v>
      </c>
      <c r="M146" s="59">
        <v>0.21500000357627869</v>
      </c>
      <c r="N146" s="59">
        <v>0.43</v>
      </c>
      <c r="O146" s="59">
        <v>0.14000000059604645</v>
      </c>
      <c r="P146" s="58"/>
      <c r="Q146" s="59">
        <v>1</v>
      </c>
      <c r="R146" s="49" t="s">
        <v>2355</v>
      </c>
      <c r="S146" s="41"/>
      <c r="T146" s="41"/>
      <c r="U146" s="41"/>
      <c r="V146" s="41"/>
      <c r="W146" s="41"/>
    </row>
    <row r="147" spans="1:23" ht="19.5" customHeight="1" x14ac:dyDescent="0.25">
      <c r="A147" s="57" t="s">
        <v>56</v>
      </c>
      <c r="B147" s="57">
        <v>3</v>
      </c>
      <c r="C147" s="49" t="s">
        <v>57</v>
      </c>
      <c r="D147" s="58">
        <v>0.25</v>
      </c>
      <c r="E147" s="58" t="s">
        <v>427</v>
      </c>
      <c r="F147" s="58" t="s">
        <v>429</v>
      </c>
      <c r="G147" s="58">
        <v>2020</v>
      </c>
      <c r="H147" s="59">
        <v>0</v>
      </c>
      <c r="I147" s="59">
        <v>0</v>
      </c>
      <c r="J147" s="59">
        <v>0</v>
      </c>
      <c r="K147" s="59">
        <v>0.21500000357627869</v>
      </c>
      <c r="L147" s="59">
        <v>0.43</v>
      </c>
      <c r="M147" s="59">
        <v>0.21500000357627869</v>
      </c>
      <c r="N147" s="59">
        <v>0.43</v>
      </c>
      <c r="O147" s="59">
        <v>0.14000000059604645</v>
      </c>
      <c r="P147" s="58"/>
      <c r="Q147" s="59">
        <v>1</v>
      </c>
      <c r="R147" s="49" t="s">
        <v>2356</v>
      </c>
      <c r="S147" s="41"/>
      <c r="T147" s="41"/>
      <c r="U147" s="41"/>
      <c r="V147" s="41"/>
      <c r="W147" s="41"/>
    </row>
    <row r="148" spans="1:23" ht="19.5" customHeight="1" x14ac:dyDescent="0.25">
      <c r="A148" s="57" t="s">
        <v>58</v>
      </c>
      <c r="B148" s="57">
        <v>3</v>
      </c>
      <c r="C148" s="49" t="s">
        <v>59</v>
      </c>
      <c r="D148" s="58">
        <v>0.25</v>
      </c>
      <c r="E148" s="58" t="s">
        <v>427</v>
      </c>
      <c r="F148" s="58" t="s">
        <v>429</v>
      </c>
      <c r="G148" s="58">
        <v>2020</v>
      </c>
      <c r="H148" s="58">
        <v>100</v>
      </c>
      <c r="I148" s="58">
        <v>60</v>
      </c>
      <c r="J148" s="58">
        <v>60</v>
      </c>
      <c r="K148" s="58">
        <v>30</v>
      </c>
      <c r="L148" s="58">
        <v>60</v>
      </c>
      <c r="M148" s="58">
        <v>30</v>
      </c>
      <c r="N148" s="58">
        <v>60</v>
      </c>
      <c r="O148" s="58">
        <v>20</v>
      </c>
      <c r="P148" s="58"/>
      <c r="Q148" s="58">
        <v>200</v>
      </c>
      <c r="R148" s="49" t="s">
        <v>2357</v>
      </c>
      <c r="S148" s="41"/>
      <c r="T148" s="41"/>
      <c r="U148" s="41"/>
      <c r="V148" s="41"/>
      <c r="W148" s="41"/>
    </row>
    <row r="149" spans="1:23" ht="19.5" customHeight="1" x14ac:dyDescent="0.25">
      <c r="A149" s="57" t="s">
        <v>60</v>
      </c>
      <c r="B149" s="57">
        <v>3</v>
      </c>
      <c r="C149" s="49" t="s">
        <v>61</v>
      </c>
      <c r="D149" s="58">
        <v>0.25</v>
      </c>
      <c r="E149" s="58" t="s">
        <v>427</v>
      </c>
      <c r="F149" s="58" t="s">
        <v>429</v>
      </c>
      <c r="G149" s="58">
        <v>2020</v>
      </c>
      <c r="H149" s="58">
        <v>0</v>
      </c>
      <c r="I149" s="58">
        <v>2</v>
      </c>
      <c r="J149" s="58">
        <v>2</v>
      </c>
      <c r="K149" s="58">
        <v>2</v>
      </c>
      <c r="L149" s="58">
        <v>3</v>
      </c>
      <c r="M149" s="58">
        <v>3</v>
      </c>
      <c r="N149" s="58">
        <v>4</v>
      </c>
      <c r="O149" s="58">
        <v>5</v>
      </c>
      <c r="P149" s="58"/>
      <c r="Q149" s="58">
        <v>14</v>
      </c>
      <c r="R149" s="49" t="s">
        <v>2358</v>
      </c>
      <c r="S149" s="41"/>
      <c r="T149" s="41"/>
      <c r="U149" s="41"/>
      <c r="V149" s="41"/>
      <c r="W149" s="41"/>
    </row>
    <row r="150" spans="1:23" ht="19.5" customHeight="1" x14ac:dyDescent="0.25">
      <c r="A150" s="57" t="s">
        <v>152</v>
      </c>
      <c r="B150" s="57">
        <v>21</v>
      </c>
      <c r="C150" s="49" t="s">
        <v>153</v>
      </c>
      <c r="D150" s="58">
        <v>0.33333333333333331</v>
      </c>
      <c r="E150" s="58" t="s">
        <v>794</v>
      </c>
      <c r="F150" s="58" t="s">
        <v>795</v>
      </c>
      <c r="G150" s="58">
        <v>2020</v>
      </c>
      <c r="H150" s="58">
        <v>0</v>
      </c>
      <c r="I150" s="58">
        <v>0</v>
      </c>
      <c r="J150" s="58">
        <v>0</v>
      </c>
      <c r="K150" s="58">
        <v>0</v>
      </c>
      <c r="L150" s="58">
        <v>3</v>
      </c>
      <c r="M150" s="58">
        <v>0</v>
      </c>
      <c r="N150" s="58">
        <v>4</v>
      </c>
      <c r="O150" s="58">
        <v>0</v>
      </c>
      <c r="P150" s="58"/>
      <c r="Q150" s="58">
        <v>7</v>
      </c>
      <c r="R150" s="49" t="s">
        <v>2401</v>
      </c>
      <c r="S150" s="41"/>
      <c r="T150" s="41"/>
      <c r="U150" s="41"/>
      <c r="V150" s="41"/>
      <c r="W150" s="41"/>
    </row>
    <row r="151" spans="1:23" ht="19.5" customHeight="1" x14ac:dyDescent="0.25">
      <c r="A151" s="57" t="s">
        <v>154</v>
      </c>
      <c r="B151" s="57">
        <v>21</v>
      </c>
      <c r="C151" s="49" t="s">
        <v>155</v>
      </c>
      <c r="D151" s="58">
        <v>0.33333333333333331</v>
      </c>
      <c r="E151" s="58" t="s">
        <v>794</v>
      </c>
      <c r="F151" s="58" t="s">
        <v>795</v>
      </c>
      <c r="G151" s="58">
        <v>2021</v>
      </c>
      <c r="H151" s="58">
        <v>2</v>
      </c>
      <c r="I151" s="58">
        <v>0</v>
      </c>
      <c r="J151" s="58">
        <v>0</v>
      </c>
      <c r="K151" s="58">
        <v>0</v>
      </c>
      <c r="L151" s="58">
        <v>7</v>
      </c>
      <c r="M151" s="58">
        <v>0</v>
      </c>
      <c r="N151" s="58">
        <v>0</v>
      </c>
      <c r="O151" s="58">
        <v>0</v>
      </c>
      <c r="P151" s="58"/>
      <c r="Q151" s="58">
        <v>7</v>
      </c>
      <c r="R151" s="49" t="s">
        <v>2402</v>
      </c>
      <c r="S151" s="41"/>
      <c r="T151" s="41"/>
      <c r="U151" s="41"/>
      <c r="V151" s="41"/>
      <c r="W151" s="41"/>
    </row>
    <row r="152" spans="1:23" ht="19.5" customHeight="1" x14ac:dyDescent="0.25">
      <c r="A152" s="57" t="s">
        <v>156</v>
      </c>
      <c r="B152" s="57">
        <v>21</v>
      </c>
      <c r="C152" s="49" t="s">
        <v>157</v>
      </c>
      <c r="D152" s="58">
        <v>0.33333333333333331</v>
      </c>
      <c r="E152" s="58" t="s">
        <v>794</v>
      </c>
      <c r="F152" s="58" t="s">
        <v>795</v>
      </c>
      <c r="G152" s="58">
        <v>2020</v>
      </c>
      <c r="H152" s="58">
        <v>0</v>
      </c>
      <c r="I152" s="58">
        <v>4000</v>
      </c>
      <c r="J152" s="58">
        <v>4000</v>
      </c>
      <c r="K152" s="58">
        <v>1500</v>
      </c>
      <c r="L152" s="58">
        <v>3000</v>
      </c>
      <c r="M152" s="58">
        <v>1500</v>
      </c>
      <c r="N152" s="58">
        <v>3000</v>
      </c>
      <c r="O152" s="58">
        <v>0</v>
      </c>
      <c r="P152" s="58"/>
      <c r="Q152" s="58">
        <v>10000</v>
      </c>
      <c r="R152" s="49" t="s">
        <v>2403</v>
      </c>
      <c r="S152" s="41"/>
      <c r="T152" s="41"/>
      <c r="U152" s="41"/>
      <c r="V152" s="41"/>
      <c r="W152" s="41"/>
    </row>
    <row r="153" spans="1:23" ht="19.5" customHeight="1" x14ac:dyDescent="0.25">
      <c r="A153" s="57" t="s">
        <v>158</v>
      </c>
      <c r="B153" s="57">
        <v>22</v>
      </c>
      <c r="C153" s="49" t="s">
        <v>159</v>
      </c>
      <c r="D153" s="58">
        <v>0.33333333333333331</v>
      </c>
      <c r="E153" s="58" t="s">
        <v>796</v>
      </c>
      <c r="F153" s="58" t="s">
        <v>797</v>
      </c>
      <c r="G153" s="58">
        <v>2021</v>
      </c>
      <c r="H153" s="59">
        <v>0</v>
      </c>
      <c r="I153" s="59">
        <v>0.1</v>
      </c>
      <c r="J153" s="59">
        <v>0.1</v>
      </c>
      <c r="K153" s="59">
        <v>0.2</v>
      </c>
      <c r="L153" s="59">
        <v>0.45</v>
      </c>
      <c r="M153" s="59">
        <v>0.45</v>
      </c>
      <c r="N153" s="59">
        <v>0.85</v>
      </c>
      <c r="O153" s="59">
        <v>1</v>
      </c>
      <c r="P153" s="58"/>
      <c r="Q153" s="59">
        <v>1</v>
      </c>
      <c r="R153" s="49" t="s">
        <v>2404</v>
      </c>
      <c r="S153" s="41"/>
      <c r="T153" s="41"/>
      <c r="U153" s="41"/>
      <c r="V153" s="41"/>
      <c r="W153" s="41"/>
    </row>
    <row r="154" spans="1:23" ht="19.5" customHeight="1" x14ac:dyDescent="0.25">
      <c r="A154" s="57" t="s">
        <v>160</v>
      </c>
      <c r="B154" s="57">
        <v>22</v>
      </c>
      <c r="C154" s="49" t="s">
        <v>161</v>
      </c>
      <c r="D154" s="58">
        <v>0.33333333333333331</v>
      </c>
      <c r="E154" s="58" t="s">
        <v>796</v>
      </c>
      <c r="F154" s="58" t="s">
        <v>797</v>
      </c>
      <c r="G154" s="58">
        <v>2021</v>
      </c>
      <c r="H154" s="58">
        <v>10</v>
      </c>
      <c r="I154" s="58">
        <v>15</v>
      </c>
      <c r="J154" s="58">
        <v>15</v>
      </c>
      <c r="K154" s="58">
        <v>7</v>
      </c>
      <c r="L154" s="58">
        <v>15</v>
      </c>
      <c r="M154" s="58">
        <v>7</v>
      </c>
      <c r="N154" s="58">
        <v>15</v>
      </c>
      <c r="O154" s="58">
        <v>15</v>
      </c>
      <c r="P154" s="58"/>
      <c r="Q154" s="58">
        <v>15</v>
      </c>
      <c r="R154" s="49" t="s">
        <v>2405</v>
      </c>
      <c r="S154" s="41"/>
      <c r="T154" s="41"/>
      <c r="U154" s="41"/>
      <c r="V154" s="41"/>
      <c r="W154" s="41"/>
    </row>
    <row r="155" spans="1:23" ht="19.5" customHeight="1" x14ac:dyDescent="0.25">
      <c r="A155" s="57" t="s">
        <v>162</v>
      </c>
      <c r="B155" s="57">
        <v>22</v>
      </c>
      <c r="C155" s="49" t="s">
        <v>163</v>
      </c>
      <c r="D155" s="58">
        <v>0.33333333333333331</v>
      </c>
      <c r="E155" s="58" t="s">
        <v>796</v>
      </c>
      <c r="F155" s="58" t="s">
        <v>797</v>
      </c>
      <c r="G155" s="58">
        <v>2020</v>
      </c>
      <c r="H155" s="58">
        <v>10</v>
      </c>
      <c r="I155" s="58">
        <v>15</v>
      </c>
      <c r="J155" s="58">
        <v>15</v>
      </c>
      <c r="K155" s="58">
        <v>7</v>
      </c>
      <c r="L155" s="58">
        <v>15</v>
      </c>
      <c r="M155" s="58">
        <v>7</v>
      </c>
      <c r="N155" s="58">
        <v>15</v>
      </c>
      <c r="O155" s="58">
        <v>15</v>
      </c>
      <c r="P155" s="58"/>
      <c r="Q155" s="58">
        <v>15</v>
      </c>
      <c r="R155" s="49" t="s">
        <v>2406</v>
      </c>
      <c r="S155" s="41"/>
      <c r="T155" s="41"/>
      <c r="U155" s="41"/>
      <c r="V155" s="41"/>
      <c r="W155" s="41"/>
    </row>
    <row r="156" spans="1:23" ht="19.5" customHeight="1" x14ac:dyDescent="0.25">
      <c r="A156" s="57" t="s">
        <v>178</v>
      </c>
      <c r="B156" s="57">
        <v>26</v>
      </c>
      <c r="C156" s="49" t="s">
        <v>179</v>
      </c>
      <c r="D156" s="58">
        <v>0.5</v>
      </c>
      <c r="E156" s="58" t="s">
        <v>798</v>
      </c>
      <c r="F156" s="58" t="s">
        <v>799</v>
      </c>
      <c r="G156" s="58">
        <v>2020</v>
      </c>
      <c r="H156" s="59">
        <v>0</v>
      </c>
      <c r="I156" s="59">
        <v>0.17000000178813934</v>
      </c>
      <c r="J156" s="59">
        <v>0.17000000178813934</v>
      </c>
      <c r="K156" s="59">
        <v>0.23000000417232513</v>
      </c>
      <c r="L156" s="59">
        <v>0.33000001311302185</v>
      </c>
      <c r="M156" s="59">
        <v>0.34999999403953552</v>
      </c>
      <c r="N156" s="59">
        <v>0.43999999761581421</v>
      </c>
      <c r="O156" s="59">
        <v>0.43999999761581421</v>
      </c>
      <c r="P156" s="58"/>
      <c r="Q156" s="59">
        <v>0.43999999761581421</v>
      </c>
      <c r="R156" s="49" t="s">
        <v>2414</v>
      </c>
      <c r="S156" s="41"/>
      <c r="T156" s="41"/>
      <c r="U156" s="41"/>
      <c r="V156" s="41"/>
      <c r="W156" s="41"/>
    </row>
    <row r="157" spans="1:23" ht="19.5" customHeight="1" x14ac:dyDescent="0.25">
      <c r="A157" s="57" t="s">
        <v>180</v>
      </c>
      <c r="B157" s="57">
        <v>26</v>
      </c>
      <c r="C157" s="49" t="s">
        <v>181</v>
      </c>
      <c r="D157" s="58">
        <v>0.5</v>
      </c>
      <c r="E157" s="58" t="s">
        <v>800</v>
      </c>
      <c r="F157" s="58" t="s">
        <v>801</v>
      </c>
      <c r="G157" s="58">
        <v>2020</v>
      </c>
      <c r="H157" s="59">
        <v>0.16</v>
      </c>
      <c r="I157" s="59">
        <v>0.15999999642372131</v>
      </c>
      <c r="J157" s="59">
        <v>0.15999999642372131</v>
      </c>
      <c r="K157" s="59">
        <v>0.20000000298023224</v>
      </c>
      <c r="L157" s="59">
        <v>0.44999998807907104</v>
      </c>
      <c r="M157" s="59">
        <v>0.44999998807907104</v>
      </c>
      <c r="N157" s="59">
        <v>0.69999998807907104</v>
      </c>
      <c r="O157" s="59">
        <v>0.69999998807907104</v>
      </c>
      <c r="P157" s="58"/>
      <c r="Q157" s="59">
        <v>0.69999998807907104</v>
      </c>
      <c r="R157" s="49" t="s">
        <v>2415</v>
      </c>
      <c r="S157" s="41"/>
      <c r="T157" s="41"/>
      <c r="U157" s="41"/>
      <c r="V157" s="41"/>
      <c r="W157" s="41"/>
    </row>
    <row r="158" spans="1:23" ht="19.5" customHeight="1" x14ac:dyDescent="0.25">
      <c r="A158" s="57" t="s">
        <v>205</v>
      </c>
      <c r="B158" s="57">
        <v>33</v>
      </c>
      <c r="C158" s="49" t="s">
        <v>206</v>
      </c>
      <c r="D158" s="58">
        <v>1</v>
      </c>
      <c r="E158" s="58" t="s">
        <v>802</v>
      </c>
      <c r="F158" s="58" t="s">
        <v>803</v>
      </c>
      <c r="G158" s="58">
        <v>2021</v>
      </c>
      <c r="H158" s="59">
        <v>0</v>
      </c>
      <c r="I158" s="59">
        <v>0.1</v>
      </c>
      <c r="J158" s="59">
        <v>0.1</v>
      </c>
      <c r="K158" s="59">
        <v>0.18</v>
      </c>
      <c r="L158" s="59">
        <v>0.6</v>
      </c>
      <c r="M158" s="59">
        <v>0.1</v>
      </c>
      <c r="N158" s="59">
        <v>0.2</v>
      </c>
      <c r="O158" s="59">
        <v>0.1</v>
      </c>
      <c r="P158" s="58"/>
      <c r="Q158" s="59">
        <v>1</v>
      </c>
      <c r="R158" s="49" t="s">
        <v>2427</v>
      </c>
      <c r="S158" s="41"/>
      <c r="T158" s="41"/>
      <c r="U158" s="41"/>
      <c r="V158" s="41"/>
      <c r="W158" s="41"/>
    </row>
    <row r="159" spans="1:23" ht="19.5" customHeight="1" x14ac:dyDescent="0.25">
      <c r="A159" s="57" t="s">
        <v>217</v>
      </c>
      <c r="B159" s="57">
        <v>37</v>
      </c>
      <c r="C159" s="49" t="s">
        <v>218</v>
      </c>
      <c r="D159" s="58">
        <v>0.16666666666666666</v>
      </c>
      <c r="E159" s="58" t="s">
        <v>804</v>
      </c>
      <c r="F159" s="58" t="s">
        <v>805</v>
      </c>
      <c r="G159" s="58">
        <v>2021</v>
      </c>
      <c r="H159" s="59">
        <v>0</v>
      </c>
      <c r="I159" s="59">
        <v>0</v>
      </c>
      <c r="J159" s="59">
        <v>0</v>
      </c>
      <c r="K159" s="61">
        <v>0</v>
      </c>
      <c r="L159" s="59">
        <v>0.10000000149011612</v>
      </c>
      <c r="M159" s="59">
        <v>0.20000000298023224</v>
      </c>
      <c r="N159" s="59">
        <v>0.60000002384185791</v>
      </c>
      <c r="O159" s="59">
        <v>0.69999998807907104</v>
      </c>
      <c r="P159" s="58"/>
      <c r="Q159" s="59">
        <v>0.69999998807907104</v>
      </c>
      <c r="R159" s="49" t="s">
        <v>2435</v>
      </c>
      <c r="S159" s="41"/>
      <c r="T159" s="41"/>
      <c r="U159" s="41"/>
      <c r="V159" s="41"/>
      <c r="W159" s="41"/>
    </row>
    <row r="160" spans="1:23" ht="19.5" customHeight="1" x14ac:dyDescent="0.25">
      <c r="A160" s="57" t="s">
        <v>219</v>
      </c>
      <c r="B160" s="57">
        <v>37</v>
      </c>
      <c r="C160" s="49" t="s">
        <v>220</v>
      </c>
      <c r="D160" s="58">
        <v>0.16666666666666666</v>
      </c>
      <c r="E160" s="58" t="s">
        <v>806</v>
      </c>
      <c r="F160" s="58" t="s">
        <v>807</v>
      </c>
      <c r="G160" s="58">
        <v>2021</v>
      </c>
      <c r="H160" s="59">
        <v>0</v>
      </c>
      <c r="I160" s="59">
        <v>0</v>
      </c>
      <c r="J160" s="59">
        <v>0</v>
      </c>
      <c r="K160" s="61">
        <v>0</v>
      </c>
      <c r="L160" s="59">
        <v>0.10000000149011612</v>
      </c>
      <c r="M160" s="59">
        <v>0.20000000298023224</v>
      </c>
      <c r="N160" s="59">
        <v>0.60000002384185791</v>
      </c>
      <c r="O160" s="59">
        <v>0.69999998807907104</v>
      </c>
      <c r="P160" s="58"/>
      <c r="Q160" s="59">
        <v>0.69999998807907104</v>
      </c>
      <c r="R160" s="49" t="s">
        <v>2436</v>
      </c>
      <c r="S160" s="41"/>
      <c r="T160" s="41"/>
      <c r="U160" s="41"/>
      <c r="V160" s="41"/>
      <c r="W160" s="41"/>
    </row>
    <row r="161" spans="1:23" ht="19.5" customHeight="1" x14ac:dyDescent="0.25">
      <c r="A161" s="57" t="s">
        <v>221</v>
      </c>
      <c r="B161" s="57">
        <v>37</v>
      </c>
      <c r="C161" s="49" t="s">
        <v>222</v>
      </c>
      <c r="D161" s="58">
        <v>0.16666666666666666</v>
      </c>
      <c r="E161" s="58" t="s">
        <v>808</v>
      </c>
      <c r="F161" s="58" t="s">
        <v>809</v>
      </c>
      <c r="G161" s="58">
        <v>2021</v>
      </c>
      <c r="H161" s="59">
        <v>0</v>
      </c>
      <c r="I161" s="59">
        <v>0</v>
      </c>
      <c r="J161" s="59">
        <v>0</v>
      </c>
      <c r="K161" s="59">
        <v>0.10000000149011612</v>
      </c>
      <c r="L161" s="59">
        <v>0.40000000596046448</v>
      </c>
      <c r="M161" s="59">
        <v>0.60000002384185791</v>
      </c>
      <c r="N161" s="59">
        <v>0.80000001192092896</v>
      </c>
      <c r="O161" s="61">
        <v>1</v>
      </c>
      <c r="P161" s="58"/>
      <c r="Q161" s="58">
        <v>1</v>
      </c>
      <c r="R161" s="49" t="s">
        <v>2437</v>
      </c>
      <c r="S161" s="41"/>
      <c r="T161" s="41"/>
      <c r="U161" s="41"/>
      <c r="V161" s="41"/>
      <c r="W161" s="41"/>
    </row>
    <row r="162" spans="1:23" ht="19.5" customHeight="1" x14ac:dyDescent="0.25">
      <c r="A162" s="57" t="s">
        <v>223</v>
      </c>
      <c r="B162" s="57">
        <v>37</v>
      </c>
      <c r="C162" s="49" t="s">
        <v>224</v>
      </c>
      <c r="D162" s="58">
        <v>0.16666666666666666</v>
      </c>
      <c r="E162" s="58" t="s">
        <v>704</v>
      </c>
      <c r="F162" s="58" t="s">
        <v>706</v>
      </c>
      <c r="G162" s="58">
        <v>2021</v>
      </c>
      <c r="H162" s="58">
        <v>0</v>
      </c>
      <c r="I162" s="58">
        <v>1</v>
      </c>
      <c r="J162" s="58">
        <v>1</v>
      </c>
      <c r="K162" s="58">
        <v>2</v>
      </c>
      <c r="L162" s="58">
        <v>5</v>
      </c>
      <c r="M162" s="58">
        <v>7</v>
      </c>
      <c r="N162" s="58">
        <v>9</v>
      </c>
      <c r="O162" s="58">
        <v>5</v>
      </c>
      <c r="P162" s="58"/>
      <c r="Q162" s="58">
        <v>20</v>
      </c>
      <c r="R162" s="49" t="s">
        <v>2438</v>
      </c>
      <c r="S162" s="41"/>
      <c r="T162" s="41"/>
      <c r="U162" s="41"/>
      <c r="V162" s="41"/>
      <c r="W162" s="41"/>
    </row>
    <row r="163" spans="1:23" ht="19.5" customHeight="1" x14ac:dyDescent="0.25">
      <c r="A163" s="57" t="s">
        <v>225</v>
      </c>
      <c r="B163" s="57">
        <v>37</v>
      </c>
      <c r="C163" s="49" t="s">
        <v>226</v>
      </c>
      <c r="D163" s="58">
        <v>0.16666666666666666</v>
      </c>
      <c r="E163" s="58" t="s">
        <v>704</v>
      </c>
      <c r="F163" s="58" t="s">
        <v>706</v>
      </c>
      <c r="G163" s="58">
        <v>2021</v>
      </c>
      <c r="H163" s="58">
        <v>0</v>
      </c>
      <c r="I163" s="58">
        <v>0</v>
      </c>
      <c r="J163" s="58">
        <v>0</v>
      </c>
      <c r="K163" s="58">
        <v>1</v>
      </c>
      <c r="L163" s="58">
        <v>3</v>
      </c>
      <c r="M163" s="58">
        <v>1</v>
      </c>
      <c r="N163" s="58">
        <v>2</v>
      </c>
      <c r="O163" s="58">
        <v>1</v>
      </c>
      <c r="P163" s="58"/>
      <c r="Q163" s="58">
        <v>6</v>
      </c>
      <c r="R163" s="49" t="s">
        <v>2439</v>
      </c>
      <c r="S163" s="41"/>
      <c r="T163" s="41"/>
      <c r="U163" s="41"/>
      <c r="V163" s="41"/>
      <c r="W163" s="41"/>
    </row>
    <row r="164" spans="1:23" ht="19.5" customHeight="1" x14ac:dyDescent="0.25">
      <c r="A164" s="57" t="s">
        <v>227</v>
      </c>
      <c r="B164" s="57">
        <v>37</v>
      </c>
      <c r="C164" s="49" t="s">
        <v>228</v>
      </c>
      <c r="D164" s="58">
        <v>0.16666666666666666</v>
      </c>
      <c r="E164" s="58" t="s">
        <v>810</v>
      </c>
      <c r="F164" s="58" t="s">
        <v>811</v>
      </c>
      <c r="G164" s="58">
        <v>2021</v>
      </c>
      <c r="H164" s="58">
        <v>0</v>
      </c>
      <c r="I164" s="58">
        <v>0</v>
      </c>
      <c r="J164" s="58">
        <v>0</v>
      </c>
      <c r="K164" s="58">
        <v>0</v>
      </c>
      <c r="L164" s="58">
        <v>0</v>
      </c>
      <c r="M164" s="58">
        <v>0</v>
      </c>
      <c r="N164" s="58">
        <v>0</v>
      </c>
      <c r="O164" s="58">
        <v>1</v>
      </c>
      <c r="P164" s="58"/>
      <c r="Q164" s="58">
        <v>1</v>
      </c>
      <c r="R164" s="49" t="s">
        <v>2440</v>
      </c>
      <c r="S164" s="41"/>
      <c r="T164" s="41"/>
      <c r="U164" s="41"/>
      <c r="V164" s="41"/>
      <c r="W164" s="41"/>
    </row>
    <row r="165" spans="1:23" ht="19.5" customHeight="1" x14ac:dyDescent="0.25">
      <c r="A165" s="57" t="s">
        <v>269</v>
      </c>
      <c r="B165" s="57">
        <v>41</v>
      </c>
      <c r="C165" s="49" t="s">
        <v>270</v>
      </c>
      <c r="D165" s="58">
        <v>0.33333333333333331</v>
      </c>
      <c r="E165" s="58" t="s">
        <v>810</v>
      </c>
      <c r="F165" s="58" t="s">
        <v>811</v>
      </c>
      <c r="G165" s="58">
        <v>2021</v>
      </c>
      <c r="H165" s="58">
        <v>0</v>
      </c>
      <c r="I165" s="58">
        <v>3</v>
      </c>
      <c r="J165" s="58">
        <v>3</v>
      </c>
      <c r="K165" s="58">
        <v>2</v>
      </c>
      <c r="L165" s="58">
        <v>4</v>
      </c>
      <c r="M165" s="58">
        <v>2</v>
      </c>
      <c r="N165" s="58">
        <v>4</v>
      </c>
      <c r="O165" s="58">
        <v>4</v>
      </c>
      <c r="P165" s="58"/>
      <c r="Q165" s="58">
        <v>19</v>
      </c>
      <c r="R165" s="49" t="s">
        <v>2461</v>
      </c>
      <c r="S165" s="41"/>
      <c r="T165" s="41"/>
      <c r="U165" s="41"/>
      <c r="V165" s="41"/>
      <c r="W165" s="41"/>
    </row>
    <row r="166" spans="1:23" ht="19.5" customHeight="1" x14ac:dyDescent="0.25">
      <c r="A166" s="57" t="s">
        <v>271</v>
      </c>
      <c r="B166" s="57">
        <v>41</v>
      </c>
      <c r="C166" s="49" t="s">
        <v>272</v>
      </c>
      <c r="D166" s="58">
        <v>0.33333333333333331</v>
      </c>
      <c r="E166" s="58" t="s">
        <v>810</v>
      </c>
      <c r="F166" s="58" t="s">
        <v>811</v>
      </c>
      <c r="G166" s="58">
        <v>2021</v>
      </c>
      <c r="H166" s="59">
        <v>0.2</v>
      </c>
      <c r="I166" s="59">
        <v>0.20000000298023224</v>
      </c>
      <c r="J166" s="59">
        <v>0.20000000298023224</v>
      </c>
      <c r="K166" s="59">
        <v>0.30000001192092896</v>
      </c>
      <c r="L166" s="59">
        <v>0.40000000596046448</v>
      </c>
      <c r="M166" s="59">
        <v>0.5</v>
      </c>
      <c r="N166" s="59">
        <v>0.60000002384185791</v>
      </c>
      <c r="O166" s="59">
        <v>0.69999998807907104</v>
      </c>
      <c r="P166" s="58"/>
      <c r="Q166" s="59">
        <v>0.69999998807907104</v>
      </c>
      <c r="R166" s="49" t="s">
        <v>2462</v>
      </c>
      <c r="S166" s="41"/>
      <c r="T166" s="41"/>
      <c r="U166" s="41"/>
      <c r="V166" s="41"/>
      <c r="W166" s="41"/>
    </row>
    <row r="167" spans="1:23" ht="19.5" customHeight="1" x14ac:dyDescent="0.25">
      <c r="A167" s="57" t="s">
        <v>273</v>
      </c>
      <c r="B167" s="57">
        <v>41</v>
      </c>
      <c r="C167" s="49" t="s">
        <v>274</v>
      </c>
      <c r="D167" s="58">
        <v>0.33333333333333331</v>
      </c>
      <c r="E167" s="58" t="s">
        <v>810</v>
      </c>
      <c r="F167" s="58" t="s">
        <v>811</v>
      </c>
      <c r="G167" s="58">
        <v>2021</v>
      </c>
      <c r="H167" s="59">
        <v>0.2</v>
      </c>
      <c r="I167" s="59">
        <v>0.30000001192092896</v>
      </c>
      <c r="J167" s="61">
        <v>0.3</v>
      </c>
      <c r="K167" s="59">
        <v>0.40000000596046448</v>
      </c>
      <c r="L167" s="59">
        <v>0.5</v>
      </c>
      <c r="M167" s="59">
        <v>0.60000002384185791</v>
      </c>
      <c r="N167" s="59">
        <v>0.69999998807907104</v>
      </c>
      <c r="O167" s="59">
        <v>0.75</v>
      </c>
      <c r="P167" s="58"/>
      <c r="Q167" s="59">
        <v>0.75</v>
      </c>
      <c r="R167" s="49" t="s">
        <v>2463</v>
      </c>
      <c r="S167" s="41"/>
      <c r="T167" s="41"/>
      <c r="U167" s="41"/>
      <c r="V167" s="41"/>
      <c r="W167" s="41"/>
    </row>
    <row r="168" spans="1:23" ht="19.5" customHeight="1" x14ac:dyDescent="0.25">
      <c r="A168" s="57" t="s">
        <v>90</v>
      </c>
      <c r="B168" s="57">
        <v>9</v>
      </c>
      <c r="C168" s="49" t="s">
        <v>91</v>
      </c>
      <c r="D168" s="58">
        <v>0.33333333333333331</v>
      </c>
      <c r="E168" s="58" t="s">
        <v>812</v>
      </c>
      <c r="F168" s="58" t="s">
        <v>483</v>
      </c>
      <c r="G168" s="58">
        <v>2021</v>
      </c>
      <c r="H168" s="58">
        <v>0</v>
      </c>
      <c r="I168" s="58">
        <v>0</v>
      </c>
      <c r="J168" s="58">
        <v>0</v>
      </c>
      <c r="K168" s="58">
        <v>0</v>
      </c>
      <c r="L168" s="62">
        <v>1</v>
      </c>
      <c r="M168" s="58">
        <v>0</v>
      </c>
      <c r="N168" s="58">
        <v>1</v>
      </c>
      <c r="O168" s="58">
        <v>1</v>
      </c>
      <c r="P168" s="58"/>
      <c r="Q168" s="58">
        <v>3</v>
      </c>
      <c r="R168" s="49" t="s">
        <v>2371</v>
      </c>
      <c r="S168" s="41"/>
      <c r="T168" s="41"/>
      <c r="U168" s="41"/>
      <c r="V168" s="41"/>
      <c r="W168" s="41"/>
    </row>
    <row r="169" spans="1:23" ht="19.5" customHeight="1" x14ac:dyDescent="0.25">
      <c r="A169" s="57" t="s">
        <v>92</v>
      </c>
      <c r="B169" s="57">
        <v>9</v>
      </c>
      <c r="C169" s="49" t="s">
        <v>93</v>
      </c>
      <c r="D169" s="58">
        <v>0.33333333333333331</v>
      </c>
      <c r="E169" s="58" t="s">
        <v>812</v>
      </c>
      <c r="F169" s="58" t="s">
        <v>483</v>
      </c>
      <c r="G169" s="58">
        <v>2021</v>
      </c>
      <c r="H169" s="58">
        <v>0</v>
      </c>
      <c r="I169" s="58">
        <v>0</v>
      </c>
      <c r="J169" s="58">
        <v>0</v>
      </c>
      <c r="K169" s="58">
        <v>8</v>
      </c>
      <c r="L169" s="58">
        <v>12</v>
      </c>
      <c r="M169" s="58">
        <v>16</v>
      </c>
      <c r="N169" s="58">
        <v>32</v>
      </c>
      <c r="O169" s="58">
        <v>8</v>
      </c>
      <c r="P169" s="58"/>
      <c r="Q169" s="58">
        <v>60</v>
      </c>
      <c r="R169" s="49" t="s">
        <v>2372</v>
      </c>
      <c r="S169" s="41"/>
      <c r="T169" s="41"/>
      <c r="U169" s="41"/>
      <c r="V169" s="41"/>
      <c r="W169" s="41"/>
    </row>
    <row r="170" spans="1:23" ht="19.5" customHeight="1" x14ac:dyDescent="0.25">
      <c r="A170" s="57" t="s">
        <v>94</v>
      </c>
      <c r="B170" s="57">
        <v>9</v>
      </c>
      <c r="C170" s="49" t="s">
        <v>95</v>
      </c>
      <c r="D170" s="58">
        <v>0.33333333333333331</v>
      </c>
      <c r="E170" s="58" t="s">
        <v>812</v>
      </c>
      <c r="F170" s="58" t="s">
        <v>483</v>
      </c>
      <c r="G170" s="58">
        <v>2021</v>
      </c>
      <c r="H170" s="58">
        <v>0</v>
      </c>
      <c r="I170" s="58">
        <v>0</v>
      </c>
      <c r="J170" s="58">
        <v>0</v>
      </c>
      <c r="K170" s="58">
        <v>0</v>
      </c>
      <c r="L170" s="58">
        <v>12</v>
      </c>
      <c r="M170" s="58">
        <v>12</v>
      </c>
      <c r="N170" s="58">
        <v>18</v>
      </c>
      <c r="O170" s="58">
        <v>18</v>
      </c>
      <c r="P170" s="58"/>
      <c r="Q170" s="58">
        <v>60</v>
      </c>
      <c r="R170" s="49" t="s">
        <v>2373</v>
      </c>
      <c r="S170" s="41"/>
      <c r="T170" s="41"/>
      <c r="U170" s="41"/>
      <c r="V170" s="41"/>
      <c r="W170" s="41"/>
    </row>
    <row r="171" spans="1:23" ht="19.5" customHeight="1" x14ac:dyDescent="0.25">
      <c r="A171" s="57"/>
      <c r="B171" s="57"/>
      <c r="C171" s="49"/>
      <c r="D171" s="58"/>
      <c r="E171" s="58"/>
      <c r="F171" s="58"/>
      <c r="G171" s="58"/>
      <c r="H171" s="58"/>
      <c r="I171" s="58"/>
      <c r="J171" s="58"/>
      <c r="K171" s="59"/>
      <c r="L171" s="59"/>
      <c r="M171" s="59"/>
      <c r="N171" s="59"/>
      <c r="O171" s="59"/>
      <c r="P171" s="58"/>
      <c r="Q171" s="58"/>
      <c r="R171" s="49"/>
      <c r="S171" s="41"/>
      <c r="T171" s="41"/>
      <c r="U171" s="41"/>
      <c r="V171" s="41"/>
      <c r="W171" s="41"/>
    </row>
    <row r="172" spans="1:23" ht="19.5" customHeight="1" x14ac:dyDescent="0.25">
      <c r="A172" s="57"/>
      <c r="B172" s="57"/>
      <c r="C172" s="49"/>
      <c r="D172" s="58"/>
      <c r="E172" s="58"/>
      <c r="F172" s="58"/>
      <c r="G172" s="58"/>
      <c r="H172" s="58"/>
      <c r="I172" s="58"/>
      <c r="J172" s="58"/>
      <c r="K172" s="58"/>
      <c r="L172" s="58"/>
      <c r="M172" s="58"/>
      <c r="N172" s="58"/>
      <c r="O172" s="58"/>
      <c r="P172" s="58"/>
      <c r="Q172" s="58"/>
      <c r="R172" s="49"/>
      <c r="S172" s="41"/>
      <c r="T172" s="41"/>
      <c r="U172" s="41"/>
      <c r="V172" s="41"/>
      <c r="W172" s="41"/>
    </row>
    <row r="173" spans="1:23" ht="19.5" customHeight="1" x14ac:dyDescent="0.25">
      <c r="A173" s="57"/>
      <c r="B173" s="57"/>
      <c r="C173" s="49"/>
      <c r="D173" s="58"/>
      <c r="E173" s="58"/>
      <c r="F173" s="58"/>
      <c r="G173" s="58"/>
      <c r="H173" s="58"/>
      <c r="I173" s="58"/>
      <c r="J173" s="58"/>
      <c r="K173" s="58"/>
      <c r="L173" s="58"/>
      <c r="M173" s="58"/>
      <c r="N173" s="58"/>
      <c r="O173" s="58"/>
      <c r="P173" s="58"/>
      <c r="Q173" s="58"/>
      <c r="R173" s="49"/>
      <c r="S173" s="41"/>
      <c r="T173" s="41"/>
      <c r="U173" s="41"/>
      <c r="V173" s="41"/>
      <c r="W173" s="41"/>
    </row>
    <row r="174" spans="1:23" ht="19.5" customHeight="1" x14ac:dyDescent="0.25">
      <c r="A174" s="57"/>
      <c r="B174" s="57"/>
      <c r="C174" s="49"/>
      <c r="D174" s="58"/>
      <c r="E174" s="58"/>
      <c r="F174" s="58"/>
      <c r="G174" s="58"/>
      <c r="H174" s="58"/>
      <c r="I174" s="58"/>
      <c r="J174" s="58"/>
      <c r="K174" s="58"/>
      <c r="L174" s="58"/>
      <c r="M174" s="58"/>
      <c r="N174" s="58"/>
      <c r="O174" s="58"/>
      <c r="P174" s="58"/>
      <c r="Q174" s="58"/>
      <c r="R174" s="49"/>
      <c r="S174" s="41"/>
      <c r="T174" s="41"/>
      <c r="U174" s="41"/>
      <c r="V174" s="41"/>
      <c r="W174" s="41"/>
    </row>
    <row r="175" spans="1:23" ht="19.5" customHeight="1" x14ac:dyDescent="0.25">
      <c r="A175" s="57"/>
      <c r="B175" s="57"/>
      <c r="C175" s="49"/>
      <c r="D175" s="58"/>
      <c r="E175" s="58"/>
      <c r="F175" s="58"/>
      <c r="G175" s="58"/>
      <c r="H175" s="58"/>
      <c r="I175" s="58"/>
      <c r="J175" s="58"/>
      <c r="K175" s="58"/>
      <c r="L175" s="58"/>
      <c r="M175" s="58"/>
      <c r="N175" s="58"/>
      <c r="O175" s="58"/>
      <c r="P175" s="58"/>
      <c r="Q175" s="58"/>
      <c r="R175" s="49"/>
      <c r="S175" s="41"/>
      <c r="T175" s="41"/>
      <c r="U175" s="41"/>
      <c r="V175" s="41"/>
      <c r="W175" s="41"/>
    </row>
    <row r="176" spans="1:23" ht="19.5" customHeight="1" x14ac:dyDescent="0.25">
      <c r="A176" s="57"/>
      <c r="B176" s="57"/>
      <c r="C176" s="49"/>
      <c r="D176" s="58"/>
      <c r="E176" s="58"/>
      <c r="F176" s="58"/>
      <c r="G176" s="58"/>
      <c r="H176" s="58"/>
      <c r="I176" s="58"/>
      <c r="J176" s="58"/>
      <c r="K176" s="58"/>
      <c r="L176" s="58"/>
      <c r="M176" s="58"/>
      <c r="N176" s="58"/>
      <c r="O176" s="58"/>
      <c r="P176" s="58"/>
      <c r="Q176" s="58"/>
      <c r="R176" s="49"/>
      <c r="S176" s="41"/>
      <c r="T176" s="41"/>
      <c r="U176" s="41"/>
      <c r="V176" s="41"/>
      <c r="W176" s="41"/>
    </row>
    <row r="177" spans="1:23" ht="19.5" customHeight="1" x14ac:dyDescent="0.25">
      <c r="A177" s="57"/>
      <c r="B177" s="57"/>
      <c r="C177" s="49"/>
      <c r="D177" s="58"/>
      <c r="E177" s="58"/>
      <c r="F177" s="58"/>
      <c r="G177" s="58"/>
      <c r="H177" s="58"/>
      <c r="I177" s="58"/>
      <c r="J177" s="58"/>
      <c r="K177" s="58"/>
      <c r="L177" s="58"/>
      <c r="M177" s="58"/>
      <c r="N177" s="58"/>
      <c r="O177" s="58"/>
      <c r="P177" s="58"/>
      <c r="Q177" s="58"/>
      <c r="R177" s="49"/>
      <c r="S177" s="41"/>
      <c r="T177" s="41"/>
      <c r="U177" s="41"/>
      <c r="V177" s="41"/>
      <c r="W177" s="41"/>
    </row>
    <row r="178" spans="1:23" ht="19.5" customHeight="1" x14ac:dyDescent="0.25">
      <c r="A178" s="57"/>
      <c r="B178" s="57"/>
      <c r="C178" s="49"/>
      <c r="D178" s="58"/>
      <c r="E178" s="58"/>
      <c r="F178" s="58"/>
      <c r="G178" s="58"/>
      <c r="H178" s="58"/>
      <c r="I178" s="58"/>
      <c r="J178" s="58"/>
      <c r="K178" s="58"/>
      <c r="L178" s="58"/>
      <c r="M178" s="58"/>
      <c r="N178" s="58"/>
      <c r="O178" s="58"/>
      <c r="P178" s="58"/>
      <c r="Q178" s="58"/>
      <c r="R178" s="49"/>
      <c r="S178" s="41"/>
      <c r="T178" s="41"/>
      <c r="U178" s="41"/>
      <c r="V178" s="41"/>
      <c r="W178" s="41"/>
    </row>
    <row r="179" spans="1:23" ht="19.5" customHeight="1" x14ac:dyDescent="0.25">
      <c r="A179" s="57"/>
      <c r="B179" s="57"/>
      <c r="C179" s="49"/>
      <c r="D179" s="58"/>
      <c r="E179" s="58"/>
      <c r="F179" s="58"/>
      <c r="G179" s="58"/>
      <c r="H179" s="58"/>
      <c r="I179" s="58"/>
      <c r="J179" s="58"/>
      <c r="K179" s="58"/>
      <c r="L179" s="58"/>
      <c r="M179" s="58"/>
      <c r="N179" s="58"/>
      <c r="O179" s="58"/>
      <c r="P179" s="58"/>
      <c r="Q179" s="58"/>
      <c r="R179" s="49"/>
      <c r="S179" s="41"/>
      <c r="T179" s="41"/>
      <c r="U179" s="41"/>
      <c r="V179" s="41"/>
      <c r="W179" s="41"/>
    </row>
    <row r="180" spans="1:23" ht="19.5" customHeight="1" x14ac:dyDescent="0.25">
      <c r="A180" s="57"/>
      <c r="B180" s="57"/>
      <c r="C180" s="49"/>
      <c r="D180" s="58"/>
      <c r="E180" s="58"/>
      <c r="F180" s="58"/>
      <c r="G180" s="58"/>
      <c r="H180" s="58"/>
      <c r="I180" s="58"/>
      <c r="J180" s="58"/>
      <c r="K180" s="58"/>
      <c r="L180" s="58"/>
      <c r="M180" s="58"/>
      <c r="N180" s="58"/>
      <c r="O180" s="58"/>
      <c r="P180" s="58"/>
      <c r="Q180" s="58"/>
      <c r="R180" s="49"/>
      <c r="S180" s="41"/>
      <c r="T180" s="41"/>
      <c r="U180" s="41"/>
      <c r="V180" s="41"/>
      <c r="W180" s="41"/>
    </row>
    <row r="181" spans="1:23" ht="19.5" customHeight="1" x14ac:dyDescent="0.25">
      <c r="A181" s="41"/>
      <c r="B181" s="41"/>
      <c r="C181" s="41"/>
      <c r="D181" s="41"/>
      <c r="E181" s="41"/>
      <c r="F181" s="41"/>
      <c r="G181" s="41"/>
      <c r="H181" s="41"/>
      <c r="I181" s="41"/>
      <c r="J181" s="41"/>
      <c r="K181" s="41"/>
      <c r="L181" s="41"/>
      <c r="M181" s="41"/>
      <c r="N181" s="41"/>
      <c r="O181" s="41"/>
      <c r="P181" s="41"/>
      <c r="Q181" s="41">
        <f>COLUMN()</f>
        <v>17</v>
      </c>
      <c r="R181" s="41"/>
      <c r="S181" s="41"/>
      <c r="T181" s="41"/>
      <c r="U181" s="41"/>
      <c r="V181" s="41"/>
      <c r="W181" s="41"/>
    </row>
    <row r="182" spans="1:23" ht="19.5" hidden="1" customHeight="1" x14ac:dyDescent="0.25">
      <c r="A182" s="41"/>
      <c r="B182" s="41"/>
      <c r="C182" s="41"/>
      <c r="D182" s="41"/>
      <c r="E182" s="41"/>
      <c r="F182" s="41"/>
      <c r="G182" s="41"/>
      <c r="H182" s="41"/>
      <c r="I182" s="41"/>
      <c r="J182" s="41"/>
      <c r="K182" s="41"/>
      <c r="L182" s="41"/>
      <c r="M182" s="41"/>
      <c r="N182" s="41"/>
      <c r="O182" s="41"/>
      <c r="P182" s="41"/>
      <c r="Q182" s="41"/>
      <c r="R182" s="41"/>
      <c r="S182" s="41"/>
      <c r="T182" s="41"/>
      <c r="U182" s="41"/>
      <c r="V182" s="41"/>
      <c r="W182" s="41"/>
    </row>
    <row r="183" spans="1:23" ht="19.5" hidden="1" customHeight="1" x14ac:dyDescent="0.25">
      <c r="A183" s="41"/>
      <c r="B183" s="41"/>
      <c r="C183" s="41"/>
      <c r="D183" s="41"/>
      <c r="E183" s="41"/>
      <c r="F183" s="41"/>
      <c r="G183" s="41"/>
      <c r="H183" s="41"/>
      <c r="I183" s="41"/>
      <c r="J183" s="41"/>
      <c r="K183" s="41"/>
      <c r="L183" s="41"/>
      <c r="M183" s="41"/>
      <c r="N183" s="41"/>
      <c r="O183" s="41"/>
      <c r="P183" s="41"/>
      <c r="Q183" s="41"/>
      <c r="R183" s="41"/>
      <c r="S183" s="41"/>
      <c r="T183" s="41"/>
      <c r="U183" s="41"/>
      <c r="V183" s="41"/>
      <c r="W183" s="41"/>
    </row>
    <row r="184" spans="1:23" ht="19.5" hidden="1" customHeight="1" x14ac:dyDescent="0.25">
      <c r="A184" s="41"/>
      <c r="B184" s="41"/>
      <c r="C184" s="41"/>
      <c r="D184" s="41"/>
      <c r="E184" s="41"/>
      <c r="F184" s="41"/>
      <c r="G184" s="41"/>
      <c r="H184" s="41"/>
      <c r="I184" s="41"/>
      <c r="J184" s="41"/>
      <c r="K184" s="41"/>
      <c r="L184" s="41"/>
      <c r="M184" s="41"/>
      <c r="N184" s="41"/>
      <c r="O184" s="41"/>
      <c r="P184" s="41"/>
      <c r="Q184" s="41"/>
      <c r="R184" s="41"/>
      <c r="S184" s="41"/>
      <c r="T184" s="41"/>
      <c r="U184" s="41"/>
      <c r="V184" s="41"/>
      <c r="W184" s="41"/>
    </row>
    <row r="185" spans="1:23" ht="19.5" hidden="1" customHeight="1" x14ac:dyDescent="0.25">
      <c r="A185" s="41"/>
      <c r="B185" s="41"/>
      <c r="C185" s="41"/>
      <c r="D185" s="41"/>
      <c r="E185" s="41"/>
      <c r="F185" s="41"/>
      <c r="G185" s="41"/>
      <c r="H185" s="41"/>
      <c r="I185" s="41"/>
      <c r="J185" s="41"/>
      <c r="K185" s="41"/>
      <c r="L185" s="41"/>
      <c r="M185" s="41"/>
      <c r="N185" s="41"/>
      <c r="O185" s="41"/>
      <c r="P185" s="41"/>
      <c r="Q185" s="41"/>
      <c r="R185" s="41"/>
      <c r="S185" s="41"/>
      <c r="T185" s="41"/>
      <c r="U185" s="41"/>
      <c r="V185" s="41"/>
      <c r="W185" s="41"/>
    </row>
    <row r="186" spans="1:23" ht="19.5" hidden="1" customHeight="1" x14ac:dyDescent="0.25">
      <c r="A186" s="41"/>
      <c r="B186" s="41"/>
      <c r="C186" s="41"/>
      <c r="D186" s="41"/>
      <c r="E186" s="41"/>
      <c r="F186" s="41"/>
      <c r="G186" s="41"/>
      <c r="H186" s="41"/>
      <c r="I186" s="41"/>
      <c r="J186" s="41"/>
      <c r="K186" s="41"/>
      <c r="L186" s="41"/>
      <c r="M186" s="41"/>
      <c r="N186" s="41"/>
      <c r="O186" s="41"/>
      <c r="P186" s="41"/>
      <c r="Q186" s="41"/>
      <c r="R186" s="41"/>
      <c r="S186" s="41"/>
      <c r="T186" s="41"/>
      <c r="U186" s="41"/>
      <c r="V186" s="41"/>
      <c r="W186" s="41"/>
    </row>
    <row r="187" spans="1:23" ht="19.5" hidden="1" customHeight="1" x14ac:dyDescent="0.25">
      <c r="A187" s="41"/>
      <c r="B187" s="41"/>
      <c r="C187" s="41"/>
      <c r="D187" s="41"/>
      <c r="E187" s="41"/>
      <c r="F187" s="41"/>
      <c r="G187" s="41"/>
      <c r="H187" s="41"/>
      <c r="I187" s="41"/>
      <c r="J187" s="41"/>
      <c r="K187" s="41"/>
      <c r="L187" s="41"/>
      <c r="M187" s="41"/>
      <c r="N187" s="41"/>
      <c r="O187" s="41"/>
      <c r="P187" s="41"/>
      <c r="Q187" s="41"/>
      <c r="R187" s="41"/>
      <c r="S187" s="41"/>
      <c r="T187" s="41"/>
      <c r="U187" s="41"/>
      <c r="V187" s="41"/>
      <c r="W187" s="41"/>
    </row>
    <row r="188" spans="1:23" ht="19.5" hidden="1" customHeight="1" x14ac:dyDescent="0.25">
      <c r="A188" s="41"/>
      <c r="B188" s="41"/>
      <c r="C188" s="41"/>
      <c r="D188" s="41"/>
      <c r="E188" s="41"/>
      <c r="F188" s="41"/>
      <c r="G188" s="41"/>
      <c r="H188" s="41"/>
      <c r="I188" s="41"/>
      <c r="J188" s="41"/>
      <c r="K188" s="41"/>
      <c r="L188" s="41"/>
      <c r="M188" s="41"/>
      <c r="N188" s="41"/>
      <c r="O188" s="41"/>
      <c r="P188" s="41"/>
      <c r="Q188" s="41"/>
      <c r="R188" s="41"/>
      <c r="S188" s="41"/>
      <c r="T188" s="41"/>
      <c r="U188" s="41"/>
      <c r="V188" s="41"/>
      <c r="W188" s="41"/>
    </row>
    <row r="189" spans="1:23" ht="19.5" hidden="1" customHeight="1" x14ac:dyDescent="0.25">
      <c r="A189" s="41"/>
      <c r="B189" s="41"/>
      <c r="C189" s="41"/>
      <c r="D189" s="41"/>
      <c r="E189" s="41"/>
      <c r="F189" s="41"/>
      <c r="G189" s="41"/>
      <c r="H189" s="41"/>
      <c r="I189" s="41"/>
      <c r="J189" s="41"/>
      <c r="K189" s="41"/>
      <c r="L189" s="41"/>
      <c r="M189" s="41"/>
      <c r="N189" s="41"/>
      <c r="O189" s="41"/>
      <c r="P189" s="41"/>
      <c r="Q189" s="41"/>
      <c r="R189" s="41"/>
      <c r="S189" s="41"/>
      <c r="T189" s="41"/>
      <c r="U189" s="41"/>
      <c r="V189" s="41"/>
      <c r="W189" s="41"/>
    </row>
    <row r="190" spans="1:23" ht="19.5" hidden="1" customHeight="1" x14ac:dyDescent="0.25">
      <c r="A190" s="41"/>
      <c r="B190" s="41"/>
      <c r="C190" s="41"/>
      <c r="D190" s="41"/>
      <c r="E190" s="41"/>
      <c r="F190" s="41"/>
      <c r="G190" s="41"/>
      <c r="H190" s="41"/>
      <c r="I190" s="41"/>
      <c r="J190" s="41"/>
      <c r="K190" s="41"/>
      <c r="L190" s="41"/>
      <c r="M190" s="41"/>
      <c r="N190" s="41"/>
      <c r="O190" s="41"/>
      <c r="P190" s="41"/>
      <c r="Q190" s="41"/>
      <c r="R190" s="41"/>
      <c r="S190" s="41"/>
      <c r="T190" s="41"/>
      <c r="U190" s="41"/>
      <c r="V190" s="41"/>
      <c r="W190" s="41"/>
    </row>
    <row r="191" spans="1:23" ht="19.5" hidden="1" customHeight="1" x14ac:dyDescent="0.25">
      <c r="A191" s="41"/>
      <c r="B191" s="41"/>
      <c r="C191" s="41"/>
      <c r="D191" s="41"/>
      <c r="E191" s="41"/>
      <c r="F191" s="41"/>
      <c r="G191" s="41"/>
      <c r="H191" s="41"/>
      <c r="I191" s="41"/>
      <c r="J191" s="41"/>
      <c r="K191" s="41"/>
      <c r="L191" s="41"/>
      <c r="M191" s="41"/>
      <c r="N191" s="41"/>
      <c r="O191" s="41"/>
      <c r="P191" s="41"/>
      <c r="Q191" s="41"/>
      <c r="R191" s="41"/>
      <c r="S191" s="41"/>
      <c r="T191" s="41"/>
      <c r="U191" s="41"/>
      <c r="V191" s="41"/>
      <c r="W191" s="41"/>
    </row>
    <row r="192" spans="1:23" ht="19.5" hidden="1" customHeight="1" x14ac:dyDescent="0.25">
      <c r="A192" s="41"/>
      <c r="B192" s="41"/>
      <c r="C192" s="41"/>
      <c r="D192" s="41"/>
      <c r="E192" s="41"/>
      <c r="F192" s="41"/>
      <c r="G192" s="41"/>
      <c r="H192" s="41"/>
      <c r="I192" s="41"/>
      <c r="J192" s="41"/>
      <c r="K192" s="41"/>
      <c r="L192" s="41"/>
      <c r="M192" s="41"/>
      <c r="N192" s="41"/>
      <c r="O192" s="41"/>
      <c r="P192" s="41"/>
      <c r="Q192" s="41"/>
      <c r="R192" s="41"/>
      <c r="S192" s="41"/>
      <c r="T192" s="41"/>
      <c r="U192" s="41"/>
      <c r="V192" s="41"/>
      <c r="W192" s="41"/>
    </row>
    <row r="193" spans="1:23" ht="19.5" hidden="1" customHeight="1" x14ac:dyDescent="0.25">
      <c r="A193" s="41"/>
      <c r="B193" s="41"/>
      <c r="C193" s="41"/>
      <c r="D193" s="41"/>
      <c r="E193" s="41"/>
      <c r="F193" s="41"/>
      <c r="G193" s="41"/>
      <c r="H193" s="41"/>
      <c r="I193" s="41"/>
      <c r="J193" s="41"/>
      <c r="K193" s="41"/>
      <c r="L193" s="41"/>
      <c r="M193" s="41"/>
      <c r="N193" s="41"/>
      <c r="O193" s="41"/>
      <c r="P193" s="41"/>
      <c r="Q193" s="41"/>
      <c r="R193" s="41"/>
      <c r="S193" s="41"/>
      <c r="T193" s="41"/>
      <c r="U193" s="41"/>
      <c r="V193" s="41"/>
      <c r="W193" s="41"/>
    </row>
    <row r="194" spans="1:23" ht="19.5" hidden="1" customHeight="1" x14ac:dyDescent="0.25">
      <c r="A194" s="41"/>
      <c r="B194" s="41"/>
      <c r="C194" s="41"/>
      <c r="D194" s="41"/>
      <c r="E194" s="41"/>
      <c r="F194" s="41"/>
      <c r="G194" s="41"/>
      <c r="H194" s="41"/>
      <c r="I194" s="41"/>
      <c r="J194" s="41"/>
      <c r="K194" s="41"/>
      <c r="L194" s="41"/>
      <c r="M194" s="41"/>
      <c r="N194" s="41"/>
      <c r="O194" s="41"/>
      <c r="P194" s="41"/>
      <c r="Q194" s="41"/>
      <c r="R194" s="41"/>
      <c r="S194" s="41"/>
      <c r="T194" s="41"/>
      <c r="U194" s="41"/>
      <c r="V194" s="41"/>
      <c r="W194" s="41"/>
    </row>
    <row r="195" spans="1:23" ht="19.5" hidden="1" customHeight="1" x14ac:dyDescent="0.25">
      <c r="A195" s="41"/>
      <c r="B195" s="41"/>
      <c r="C195" s="41"/>
      <c r="D195" s="41"/>
      <c r="E195" s="41"/>
      <c r="F195" s="41"/>
      <c r="G195" s="41"/>
      <c r="H195" s="41"/>
      <c r="I195" s="41"/>
      <c r="J195" s="41"/>
      <c r="K195" s="41"/>
      <c r="L195" s="41"/>
      <c r="M195" s="41"/>
      <c r="N195" s="41"/>
      <c r="O195" s="41"/>
      <c r="P195" s="41"/>
      <c r="Q195" s="41"/>
      <c r="R195" s="41"/>
      <c r="S195" s="41"/>
      <c r="T195" s="41"/>
      <c r="U195" s="41"/>
      <c r="V195" s="41"/>
      <c r="W195" s="41"/>
    </row>
    <row r="196" spans="1:23" ht="19.5" hidden="1" customHeight="1" x14ac:dyDescent="0.25">
      <c r="A196" s="41"/>
      <c r="B196" s="41"/>
      <c r="C196" s="41"/>
      <c r="D196" s="41"/>
      <c r="E196" s="41"/>
      <c r="F196" s="41"/>
      <c r="G196" s="41"/>
      <c r="H196" s="41"/>
      <c r="I196" s="41"/>
      <c r="J196" s="41"/>
      <c r="K196" s="41"/>
      <c r="L196" s="41"/>
      <c r="M196" s="41"/>
      <c r="N196" s="41"/>
      <c r="O196" s="41"/>
      <c r="P196" s="41"/>
      <c r="Q196" s="41"/>
      <c r="R196" s="41"/>
      <c r="S196" s="41"/>
      <c r="T196" s="41"/>
      <c r="U196" s="41"/>
      <c r="V196" s="41"/>
      <c r="W196" s="41"/>
    </row>
    <row r="197" spans="1:23" ht="19.5" hidden="1" customHeight="1" x14ac:dyDescent="0.25">
      <c r="A197" s="41"/>
      <c r="B197" s="41"/>
      <c r="C197" s="41"/>
      <c r="D197" s="41"/>
      <c r="E197" s="41"/>
      <c r="F197" s="41"/>
      <c r="G197" s="41"/>
      <c r="H197" s="41"/>
      <c r="I197" s="41"/>
      <c r="J197" s="41"/>
      <c r="K197" s="41"/>
      <c r="L197" s="41"/>
      <c r="M197" s="41"/>
      <c r="N197" s="41"/>
      <c r="O197" s="41"/>
      <c r="P197" s="41"/>
      <c r="Q197" s="41"/>
      <c r="R197" s="41"/>
      <c r="S197" s="41"/>
      <c r="T197" s="41"/>
      <c r="U197" s="41"/>
      <c r="V197" s="41"/>
      <c r="W197" s="41"/>
    </row>
    <row r="198" spans="1:23" ht="19.5" hidden="1" customHeight="1" x14ac:dyDescent="0.25">
      <c r="A198" s="41"/>
      <c r="B198" s="41"/>
      <c r="C198" s="41"/>
      <c r="D198" s="41"/>
      <c r="E198" s="41"/>
      <c r="F198" s="41"/>
      <c r="G198" s="41"/>
      <c r="H198" s="41"/>
      <c r="I198" s="41"/>
      <c r="J198" s="41"/>
      <c r="K198" s="41"/>
      <c r="L198" s="41"/>
      <c r="M198" s="41"/>
      <c r="N198" s="41"/>
      <c r="O198" s="41"/>
      <c r="P198" s="41"/>
      <c r="Q198" s="41"/>
      <c r="R198" s="41"/>
      <c r="S198" s="41"/>
      <c r="T198" s="41"/>
      <c r="U198" s="41"/>
      <c r="V198" s="41"/>
      <c r="W198" s="41"/>
    </row>
    <row r="199" spans="1:23" ht="19.5" hidden="1" customHeight="1" x14ac:dyDescent="0.25">
      <c r="A199" s="41"/>
      <c r="B199" s="41"/>
      <c r="C199" s="41"/>
      <c r="D199" s="41"/>
      <c r="E199" s="41"/>
      <c r="F199" s="41"/>
      <c r="G199" s="41"/>
      <c r="H199" s="41"/>
      <c r="I199" s="41"/>
      <c r="J199" s="41"/>
      <c r="K199" s="41"/>
      <c r="L199" s="41"/>
      <c r="M199" s="41"/>
      <c r="N199" s="41"/>
      <c r="O199" s="41"/>
      <c r="P199" s="41"/>
      <c r="Q199" s="41"/>
      <c r="R199" s="41"/>
      <c r="S199" s="41"/>
      <c r="T199" s="41"/>
      <c r="U199" s="41"/>
      <c r="V199" s="41"/>
      <c r="W199" s="41"/>
    </row>
    <row r="200" spans="1:23" ht="19.5" hidden="1" customHeight="1" x14ac:dyDescent="0.25">
      <c r="A200" s="41"/>
      <c r="B200" s="41"/>
      <c r="C200" s="41"/>
      <c r="D200" s="41"/>
      <c r="E200" s="41"/>
      <c r="F200" s="41"/>
      <c r="G200" s="41"/>
      <c r="H200" s="41"/>
      <c r="I200" s="41"/>
      <c r="J200" s="41"/>
      <c r="K200" s="41"/>
      <c r="L200" s="41"/>
      <c r="M200" s="41"/>
      <c r="N200" s="41"/>
      <c r="O200" s="41"/>
      <c r="P200" s="41"/>
      <c r="Q200" s="41"/>
      <c r="R200" s="41"/>
      <c r="S200" s="41"/>
      <c r="T200" s="41"/>
      <c r="U200" s="41"/>
      <c r="V200" s="41"/>
      <c r="W200" s="41"/>
    </row>
    <row r="201" spans="1:23" ht="19.5" hidden="1" customHeight="1" x14ac:dyDescent="0.25">
      <c r="A201" s="41"/>
      <c r="B201" s="41"/>
      <c r="C201" s="41"/>
      <c r="D201" s="41"/>
      <c r="E201" s="41"/>
      <c r="F201" s="41"/>
      <c r="G201" s="41"/>
      <c r="H201" s="41"/>
      <c r="I201" s="41"/>
      <c r="J201" s="41"/>
      <c r="K201" s="41"/>
      <c r="L201" s="41"/>
      <c r="M201" s="41"/>
      <c r="N201" s="41"/>
      <c r="O201" s="41"/>
      <c r="P201" s="41"/>
      <c r="Q201" s="41"/>
      <c r="R201" s="41"/>
      <c r="S201" s="41"/>
      <c r="T201" s="41"/>
      <c r="U201" s="41"/>
      <c r="V201" s="41"/>
      <c r="W201" s="41"/>
    </row>
    <row r="202" spans="1:23" ht="19.5" hidden="1" customHeight="1" x14ac:dyDescent="0.25">
      <c r="A202" s="41"/>
      <c r="B202" s="41"/>
      <c r="C202" s="41"/>
      <c r="D202" s="41"/>
      <c r="E202" s="41"/>
      <c r="F202" s="41"/>
      <c r="G202" s="41"/>
      <c r="H202" s="41"/>
      <c r="I202" s="41"/>
      <c r="J202" s="41"/>
      <c r="K202" s="41"/>
      <c r="L202" s="41"/>
      <c r="M202" s="41"/>
      <c r="N202" s="41"/>
      <c r="O202" s="41"/>
      <c r="P202" s="41"/>
      <c r="Q202" s="41"/>
      <c r="R202" s="41"/>
      <c r="S202" s="41"/>
      <c r="T202" s="41"/>
      <c r="U202" s="41"/>
      <c r="V202" s="41"/>
      <c r="W202" s="41"/>
    </row>
    <row r="203" spans="1:23" ht="19.5" hidden="1" customHeight="1" x14ac:dyDescent="0.25">
      <c r="A203" s="41"/>
      <c r="B203" s="41"/>
      <c r="C203" s="41"/>
      <c r="D203" s="41"/>
      <c r="E203" s="41"/>
      <c r="F203" s="41"/>
      <c r="G203" s="41"/>
      <c r="H203" s="41"/>
      <c r="I203" s="41"/>
      <c r="J203" s="41"/>
      <c r="K203" s="41"/>
      <c r="L203" s="41"/>
      <c r="M203" s="41"/>
      <c r="N203" s="41"/>
      <c r="O203" s="41"/>
      <c r="P203" s="41"/>
      <c r="Q203" s="41"/>
      <c r="R203" s="41"/>
      <c r="S203" s="41"/>
      <c r="T203" s="41"/>
      <c r="U203" s="41"/>
      <c r="V203" s="41"/>
      <c r="W203" s="41"/>
    </row>
    <row r="204" spans="1:23" ht="19.5" hidden="1" customHeight="1" x14ac:dyDescent="0.25">
      <c r="A204" s="41"/>
      <c r="B204" s="41"/>
      <c r="C204" s="41"/>
      <c r="D204" s="41"/>
      <c r="E204" s="41"/>
      <c r="F204" s="41"/>
      <c r="G204" s="41"/>
      <c r="H204" s="41"/>
      <c r="I204" s="41"/>
      <c r="J204" s="41"/>
      <c r="K204" s="41"/>
      <c r="L204" s="41"/>
      <c r="M204" s="41"/>
      <c r="N204" s="41"/>
      <c r="O204" s="41"/>
      <c r="P204" s="41"/>
      <c r="Q204" s="41"/>
      <c r="R204" s="41"/>
      <c r="S204" s="41"/>
      <c r="T204" s="41"/>
      <c r="U204" s="41"/>
      <c r="V204" s="41"/>
      <c r="W204" s="41"/>
    </row>
    <row r="205" spans="1:23" ht="19.5" hidden="1" customHeight="1" x14ac:dyDescent="0.25">
      <c r="A205" s="41"/>
      <c r="B205" s="41"/>
      <c r="C205" s="41"/>
      <c r="D205" s="41"/>
      <c r="E205" s="41"/>
      <c r="F205" s="41"/>
      <c r="G205" s="41"/>
      <c r="H205" s="41"/>
      <c r="I205" s="41"/>
      <c r="J205" s="41"/>
      <c r="K205" s="41"/>
      <c r="L205" s="41"/>
      <c r="M205" s="41"/>
      <c r="N205" s="41"/>
      <c r="O205" s="41"/>
      <c r="P205" s="41"/>
      <c r="Q205" s="41"/>
      <c r="R205" s="41"/>
      <c r="S205" s="41"/>
      <c r="T205" s="41"/>
      <c r="U205" s="41"/>
      <c r="V205" s="41"/>
      <c r="W205" s="41"/>
    </row>
    <row r="206" spans="1:23" ht="19.5" hidden="1" customHeight="1" x14ac:dyDescent="0.25">
      <c r="A206" s="41"/>
      <c r="B206" s="41"/>
      <c r="C206" s="41"/>
      <c r="D206" s="41"/>
      <c r="E206" s="41"/>
      <c r="F206" s="41"/>
      <c r="G206" s="41"/>
      <c r="H206" s="41"/>
      <c r="I206" s="41"/>
      <c r="J206" s="41"/>
      <c r="K206" s="41"/>
      <c r="L206" s="41"/>
      <c r="M206" s="41"/>
      <c r="N206" s="41"/>
      <c r="O206" s="41"/>
      <c r="P206" s="41"/>
      <c r="Q206" s="41"/>
      <c r="R206" s="41"/>
      <c r="S206" s="41"/>
      <c r="T206" s="41"/>
      <c r="U206" s="41"/>
      <c r="V206" s="41"/>
      <c r="W206" s="41"/>
    </row>
    <row r="207" spans="1:23" ht="19.5" hidden="1" customHeight="1" x14ac:dyDescent="0.25">
      <c r="A207" s="41"/>
      <c r="B207" s="41"/>
      <c r="C207" s="41"/>
      <c r="D207" s="41"/>
      <c r="E207" s="41"/>
      <c r="F207" s="41"/>
      <c r="G207" s="41"/>
      <c r="H207" s="41"/>
      <c r="I207" s="41"/>
      <c r="J207" s="41"/>
      <c r="K207" s="41"/>
      <c r="L207" s="41"/>
      <c r="M207" s="41"/>
      <c r="N207" s="41"/>
      <c r="O207" s="41"/>
      <c r="P207" s="41"/>
      <c r="Q207" s="41"/>
      <c r="R207" s="41"/>
      <c r="S207" s="41"/>
      <c r="T207" s="41"/>
      <c r="U207" s="41"/>
      <c r="V207" s="41"/>
      <c r="W207" s="41"/>
    </row>
    <row r="208" spans="1:23" ht="19.5" hidden="1" customHeight="1" x14ac:dyDescent="0.25">
      <c r="A208" s="41"/>
      <c r="B208" s="41"/>
      <c r="C208" s="41"/>
      <c r="D208" s="41"/>
      <c r="E208" s="41"/>
      <c r="F208" s="41"/>
      <c r="G208" s="41"/>
      <c r="H208" s="41"/>
      <c r="I208" s="41"/>
      <c r="J208" s="41"/>
      <c r="K208" s="41"/>
      <c r="L208" s="41"/>
      <c r="M208" s="41"/>
      <c r="N208" s="41"/>
      <c r="O208" s="41"/>
      <c r="P208" s="41"/>
      <c r="Q208" s="41"/>
      <c r="R208" s="41"/>
      <c r="S208" s="41"/>
      <c r="T208" s="41"/>
      <c r="U208" s="41"/>
      <c r="V208" s="41"/>
      <c r="W208" s="41"/>
    </row>
    <row r="209" spans="1:23" ht="19.5" hidden="1" customHeight="1" x14ac:dyDescent="0.25">
      <c r="A209" s="41"/>
      <c r="B209" s="41"/>
      <c r="C209" s="41"/>
      <c r="D209" s="41"/>
      <c r="E209" s="41"/>
      <c r="F209" s="41"/>
      <c r="G209" s="41"/>
      <c r="H209" s="41"/>
      <c r="I209" s="41"/>
      <c r="J209" s="41"/>
      <c r="K209" s="41"/>
      <c r="L209" s="41"/>
      <c r="M209" s="41"/>
      <c r="N209" s="41"/>
      <c r="O209" s="41"/>
      <c r="P209" s="41"/>
      <c r="Q209" s="41"/>
      <c r="R209" s="41"/>
      <c r="S209" s="41"/>
      <c r="T209" s="41"/>
      <c r="U209" s="41"/>
      <c r="V209" s="41"/>
      <c r="W209" s="41"/>
    </row>
    <row r="210" spans="1:23" ht="19.5" hidden="1" customHeight="1" x14ac:dyDescent="0.25">
      <c r="A210" s="41"/>
      <c r="B210" s="41"/>
      <c r="C210" s="41"/>
      <c r="D210" s="41"/>
      <c r="E210" s="41"/>
      <c r="F210" s="41"/>
      <c r="G210" s="41"/>
      <c r="H210" s="41"/>
      <c r="I210" s="41"/>
      <c r="J210" s="41"/>
      <c r="K210" s="41"/>
      <c r="L210" s="41"/>
      <c r="M210" s="41"/>
      <c r="N210" s="41"/>
      <c r="O210" s="41"/>
      <c r="P210" s="41"/>
      <c r="Q210" s="41"/>
      <c r="R210" s="41"/>
      <c r="S210" s="41"/>
      <c r="T210" s="41"/>
      <c r="U210" s="41"/>
      <c r="V210" s="41"/>
      <c r="W210" s="41"/>
    </row>
    <row r="211" spans="1:23" ht="19.5" hidden="1" customHeight="1" x14ac:dyDescent="0.25">
      <c r="A211" s="41"/>
      <c r="B211" s="41"/>
      <c r="C211" s="41"/>
      <c r="D211" s="41"/>
      <c r="E211" s="41"/>
      <c r="F211" s="41"/>
      <c r="G211" s="41"/>
      <c r="H211" s="41"/>
      <c r="I211" s="41"/>
      <c r="J211" s="41"/>
      <c r="K211" s="41"/>
      <c r="L211" s="41"/>
      <c r="M211" s="41"/>
      <c r="N211" s="41"/>
      <c r="O211" s="41"/>
      <c r="P211" s="41"/>
      <c r="Q211" s="41"/>
      <c r="R211" s="41"/>
      <c r="S211" s="41"/>
      <c r="T211" s="41"/>
      <c r="U211" s="41"/>
      <c r="V211" s="41"/>
      <c r="W211" s="41"/>
    </row>
    <row r="212" spans="1:23" ht="19.5" hidden="1" customHeight="1" x14ac:dyDescent="0.25">
      <c r="A212" s="41"/>
      <c r="B212" s="41"/>
      <c r="C212" s="41"/>
      <c r="D212" s="41"/>
      <c r="E212" s="41"/>
      <c r="F212" s="41"/>
      <c r="G212" s="41"/>
      <c r="H212" s="41"/>
      <c r="I212" s="41"/>
      <c r="J212" s="41"/>
      <c r="K212" s="41"/>
      <c r="L212" s="41"/>
      <c r="M212" s="41"/>
      <c r="N212" s="41"/>
      <c r="O212" s="41"/>
      <c r="P212" s="41"/>
      <c r="Q212" s="41"/>
      <c r="R212" s="41"/>
      <c r="S212" s="41"/>
      <c r="T212" s="41"/>
      <c r="U212" s="41"/>
      <c r="V212" s="41"/>
      <c r="W212" s="41"/>
    </row>
    <row r="213" spans="1:23" ht="19.5" hidden="1" customHeight="1" x14ac:dyDescent="0.25">
      <c r="A213" s="41"/>
      <c r="B213" s="41"/>
      <c r="C213" s="41"/>
      <c r="D213" s="41"/>
      <c r="E213" s="41"/>
      <c r="F213" s="41"/>
      <c r="G213" s="41"/>
      <c r="H213" s="41"/>
      <c r="I213" s="41"/>
      <c r="J213" s="41"/>
      <c r="K213" s="41"/>
      <c r="L213" s="41"/>
      <c r="M213" s="41"/>
      <c r="N213" s="41"/>
      <c r="O213" s="41"/>
      <c r="P213" s="41"/>
      <c r="Q213" s="41"/>
      <c r="R213" s="41"/>
      <c r="S213" s="41"/>
      <c r="T213" s="41"/>
      <c r="U213" s="41"/>
      <c r="V213" s="41"/>
      <c r="W213" s="41"/>
    </row>
    <row r="214" spans="1:23" ht="19.5" hidden="1" customHeight="1" x14ac:dyDescent="0.25">
      <c r="A214" s="41"/>
      <c r="B214" s="41"/>
      <c r="C214" s="41"/>
      <c r="D214" s="41"/>
      <c r="E214" s="41"/>
      <c r="F214" s="41"/>
      <c r="G214" s="41"/>
      <c r="H214" s="41"/>
      <c r="I214" s="41"/>
      <c r="J214" s="41"/>
      <c r="K214" s="41"/>
      <c r="L214" s="41"/>
      <c r="M214" s="41"/>
      <c r="N214" s="41"/>
      <c r="O214" s="41"/>
      <c r="P214" s="41"/>
      <c r="Q214" s="41"/>
      <c r="R214" s="41"/>
      <c r="S214" s="41"/>
      <c r="T214" s="41"/>
      <c r="U214" s="41"/>
      <c r="V214" s="41"/>
      <c r="W214" s="41"/>
    </row>
    <row r="215" spans="1:23" ht="19.5" hidden="1" customHeight="1" x14ac:dyDescent="0.25">
      <c r="A215" s="41"/>
      <c r="B215" s="41"/>
      <c r="C215" s="41"/>
      <c r="D215" s="41"/>
      <c r="E215" s="41"/>
      <c r="F215" s="41"/>
      <c r="G215" s="41"/>
      <c r="H215" s="41"/>
      <c r="I215" s="41"/>
      <c r="J215" s="41"/>
      <c r="K215" s="41"/>
      <c r="L215" s="41"/>
      <c r="M215" s="41"/>
      <c r="N215" s="41"/>
      <c r="O215" s="41"/>
      <c r="P215" s="41"/>
      <c r="Q215" s="41"/>
      <c r="R215" s="41"/>
      <c r="S215" s="41"/>
      <c r="T215" s="41"/>
      <c r="U215" s="41"/>
      <c r="V215" s="41"/>
      <c r="W215" s="41"/>
    </row>
    <row r="216" spans="1:23" ht="19.5" hidden="1" customHeight="1" x14ac:dyDescent="0.25">
      <c r="A216" s="41"/>
      <c r="B216" s="41"/>
      <c r="C216" s="41"/>
      <c r="D216" s="41"/>
      <c r="E216" s="41"/>
      <c r="F216" s="41"/>
      <c r="G216" s="41"/>
      <c r="H216" s="41"/>
      <c r="I216" s="41"/>
      <c r="J216" s="41"/>
      <c r="K216" s="41"/>
      <c r="L216" s="41"/>
      <c r="M216" s="41"/>
      <c r="N216" s="41"/>
      <c r="O216" s="41"/>
      <c r="P216" s="41"/>
      <c r="Q216" s="41"/>
      <c r="R216" s="41"/>
      <c r="S216" s="41"/>
      <c r="T216" s="41"/>
      <c r="U216" s="41"/>
      <c r="V216" s="41"/>
      <c r="W216" s="41"/>
    </row>
    <row r="217" spans="1:23" ht="19.5" hidden="1" customHeight="1" x14ac:dyDescent="0.25">
      <c r="A217" s="41"/>
      <c r="B217" s="41"/>
      <c r="C217" s="41"/>
      <c r="D217" s="41"/>
      <c r="E217" s="41"/>
      <c r="F217" s="41"/>
      <c r="G217" s="41"/>
      <c r="H217" s="41"/>
      <c r="I217" s="41"/>
      <c r="J217" s="41"/>
      <c r="K217" s="41"/>
      <c r="L217" s="41"/>
      <c r="M217" s="41"/>
      <c r="N217" s="41"/>
      <c r="O217" s="41"/>
      <c r="P217" s="41"/>
      <c r="Q217" s="41"/>
      <c r="R217" s="41"/>
      <c r="S217" s="41"/>
      <c r="T217" s="41"/>
      <c r="U217" s="41"/>
      <c r="V217" s="41"/>
      <c r="W217" s="41"/>
    </row>
    <row r="218" spans="1:23" ht="19.5" hidden="1" customHeight="1" x14ac:dyDescent="0.25">
      <c r="A218" s="41"/>
      <c r="B218" s="41"/>
      <c r="C218" s="41"/>
      <c r="D218" s="41"/>
      <c r="E218" s="41"/>
      <c r="F218" s="41"/>
      <c r="G218" s="41"/>
      <c r="H218" s="41"/>
      <c r="I218" s="41"/>
      <c r="J218" s="41"/>
      <c r="K218" s="41"/>
      <c r="L218" s="41"/>
      <c r="M218" s="41"/>
      <c r="N218" s="41"/>
      <c r="O218" s="41"/>
      <c r="P218" s="41"/>
      <c r="Q218" s="41"/>
      <c r="R218" s="41"/>
      <c r="S218" s="41"/>
      <c r="T218" s="41"/>
      <c r="U218" s="41"/>
      <c r="V218" s="41"/>
      <c r="W218" s="41"/>
    </row>
    <row r="219" spans="1:23" ht="19.5" hidden="1" customHeight="1" x14ac:dyDescent="0.25">
      <c r="A219" s="41"/>
      <c r="B219" s="41"/>
      <c r="C219" s="41"/>
      <c r="D219" s="41"/>
      <c r="E219" s="41"/>
      <c r="F219" s="41"/>
      <c r="G219" s="41"/>
      <c r="H219" s="41"/>
      <c r="I219" s="41"/>
      <c r="J219" s="41"/>
      <c r="K219" s="41"/>
      <c r="L219" s="41"/>
      <c r="M219" s="41"/>
      <c r="N219" s="41"/>
      <c r="O219" s="41"/>
      <c r="P219" s="41"/>
      <c r="Q219" s="41"/>
      <c r="R219" s="41"/>
      <c r="S219" s="41"/>
      <c r="T219" s="41"/>
      <c r="U219" s="41"/>
      <c r="V219" s="41"/>
      <c r="W219" s="41"/>
    </row>
    <row r="220" spans="1:23" ht="19.5" hidden="1" customHeight="1" x14ac:dyDescent="0.25">
      <c r="A220" s="41"/>
      <c r="B220" s="41"/>
      <c r="C220" s="41"/>
      <c r="D220" s="41"/>
      <c r="E220" s="41"/>
      <c r="F220" s="41"/>
      <c r="G220" s="41"/>
      <c r="H220" s="41"/>
      <c r="I220" s="41"/>
      <c r="J220" s="41"/>
      <c r="K220" s="41"/>
      <c r="L220" s="41"/>
      <c r="M220" s="41"/>
      <c r="N220" s="41"/>
      <c r="O220" s="41"/>
      <c r="P220" s="41"/>
      <c r="Q220" s="41"/>
      <c r="R220" s="41"/>
      <c r="S220" s="41"/>
      <c r="T220" s="41"/>
      <c r="U220" s="41"/>
      <c r="V220" s="41"/>
      <c r="W220" s="41"/>
    </row>
    <row r="221" spans="1:23" ht="19.5" hidden="1" customHeight="1" x14ac:dyDescent="0.25">
      <c r="A221" s="41"/>
      <c r="B221" s="41"/>
      <c r="C221" s="41"/>
      <c r="D221" s="41"/>
      <c r="E221" s="41"/>
      <c r="F221" s="41"/>
      <c r="G221" s="41"/>
      <c r="H221" s="41"/>
      <c r="I221" s="41"/>
      <c r="J221" s="41"/>
      <c r="K221" s="41"/>
      <c r="L221" s="41"/>
      <c r="M221" s="41"/>
      <c r="N221" s="41"/>
      <c r="O221" s="41"/>
      <c r="P221" s="41"/>
      <c r="Q221" s="41"/>
      <c r="R221" s="41"/>
      <c r="S221" s="41"/>
      <c r="T221" s="41"/>
      <c r="U221" s="41"/>
      <c r="V221" s="41"/>
      <c r="W221" s="41"/>
    </row>
    <row r="222" spans="1:23" ht="19.5" hidden="1" customHeight="1" x14ac:dyDescent="0.25">
      <c r="A222" s="41"/>
      <c r="B222" s="41"/>
      <c r="C222" s="41"/>
      <c r="D222" s="41"/>
      <c r="E222" s="41"/>
      <c r="F222" s="41"/>
      <c r="G222" s="41"/>
      <c r="H222" s="41"/>
      <c r="I222" s="41"/>
      <c r="J222" s="41"/>
      <c r="K222" s="41"/>
      <c r="L222" s="41"/>
      <c r="M222" s="41"/>
      <c r="N222" s="41"/>
      <c r="O222" s="41"/>
      <c r="P222" s="41"/>
      <c r="Q222" s="41"/>
      <c r="R222" s="41"/>
      <c r="S222" s="41"/>
      <c r="T222" s="41"/>
      <c r="U222" s="41"/>
      <c r="V222" s="41"/>
      <c r="W222" s="41"/>
    </row>
    <row r="223" spans="1:23" ht="19.5" hidden="1" customHeight="1" x14ac:dyDescent="0.25">
      <c r="A223" s="41"/>
      <c r="B223" s="41"/>
      <c r="C223" s="41"/>
      <c r="D223" s="41"/>
      <c r="E223" s="41"/>
      <c r="F223" s="41"/>
      <c r="G223" s="41"/>
      <c r="H223" s="41"/>
      <c r="I223" s="41"/>
      <c r="J223" s="41"/>
      <c r="K223" s="41"/>
      <c r="L223" s="41"/>
      <c r="M223" s="41"/>
      <c r="N223" s="41"/>
      <c r="O223" s="41"/>
      <c r="P223" s="41"/>
      <c r="Q223" s="41"/>
      <c r="R223" s="41"/>
      <c r="S223" s="41"/>
      <c r="T223" s="41"/>
      <c r="U223" s="41"/>
      <c r="V223" s="41"/>
      <c r="W223" s="41"/>
    </row>
    <row r="224" spans="1:23" ht="19.5" hidden="1" customHeight="1" x14ac:dyDescent="0.25">
      <c r="A224" s="41"/>
      <c r="B224" s="41"/>
      <c r="C224" s="41"/>
      <c r="D224" s="41"/>
      <c r="E224" s="41"/>
      <c r="F224" s="41"/>
      <c r="G224" s="41"/>
      <c r="H224" s="41"/>
      <c r="I224" s="41"/>
      <c r="J224" s="41"/>
      <c r="K224" s="41"/>
      <c r="L224" s="41"/>
      <c r="M224" s="41"/>
      <c r="N224" s="41"/>
      <c r="O224" s="41"/>
      <c r="P224" s="41"/>
      <c r="Q224" s="41"/>
      <c r="R224" s="41"/>
      <c r="S224" s="41"/>
      <c r="T224" s="41"/>
      <c r="U224" s="41"/>
      <c r="V224" s="41"/>
      <c r="W224" s="41"/>
    </row>
    <row r="225" spans="1:23" ht="19.5" hidden="1" customHeight="1" x14ac:dyDescent="0.25">
      <c r="A225" s="41"/>
      <c r="B225" s="41"/>
      <c r="C225" s="41"/>
      <c r="D225" s="41"/>
      <c r="E225" s="41"/>
      <c r="F225" s="41"/>
      <c r="G225" s="41"/>
      <c r="H225" s="41"/>
      <c r="I225" s="41"/>
      <c r="J225" s="41"/>
      <c r="K225" s="41"/>
      <c r="L225" s="41"/>
      <c r="M225" s="41"/>
      <c r="N225" s="41"/>
      <c r="O225" s="41"/>
      <c r="P225" s="41"/>
      <c r="Q225" s="41"/>
      <c r="R225" s="41"/>
      <c r="S225" s="41"/>
      <c r="T225" s="41"/>
      <c r="U225" s="41"/>
      <c r="V225" s="41"/>
      <c r="W225" s="41"/>
    </row>
    <row r="226" spans="1:23" ht="19.5" hidden="1" customHeight="1" x14ac:dyDescent="0.25">
      <c r="A226" s="41"/>
      <c r="B226" s="41"/>
      <c r="C226" s="41"/>
      <c r="D226" s="41"/>
      <c r="E226" s="41"/>
      <c r="F226" s="41"/>
      <c r="G226" s="41"/>
      <c r="H226" s="41"/>
      <c r="I226" s="41"/>
      <c r="J226" s="41"/>
      <c r="K226" s="41"/>
      <c r="L226" s="41"/>
      <c r="M226" s="41"/>
      <c r="N226" s="41"/>
      <c r="O226" s="41"/>
      <c r="P226" s="41"/>
      <c r="Q226" s="41"/>
      <c r="R226" s="41"/>
      <c r="S226" s="41"/>
      <c r="T226" s="41"/>
      <c r="U226" s="41"/>
      <c r="V226" s="41"/>
      <c r="W226" s="41"/>
    </row>
    <row r="227" spans="1:23" ht="19.5" hidden="1" customHeight="1" x14ac:dyDescent="0.25">
      <c r="A227" s="41"/>
      <c r="B227" s="41"/>
      <c r="C227" s="41"/>
      <c r="D227" s="41"/>
      <c r="E227" s="41"/>
      <c r="F227" s="41"/>
      <c r="G227" s="41"/>
      <c r="H227" s="41"/>
      <c r="I227" s="41"/>
      <c r="J227" s="41"/>
      <c r="K227" s="41"/>
      <c r="L227" s="41"/>
      <c r="M227" s="41"/>
      <c r="N227" s="41"/>
      <c r="O227" s="41"/>
      <c r="P227" s="41"/>
      <c r="Q227" s="41"/>
      <c r="R227" s="41"/>
      <c r="S227" s="41"/>
      <c r="T227" s="41"/>
      <c r="U227" s="41"/>
      <c r="V227" s="41"/>
      <c r="W227" s="41"/>
    </row>
    <row r="228" spans="1:23" ht="19.5" hidden="1" customHeight="1" x14ac:dyDescent="0.25">
      <c r="A228" s="41"/>
      <c r="B228" s="41"/>
      <c r="C228" s="41"/>
      <c r="D228" s="41"/>
      <c r="E228" s="41"/>
      <c r="F228" s="41"/>
      <c r="G228" s="41"/>
      <c r="H228" s="41"/>
      <c r="I228" s="41"/>
      <c r="J228" s="41"/>
      <c r="K228" s="41"/>
      <c r="L228" s="41"/>
      <c r="M228" s="41"/>
      <c r="N228" s="41"/>
      <c r="O228" s="41"/>
      <c r="P228" s="41"/>
      <c r="Q228" s="41"/>
      <c r="R228" s="41"/>
      <c r="S228" s="41"/>
      <c r="T228" s="41"/>
      <c r="U228" s="41"/>
      <c r="V228" s="41"/>
      <c r="W228" s="41"/>
    </row>
    <row r="229" spans="1:23" ht="19.5" hidden="1" customHeight="1" x14ac:dyDescent="0.25">
      <c r="A229" s="41"/>
      <c r="B229" s="41"/>
      <c r="C229" s="41"/>
      <c r="D229" s="41"/>
      <c r="E229" s="41"/>
      <c r="F229" s="41"/>
      <c r="G229" s="41"/>
      <c r="H229" s="41"/>
      <c r="I229" s="41"/>
      <c r="J229" s="41"/>
      <c r="K229" s="41"/>
      <c r="L229" s="41"/>
      <c r="M229" s="41"/>
      <c r="N229" s="41"/>
      <c r="O229" s="41"/>
      <c r="P229" s="41"/>
      <c r="Q229" s="41"/>
      <c r="R229" s="41"/>
      <c r="S229" s="41"/>
      <c r="T229" s="41"/>
      <c r="U229" s="41"/>
      <c r="V229" s="41"/>
      <c r="W229" s="41"/>
    </row>
    <row r="230" spans="1:23" ht="19.5" hidden="1" customHeight="1" x14ac:dyDescent="0.25">
      <c r="A230" s="41"/>
      <c r="B230" s="41"/>
      <c r="C230" s="41"/>
      <c r="D230" s="41"/>
      <c r="E230" s="41"/>
      <c r="F230" s="41"/>
      <c r="G230" s="41"/>
      <c r="H230" s="41"/>
      <c r="I230" s="41"/>
      <c r="J230" s="41"/>
      <c r="K230" s="41"/>
      <c r="L230" s="41"/>
      <c r="M230" s="41"/>
      <c r="N230" s="41"/>
      <c r="O230" s="41"/>
      <c r="P230" s="41"/>
      <c r="Q230" s="41"/>
      <c r="R230" s="41"/>
      <c r="S230" s="41"/>
      <c r="T230" s="41"/>
      <c r="U230" s="41"/>
      <c r="V230" s="41"/>
      <c r="W230" s="41"/>
    </row>
    <row r="231" spans="1:23" ht="19.5" hidden="1" customHeight="1" x14ac:dyDescent="0.25">
      <c r="A231" s="41"/>
      <c r="B231" s="41"/>
      <c r="C231" s="41"/>
      <c r="D231" s="41"/>
      <c r="E231" s="41"/>
      <c r="F231" s="41"/>
      <c r="G231" s="41"/>
      <c r="H231" s="41"/>
      <c r="I231" s="41"/>
      <c r="J231" s="41"/>
      <c r="K231" s="41"/>
      <c r="L231" s="41"/>
      <c r="M231" s="41"/>
      <c r="N231" s="41"/>
      <c r="O231" s="41"/>
      <c r="P231" s="41"/>
      <c r="Q231" s="41"/>
      <c r="R231" s="41"/>
      <c r="S231" s="41"/>
      <c r="T231" s="41"/>
      <c r="U231" s="41"/>
      <c r="V231" s="41"/>
      <c r="W231" s="41"/>
    </row>
    <row r="232" spans="1:23" ht="19.5" hidden="1" customHeight="1" x14ac:dyDescent="0.25">
      <c r="A232" s="41"/>
      <c r="B232" s="41"/>
      <c r="C232" s="41"/>
      <c r="D232" s="41"/>
      <c r="E232" s="41"/>
      <c r="F232" s="41"/>
      <c r="G232" s="41"/>
      <c r="H232" s="41"/>
      <c r="I232" s="41"/>
      <c r="J232" s="41"/>
      <c r="K232" s="41"/>
      <c r="L232" s="41"/>
      <c r="M232" s="41"/>
      <c r="N232" s="41"/>
      <c r="O232" s="41"/>
      <c r="P232" s="41"/>
      <c r="Q232" s="41"/>
      <c r="R232" s="41"/>
      <c r="S232" s="41"/>
      <c r="T232" s="41"/>
      <c r="U232" s="41"/>
      <c r="V232" s="41"/>
      <c r="W232" s="41"/>
    </row>
    <row r="233" spans="1:23" ht="19.5" hidden="1" customHeight="1" x14ac:dyDescent="0.25">
      <c r="A233" s="41"/>
      <c r="B233" s="41"/>
      <c r="C233" s="41"/>
      <c r="D233" s="41"/>
      <c r="E233" s="41"/>
      <c r="F233" s="41"/>
      <c r="G233" s="41"/>
      <c r="H233" s="41"/>
      <c r="I233" s="41"/>
      <c r="J233" s="41"/>
      <c r="K233" s="41"/>
      <c r="L233" s="41"/>
      <c r="M233" s="41"/>
      <c r="N233" s="41"/>
      <c r="O233" s="41"/>
      <c r="P233" s="41"/>
      <c r="Q233" s="41"/>
      <c r="R233" s="41"/>
      <c r="S233" s="41"/>
      <c r="T233" s="41"/>
      <c r="U233" s="41"/>
      <c r="V233" s="41"/>
      <c r="W233" s="41"/>
    </row>
    <row r="234" spans="1:23" ht="19.5" hidden="1" customHeight="1" x14ac:dyDescent="0.25">
      <c r="A234" s="41"/>
      <c r="B234" s="41"/>
      <c r="C234" s="41"/>
      <c r="D234" s="41"/>
      <c r="E234" s="41"/>
      <c r="F234" s="41"/>
      <c r="G234" s="41"/>
      <c r="H234" s="41"/>
      <c r="I234" s="41"/>
      <c r="J234" s="41"/>
      <c r="K234" s="41"/>
      <c r="L234" s="41"/>
      <c r="M234" s="41"/>
      <c r="N234" s="41"/>
      <c r="O234" s="41"/>
      <c r="P234" s="41"/>
      <c r="Q234" s="41"/>
      <c r="R234" s="41"/>
      <c r="S234" s="41"/>
      <c r="T234" s="41"/>
      <c r="U234" s="41"/>
      <c r="V234" s="41"/>
      <c r="W234" s="41"/>
    </row>
    <row r="235" spans="1:23" ht="19.5" hidden="1" customHeight="1" x14ac:dyDescent="0.25">
      <c r="A235" s="41"/>
      <c r="B235" s="41"/>
      <c r="C235" s="41"/>
      <c r="D235" s="41"/>
      <c r="E235" s="41"/>
      <c r="F235" s="41"/>
      <c r="G235" s="41"/>
      <c r="H235" s="41"/>
      <c r="I235" s="41"/>
      <c r="J235" s="41"/>
      <c r="K235" s="41"/>
      <c r="L235" s="41"/>
      <c r="M235" s="41"/>
      <c r="N235" s="41"/>
      <c r="O235" s="41"/>
      <c r="P235" s="41"/>
      <c r="Q235" s="41"/>
      <c r="R235" s="41"/>
      <c r="S235" s="41"/>
      <c r="T235" s="41"/>
      <c r="U235" s="41"/>
      <c r="V235" s="41"/>
      <c r="W235" s="41"/>
    </row>
    <row r="236" spans="1:23" ht="19.5" hidden="1" customHeight="1" x14ac:dyDescent="0.25">
      <c r="A236" s="41"/>
      <c r="B236" s="41"/>
      <c r="C236" s="41"/>
      <c r="D236" s="41"/>
      <c r="E236" s="41"/>
      <c r="F236" s="41"/>
      <c r="G236" s="41"/>
      <c r="H236" s="41"/>
      <c r="I236" s="41"/>
      <c r="J236" s="41"/>
      <c r="K236" s="41"/>
      <c r="L236" s="41"/>
      <c r="M236" s="41"/>
      <c r="N236" s="41"/>
      <c r="O236" s="41"/>
      <c r="P236" s="41"/>
      <c r="Q236" s="41"/>
      <c r="R236" s="41"/>
      <c r="S236" s="41"/>
      <c r="T236" s="41"/>
      <c r="U236" s="41"/>
      <c r="V236" s="41"/>
      <c r="W236" s="41"/>
    </row>
    <row r="237" spans="1:23" ht="19.5" hidden="1" customHeight="1" x14ac:dyDescent="0.25">
      <c r="A237" s="41"/>
      <c r="B237" s="41"/>
      <c r="C237" s="41"/>
      <c r="D237" s="41"/>
      <c r="E237" s="41"/>
      <c r="F237" s="41"/>
      <c r="G237" s="41"/>
      <c r="H237" s="41"/>
      <c r="I237" s="41"/>
      <c r="J237" s="41"/>
      <c r="K237" s="41"/>
      <c r="L237" s="41"/>
      <c r="M237" s="41"/>
      <c r="N237" s="41"/>
      <c r="O237" s="41"/>
      <c r="P237" s="41"/>
      <c r="Q237" s="41"/>
      <c r="R237" s="41"/>
      <c r="S237" s="41"/>
      <c r="T237" s="41"/>
      <c r="U237" s="41"/>
      <c r="V237" s="41"/>
      <c r="W237" s="41"/>
    </row>
    <row r="238" spans="1:23" ht="19.5" hidden="1" customHeight="1" x14ac:dyDescent="0.25">
      <c r="A238" s="41"/>
      <c r="B238" s="41"/>
      <c r="C238" s="41"/>
      <c r="D238" s="41"/>
      <c r="E238" s="41"/>
      <c r="F238" s="41"/>
      <c r="G238" s="41"/>
      <c r="H238" s="41"/>
      <c r="I238" s="41"/>
      <c r="J238" s="41"/>
      <c r="K238" s="41"/>
      <c r="L238" s="41"/>
      <c r="M238" s="41"/>
      <c r="N238" s="41"/>
      <c r="O238" s="41"/>
      <c r="P238" s="41"/>
      <c r="Q238" s="41"/>
      <c r="R238" s="41"/>
      <c r="S238" s="41"/>
      <c r="T238" s="41"/>
      <c r="U238" s="41"/>
      <c r="V238" s="41"/>
      <c r="W238" s="41"/>
    </row>
    <row r="239" spans="1:23" ht="19.5" hidden="1" customHeight="1" x14ac:dyDescent="0.25">
      <c r="A239" s="41"/>
      <c r="B239" s="41"/>
      <c r="C239" s="41"/>
      <c r="D239" s="41"/>
      <c r="E239" s="41"/>
      <c r="F239" s="41"/>
      <c r="G239" s="41"/>
      <c r="H239" s="41"/>
      <c r="I239" s="41"/>
      <c r="J239" s="41"/>
      <c r="K239" s="41"/>
      <c r="L239" s="41"/>
      <c r="M239" s="41"/>
      <c r="N239" s="41"/>
      <c r="O239" s="41"/>
      <c r="P239" s="41"/>
      <c r="Q239" s="41"/>
      <c r="R239" s="41"/>
      <c r="S239" s="41"/>
      <c r="T239" s="41"/>
      <c r="U239" s="41"/>
      <c r="V239" s="41"/>
      <c r="W239" s="41"/>
    </row>
    <row r="240" spans="1:23" ht="19.5" hidden="1" customHeight="1" x14ac:dyDescent="0.25">
      <c r="A240" s="41"/>
      <c r="B240" s="41"/>
      <c r="C240" s="41"/>
      <c r="D240" s="41"/>
      <c r="E240" s="41"/>
      <c r="F240" s="41"/>
      <c r="G240" s="41"/>
      <c r="H240" s="41"/>
      <c r="I240" s="41"/>
      <c r="J240" s="41"/>
      <c r="K240" s="41"/>
      <c r="L240" s="41"/>
      <c r="M240" s="41"/>
      <c r="N240" s="41"/>
      <c r="O240" s="41"/>
      <c r="P240" s="41"/>
      <c r="Q240" s="41"/>
      <c r="R240" s="41"/>
      <c r="S240" s="41"/>
      <c r="T240" s="41"/>
      <c r="U240" s="41"/>
      <c r="V240" s="41"/>
      <c r="W240" s="41"/>
    </row>
    <row r="241" spans="1:23" ht="19.5" hidden="1" customHeight="1" x14ac:dyDescent="0.25">
      <c r="A241" s="41"/>
      <c r="B241" s="41"/>
      <c r="C241" s="41"/>
      <c r="D241" s="41"/>
      <c r="E241" s="41"/>
      <c r="F241" s="41"/>
      <c r="G241" s="41"/>
      <c r="H241" s="41"/>
      <c r="I241" s="41"/>
      <c r="J241" s="41"/>
      <c r="K241" s="41"/>
      <c r="L241" s="41"/>
      <c r="M241" s="41"/>
      <c r="N241" s="41"/>
      <c r="O241" s="41"/>
      <c r="P241" s="41"/>
      <c r="Q241" s="41"/>
      <c r="R241" s="41"/>
      <c r="S241" s="41"/>
      <c r="T241" s="41"/>
      <c r="U241" s="41"/>
      <c r="V241" s="41"/>
      <c r="W241" s="41"/>
    </row>
    <row r="242" spans="1:23" ht="19.5" hidden="1" customHeight="1" x14ac:dyDescent="0.25">
      <c r="A242" s="41"/>
      <c r="B242" s="41"/>
      <c r="C242" s="41"/>
      <c r="D242" s="41"/>
      <c r="E242" s="41"/>
      <c r="F242" s="41"/>
      <c r="G242" s="41"/>
      <c r="H242" s="41"/>
      <c r="I242" s="41"/>
      <c r="J242" s="41"/>
      <c r="K242" s="41"/>
      <c r="L242" s="41"/>
      <c r="M242" s="41"/>
      <c r="N242" s="41"/>
      <c r="O242" s="41"/>
      <c r="P242" s="41"/>
      <c r="Q242" s="41"/>
      <c r="R242" s="41"/>
      <c r="S242" s="41"/>
      <c r="T242" s="41"/>
      <c r="U242" s="41"/>
      <c r="V242" s="41"/>
      <c r="W242" s="41"/>
    </row>
    <row r="243" spans="1:23" ht="19.5" hidden="1" customHeight="1" x14ac:dyDescent="0.25">
      <c r="A243" s="41"/>
      <c r="B243" s="41"/>
      <c r="C243" s="41"/>
      <c r="D243" s="41"/>
      <c r="E243" s="41"/>
      <c r="F243" s="41"/>
      <c r="G243" s="41"/>
      <c r="H243" s="41"/>
      <c r="I243" s="41"/>
      <c r="J243" s="41"/>
      <c r="K243" s="41"/>
      <c r="L243" s="41"/>
      <c r="M243" s="41"/>
      <c r="N243" s="41"/>
      <c r="O243" s="41"/>
      <c r="P243" s="41"/>
      <c r="Q243" s="41"/>
      <c r="R243" s="41"/>
      <c r="S243" s="41"/>
      <c r="T243" s="41"/>
      <c r="U243" s="41"/>
      <c r="V243" s="41"/>
      <c r="W243" s="41"/>
    </row>
    <row r="244" spans="1:23" ht="19.5" hidden="1" customHeight="1" x14ac:dyDescent="0.25">
      <c r="A244" s="41"/>
      <c r="B244" s="41"/>
      <c r="C244" s="41"/>
      <c r="D244" s="41"/>
      <c r="E244" s="41"/>
      <c r="F244" s="41"/>
      <c r="G244" s="41"/>
      <c r="H244" s="41"/>
      <c r="I244" s="41"/>
      <c r="J244" s="41"/>
      <c r="K244" s="41"/>
      <c r="L244" s="41"/>
      <c r="M244" s="41"/>
      <c r="N244" s="41"/>
      <c r="O244" s="41"/>
      <c r="P244" s="41"/>
      <c r="Q244" s="41"/>
      <c r="R244" s="41"/>
      <c r="S244" s="41"/>
      <c r="T244" s="41"/>
      <c r="U244" s="41"/>
      <c r="V244" s="41"/>
      <c r="W244" s="41"/>
    </row>
    <row r="245" spans="1:23" ht="19.5" hidden="1" customHeight="1" x14ac:dyDescent="0.25">
      <c r="A245" s="41"/>
      <c r="B245" s="41"/>
      <c r="C245" s="41"/>
      <c r="D245" s="41"/>
      <c r="E245" s="41"/>
      <c r="F245" s="41"/>
      <c r="G245" s="41"/>
      <c r="H245" s="41"/>
      <c r="I245" s="41"/>
      <c r="J245" s="41"/>
      <c r="K245" s="41"/>
      <c r="L245" s="41"/>
      <c r="M245" s="41"/>
      <c r="N245" s="41"/>
      <c r="O245" s="41"/>
      <c r="P245" s="41"/>
      <c r="Q245" s="41"/>
      <c r="R245" s="41"/>
      <c r="S245" s="41"/>
      <c r="T245" s="41"/>
      <c r="U245" s="41"/>
      <c r="V245" s="41"/>
      <c r="W245" s="41"/>
    </row>
    <row r="246" spans="1:23" ht="19.5" hidden="1" customHeight="1" x14ac:dyDescent="0.25">
      <c r="A246" s="41"/>
      <c r="B246" s="41"/>
      <c r="C246" s="41"/>
      <c r="D246" s="41"/>
      <c r="E246" s="41"/>
      <c r="F246" s="41"/>
      <c r="G246" s="41"/>
      <c r="H246" s="41"/>
      <c r="I246" s="41"/>
      <c r="J246" s="41"/>
      <c r="K246" s="41"/>
      <c r="L246" s="41"/>
      <c r="M246" s="41"/>
      <c r="N246" s="41"/>
      <c r="O246" s="41"/>
      <c r="P246" s="41"/>
      <c r="Q246" s="41"/>
      <c r="R246" s="41"/>
      <c r="S246" s="41"/>
      <c r="T246" s="41"/>
      <c r="U246" s="41"/>
      <c r="V246" s="41"/>
      <c r="W246" s="41"/>
    </row>
    <row r="247" spans="1:23" ht="19.5" hidden="1" customHeight="1" x14ac:dyDescent="0.25">
      <c r="A247" s="41"/>
      <c r="B247" s="41"/>
      <c r="C247" s="41"/>
      <c r="D247" s="41"/>
      <c r="E247" s="41"/>
      <c r="F247" s="41"/>
      <c r="G247" s="41"/>
      <c r="H247" s="41"/>
      <c r="I247" s="41"/>
      <c r="J247" s="41"/>
      <c r="K247" s="41"/>
      <c r="L247" s="41"/>
      <c r="M247" s="41"/>
      <c r="N247" s="41"/>
      <c r="O247" s="41"/>
      <c r="P247" s="41"/>
      <c r="Q247" s="41"/>
      <c r="R247" s="41"/>
      <c r="S247" s="41"/>
      <c r="T247" s="41"/>
      <c r="U247" s="41"/>
      <c r="V247" s="41"/>
      <c r="W247" s="41"/>
    </row>
    <row r="248" spans="1:23" ht="19.5" hidden="1" customHeight="1" x14ac:dyDescent="0.25">
      <c r="A248" s="41"/>
      <c r="B248" s="41"/>
      <c r="C248" s="41"/>
      <c r="D248" s="41"/>
      <c r="E248" s="41"/>
      <c r="F248" s="41"/>
      <c r="G248" s="41"/>
      <c r="H248" s="41"/>
      <c r="I248" s="41"/>
      <c r="J248" s="41"/>
      <c r="K248" s="41"/>
      <c r="L248" s="41"/>
      <c r="M248" s="41"/>
      <c r="N248" s="41"/>
      <c r="O248" s="41"/>
      <c r="P248" s="41"/>
      <c r="Q248" s="41"/>
      <c r="R248" s="41"/>
      <c r="S248" s="41"/>
      <c r="T248" s="41"/>
      <c r="U248" s="41"/>
      <c r="V248" s="41"/>
      <c r="W248" s="41"/>
    </row>
    <row r="249" spans="1:23" ht="19.5" hidden="1" customHeight="1" x14ac:dyDescent="0.25">
      <c r="A249" s="41"/>
      <c r="B249" s="41"/>
      <c r="C249" s="41"/>
      <c r="D249" s="41"/>
      <c r="E249" s="41"/>
      <c r="F249" s="41"/>
      <c r="G249" s="41"/>
      <c r="H249" s="41"/>
      <c r="I249" s="41"/>
      <c r="J249" s="41"/>
      <c r="K249" s="41"/>
      <c r="L249" s="41"/>
      <c r="M249" s="41"/>
      <c r="N249" s="41"/>
      <c r="O249" s="41"/>
      <c r="P249" s="41"/>
      <c r="Q249" s="41"/>
      <c r="R249" s="41"/>
      <c r="S249" s="41"/>
      <c r="T249" s="41"/>
      <c r="U249" s="41"/>
      <c r="V249" s="41"/>
      <c r="W249" s="41"/>
    </row>
    <row r="250" spans="1:23" ht="19.5" hidden="1" customHeight="1" x14ac:dyDescent="0.25">
      <c r="A250" s="41"/>
      <c r="B250" s="41"/>
      <c r="C250" s="41"/>
      <c r="D250" s="41"/>
      <c r="E250" s="41"/>
      <c r="F250" s="41"/>
      <c r="G250" s="41"/>
      <c r="H250" s="41"/>
      <c r="I250" s="41"/>
      <c r="J250" s="41"/>
      <c r="K250" s="41"/>
      <c r="L250" s="41"/>
      <c r="M250" s="41"/>
      <c r="N250" s="41"/>
      <c r="O250" s="41"/>
      <c r="P250" s="41"/>
      <c r="Q250" s="41"/>
      <c r="R250" s="41"/>
      <c r="S250" s="41"/>
      <c r="T250" s="41"/>
      <c r="U250" s="41"/>
      <c r="V250" s="41"/>
      <c r="W250" s="41"/>
    </row>
    <row r="251" spans="1:23" ht="19.5" hidden="1" customHeight="1" x14ac:dyDescent="0.25">
      <c r="A251" s="41"/>
      <c r="B251" s="41"/>
      <c r="C251" s="41"/>
      <c r="D251" s="41"/>
      <c r="E251" s="41"/>
      <c r="F251" s="41"/>
      <c r="G251" s="41"/>
      <c r="H251" s="41"/>
      <c r="I251" s="41"/>
      <c r="J251" s="41"/>
      <c r="K251" s="41"/>
      <c r="L251" s="41"/>
      <c r="M251" s="41"/>
      <c r="N251" s="41"/>
      <c r="O251" s="41"/>
      <c r="P251" s="41"/>
      <c r="Q251" s="41"/>
      <c r="R251" s="41"/>
      <c r="S251" s="41"/>
      <c r="T251" s="41"/>
      <c r="U251" s="41"/>
      <c r="V251" s="41"/>
      <c r="W251" s="41"/>
    </row>
    <row r="252" spans="1:23" ht="19.5" hidden="1" customHeight="1" x14ac:dyDescent="0.25">
      <c r="A252" s="41"/>
      <c r="B252" s="41"/>
      <c r="C252" s="41"/>
      <c r="D252" s="41"/>
      <c r="E252" s="41"/>
      <c r="F252" s="41"/>
      <c r="G252" s="41"/>
      <c r="H252" s="41"/>
      <c r="I252" s="41"/>
      <c r="J252" s="41"/>
      <c r="K252" s="41"/>
      <c r="L252" s="41"/>
      <c r="M252" s="41"/>
      <c r="N252" s="41"/>
      <c r="O252" s="41"/>
      <c r="P252" s="41"/>
      <c r="Q252" s="41"/>
      <c r="R252" s="41"/>
      <c r="S252" s="41"/>
      <c r="T252" s="41"/>
      <c r="U252" s="41"/>
      <c r="V252" s="41"/>
      <c r="W252" s="41"/>
    </row>
    <row r="253" spans="1:23" ht="19.5" hidden="1" customHeight="1" x14ac:dyDescent="0.25">
      <c r="A253" s="41"/>
      <c r="B253" s="41"/>
      <c r="C253" s="41"/>
      <c r="D253" s="41"/>
      <c r="E253" s="41"/>
      <c r="F253" s="41"/>
      <c r="G253" s="41"/>
      <c r="H253" s="41"/>
      <c r="I253" s="41"/>
      <c r="J253" s="41"/>
      <c r="K253" s="41"/>
      <c r="L253" s="41"/>
      <c r="M253" s="41"/>
      <c r="N253" s="41"/>
      <c r="O253" s="41"/>
      <c r="P253" s="41"/>
      <c r="Q253" s="41"/>
      <c r="R253" s="41"/>
      <c r="S253" s="41"/>
      <c r="T253" s="41"/>
      <c r="U253" s="41"/>
      <c r="V253" s="41"/>
      <c r="W253" s="41"/>
    </row>
    <row r="254" spans="1:23" ht="19.5" hidden="1" customHeight="1" x14ac:dyDescent="0.25">
      <c r="A254" s="41"/>
      <c r="B254" s="41"/>
      <c r="C254" s="41"/>
      <c r="D254" s="41"/>
      <c r="E254" s="41"/>
      <c r="F254" s="41"/>
      <c r="G254" s="41"/>
      <c r="H254" s="41"/>
      <c r="I254" s="41"/>
      <c r="J254" s="41"/>
      <c r="K254" s="41"/>
      <c r="L254" s="41"/>
      <c r="M254" s="41"/>
      <c r="N254" s="41"/>
      <c r="O254" s="41"/>
      <c r="P254" s="41"/>
      <c r="Q254" s="41"/>
      <c r="R254" s="41"/>
      <c r="S254" s="41"/>
      <c r="T254" s="41"/>
      <c r="U254" s="41"/>
      <c r="V254" s="41"/>
      <c r="W254" s="41"/>
    </row>
    <row r="255" spans="1:23" ht="19.5" hidden="1" customHeight="1" x14ac:dyDescent="0.25">
      <c r="A255" s="41"/>
      <c r="B255" s="41"/>
      <c r="C255" s="41"/>
      <c r="D255" s="41"/>
      <c r="E255" s="41"/>
      <c r="F255" s="41"/>
      <c r="G255" s="41"/>
      <c r="H255" s="41"/>
      <c r="I255" s="41"/>
      <c r="J255" s="41"/>
      <c r="K255" s="41"/>
      <c r="L255" s="41"/>
      <c r="M255" s="41"/>
      <c r="N255" s="41"/>
      <c r="O255" s="41"/>
      <c r="P255" s="41"/>
      <c r="Q255" s="41"/>
      <c r="R255" s="41"/>
      <c r="S255" s="41"/>
      <c r="T255" s="41"/>
      <c r="U255" s="41"/>
      <c r="V255" s="41"/>
      <c r="W255" s="41"/>
    </row>
    <row r="256" spans="1:23" ht="19.5" hidden="1" customHeight="1" x14ac:dyDescent="0.25">
      <c r="A256" s="41"/>
      <c r="B256" s="41"/>
      <c r="C256" s="41"/>
      <c r="D256" s="41"/>
      <c r="E256" s="41"/>
      <c r="F256" s="41"/>
      <c r="G256" s="41"/>
      <c r="H256" s="41"/>
      <c r="I256" s="41"/>
      <c r="J256" s="41"/>
      <c r="K256" s="41"/>
      <c r="L256" s="41"/>
      <c r="M256" s="41"/>
      <c r="N256" s="41"/>
      <c r="O256" s="41"/>
      <c r="P256" s="41"/>
      <c r="Q256" s="41"/>
      <c r="R256" s="41"/>
      <c r="S256" s="41"/>
      <c r="T256" s="41"/>
      <c r="U256" s="41"/>
      <c r="V256" s="41"/>
      <c r="W256" s="41"/>
    </row>
    <row r="257" spans="1:23" ht="19.5" hidden="1" customHeight="1" x14ac:dyDescent="0.25">
      <c r="A257" s="41"/>
      <c r="B257" s="41"/>
      <c r="C257" s="41"/>
      <c r="D257" s="41"/>
      <c r="E257" s="41"/>
      <c r="F257" s="41"/>
      <c r="G257" s="41"/>
      <c r="H257" s="41"/>
      <c r="I257" s="41"/>
      <c r="J257" s="41"/>
      <c r="K257" s="41"/>
      <c r="L257" s="41"/>
      <c r="M257" s="41"/>
      <c r="N257" s="41"/>
      <c r="O257" s="41"/>
      <c r="P257" s="41"/>
      <c r="Q257" s="41"/>
      <c r="R257" s="41"/>
      <c r="S257" s="41"/>
      <c r="T257" s="41"/>
      <c r="U257" s="41"/>
      <c r="V257" s="41"/>
      <c r="W257" s="41"/>
    </row>
    <row r="258" spans="1:23" ht="19.5" hidden="1" customHeight="1" x14ac:dyDescent="0.25">
      <c r="A258" s="41"/>
      <c r="B258" s="41"/>
      <c r="C258" s="41"/>
      <c r="D258" s="41"/>
      <c r="E258" s="41"/>
      <c r="F258" s="41"/>
      <c r="G258" s="41"/>
      <c r="H258" s="41"/>
      <c r="I258" s="41"/>
      <c r="J258" s="41"/>
      <c r="K258" s="41"/>
      <c r="L258" s="41"/>
      <c r="M258" s="41"/>
      <c r="N258" s="41"/>
      <c r="O258" s="41"/>
      <c r="P258" s="41"/>
      <c r="Q258" s="41"/>
      <c r="R258" s="41"/>
      <c r="S258" s="41"/>
      <c r="T258" s="41"/>
      <c r="U258" s="41"/>
      <c r="V258" s="41"/>
      <c r="W258" s="41"/>
    </row>
    <row r="259" spans="1:23" ht="19.5" hidden="1" customHeight="1" x14ac:dyDescent="0.25">
      <c r="A259" s="41"/>
      <c r="B259" s="41"/>
      <c r="C259" s="41"/>
      <c r="D259" s="41"/>
      <c r="E259" s="41"/>
      <c r="F259" s="41"/>
      <c r="G259" s="41"/>
      <c r="H259" s="41"/>
      <c r="I259" s="41"/>
      <c r="J259" s="41"/>
      <c r="K259" s="41"/>
      <c r="L259" s="41"/>
      <c r="M259" s="41"/>
      <c r="N259" s="41"/>
      <c r="O259" s="41"/>
      <c r="P259" s="41"/>
      <c r="Q259" s="41"/>
      <c r="R259" s="41"/>
      <c r="S259" s="41"/>
      <c r="T259" s="41"/>
      <c r="U259" s="41"/>
      <c r="V259" s="41"/>
      <c r="W259" s="41"/>
    </row>
    <row r="260" spans="1:23" ht="19.5" hidden="1" customHeight="1" x14ac:dyDescent="0.25">
      <c r="A260" s="41"/>
      <c r="B260" s="41"/>
      <c r="C260" s="41"/>
      <c r="D260" s="41"/>
      <c r="E260" s="41"/>
      <c r="F260" s="41"/>
      <c r="G260" s="41"/>
      <c r="H260" s="41"/>
      <c r="I260" s="41"/>
      <c r="J260" s="41"/>
      <c r="K260" s="41"/>
      <c r="L260" s="41"/>
      <c r="M260" s="41"/>
      <c r="N260" s="41"/>
      <c r="O260" s="41"/>
      <c r="P260" s="41"/>
      <c r="Q260" s="41"/>
      <c r="R260" s="41"/>
      <c r="S260" s="41"/>
      <c r="T260" s="41"/>
      <c r="U260" s="41"/>
      <c r="V260" s="41"/>
      <c r="W260" s="41"/>
    </row>
    <row r="261" spans="1:23" ht="19.5" hidden="1" customHeight="1" x14ac:dyDescent="0.25">
      <c r="A261" s="41"/>
      <c r="B261" s="41"/>
      <c r="C261" s="41"/>
      <c r="D261" s="41"/>
      <c r="E261" s="41"/>
      <c r="F261" s="41"/>
      <c r="G261" s="41"/>
      <c r="H261" s="41"/>
      <c r="I261" s="41"/>
      <c r="J261" s="41"/>
      <c r="K261" s="41"/>
      <c r="L261" s="41"/>
      <c r="M261" s="41"/>
      <c r="N261" s="41"/>
      <c r="O261" s="41"/>
      <c r="P261" s="41"/>
      <c r="Q261" s="41"/>
      <c r="R261" s="41"/>
      <c r="S261" s="41"/>
      <c r="T261" s="41"/>
      <c r="U261" s="41"/>
      <c r="V261" s="41"/>
      <c r="W261" s="41"/>
    </row>
    <row r="262" spans="1:23" ht="19.5" hidden="1" customHeight="1" x14ac:dyDescent="0.25">
      <c r="A262" s="41"/>
      <c r="B262" s="41"/>
      <c r="C262" s="41"/>
      <c r="D262" s="41"/>
      <c r="E262" s="41"/>
      <c r="F262" s="41"/>
      <c r="G262" s="41"/>
      <c r="H262" s="41"/>
      <c r="I262" s="41"/>
      <c r="J262" s="41"/>
      <c r="K262" s="41"/>
      <c r="L262" s="41"/>
      <c r="M262" s="41"/>
      <c r="N262" s="41"/>
      <c r="O262" s="41"/>
      <c r="P262" s="41"/>
      <c r="Q262" s="41"/>
      <c r="R262" s="41"/>
      <c r="S262" s="41"/>
      <c r="T262" s="41"/>
      <c r="U262" s="41"/>
      <c r="V262" s="41"/>
      <c r="W262" s="41"/>
    </row>
    <row r="263" spans="1:23" ht="19.5" hidden="1" customHeight="1" x14ac:dyDescent="0.25">
      <c r="A263" s="41"/>
      <c r="B263" s="41"/>
      <c r="C263" s="41"/>
      <c r="D263" s="41"/>
      <c r="E263" s="41"/>
      <c r="F263" s="41"/>
      <c r="G263" s="41"/>
      <c r="H263" s="41"/>
      <c r="I263" s="41"/>
      <c r="J263" s="41"/>
      <c r="K263" s="41"/>
      <c r="L263" s="41"/>
      <c r="M263" s="41"/>
      <c r="N263" s="41"/>
      <c r="O263" s="41"/>
      <c r="P263" s="41"/>
      <c r="Q263" s="41"/>
      <c r="R263" s="41"/>
      <c r="S263" s="41"/>
      <c r="T263" s="41"/>
      <c r="U263" s="41"/>
      <c r="V263" s="41"/>
      <c r="W263" s="41"/>
    </row>
    <row r="264" spans="1:23" ht="19.5" hidden="1" customHeight="1" x14ac:dyDescent="0.25">
      <c r="A264" s="41"/>
      <c r="B264" s="41"/>
      <c r="C264" s="41"/>
      <c r="D264" s="41"/>
      <c r="E264" s="41"/>
      <c r="F264" s="41"/>
      <c r="G264" s="41"/>
      <c r="H264" s="41"/>
      <c r="I264" s="41"/>
      <c r="J264" s="41"/>
      <c r="K264" s="41"/>
      <c r="L264" s="41"/>
      <c r="M264" s="41"/>
      <c r="N264" s="41"/>
      <c r="O264" s="41"/>
      <c r="P264" s="41"/>
      <c r="Q264" s="41"/>
      <c r="R264" s="41"/>
      <c r="S264" s="41"/>
      <c r="T264" s="41"/>
      <c r="U264" s="41"/>
      <c r="V264" s="41"/>
      <c r="W264" s="41"/>
    </row>
    <row r="265" spans="1:23" ht="19.5" hidden="1" customHeight="1" x14ac:dyDescent="0.25">
      <c r="A265" s="41"/>
      <c r="B265" s="41"/>
      <c r="C265" s="41"/>
      <c r="D265" s="41"/>
      <c r="E265" s="41"/>
      <c r="F265" s="41"/>
      <c r="G265" s="41"/>
      <c r="H265" s="41"/>
      <c r="I265" s="41"/>
      <c r="J265" s="41"/>
      <c r="K265" s="41"/>
      <c r="L265" s="41"/>
      <c r="M265" s="41"/>
      <c r="N265" s="41"/>
      <c r="O265" s="41"/>
      <c r="P265" s="41"/>
      <c r="Q265" s="41"/>
      <c r="R265" s="41"/>
      <c r="S265" s="41"/>
      <c r="T265" s="41"/>
      <c r="U265" s="41"/>
      <c r="V265" s="41"/>
      <c r="W265" s="41"/>
    </row>
    <row r="266" spans="1:23" ht="19.5" hidden="1" customHeight="1" x14ac:dyDescent="0.25">
      <c r="A266" s="41"/>
      <c r="B266" s="41"/>
      <c r="C266" s="41"/>
      <c r="D266" s="41"/>
      <c r="E266" s="41"/>
      <c r="F266" s="41"/>
      <c r="G266" s="41"/>
      <c r="H266" s="41"/>
      <c r="I266" s="41"/>
      <c r="J266" s="41"/>
      <c r="K266" s="41"/>
      <c r="L266" s="41"/>
      <c r="M266" s="41"/>
      <c r="N266" s="41"/>
      <c r="O266" s="41"/>
      <c r="P266" s="41"/>
      <c r="Q266" s="41"/>
      <c r="R266" s="41"/>
      <c r="S266" s="41"/>
      <c r="T266" s="41"/>
      <c r="U266" s="41"/>
      <c r="V266" s="41"/>
      <c r="W266" s="41"/>
    </row>
    <row r="267" spans="1:23" ht="19.5" hidden="1" customHeight="1" x14ac:dyDescent="0.25">
      <c r="A267" s="41"/>
      <c r="B267" s="41"/>
      <c r="C267" s="41"/>
      <c r="D267" s="41"/>
      <c r="E267" s="41"/>
      <c r="F267" s="41"/>
      <c r="G267" s="41"/>
      <c r="H267" s="41"/>
      <c r="I267" s="41"/>
      <c r="J267" s="41"/>
      <c r="K267" s="41"/>
      <c r="L267" s="41"/>
      <c r="M267" s="41"/>
      <c r="N267" s="41"/>
      <c r="O267" s="41"/>
      <c r="P267" s="41"/>
      <c r="Q267" s="41"/>
      <c r="R267" s="41"/>
      <c r="S267" s="41"/>
      <c r="T267" s="41"/>
      <c r="U267" s="41"/>
      <c r="V267" s="41"/>
      <c r="W267" s="41"/>
    </row>
    <row r="268" spans="1:23" ht="19.5" hidden="1" customHeight="1" x14ac:dyDescent="0.25">
      <c r="A268" s="41"/>
      <c r="B268" s="41"/>
      <c r="C268" s="41"/>
      <c r="D268" s="41"/>
      <c r="E268" s="41"/>
      <c r="F268" s="41"/>
      <c r="G268" s="41"/>
      <c r="H268" s="41"/>
      <c r="I268" s="41"/>
      <c r="J268" s="41"/>
      <c r="K268" s="41"/>
      <c r="L268" s="41"/>
      <c r="M268" s="41"/>
      <c r="N268" s="41"/>
      <c r="O268" s="41"/>
      <c r="P268" s="41"/>
      <c r="Q268" s="41"/>
      <c r="R268" s="41"/>
      <c r="S268" s="41"/>
      <c r="T268" s="41"/>
      <c r="U268" s="41"/>
      <c r="V268" s="41"/>
      <c r="W268" s="41"/>
    </row>
    <row r="269" spans="1:23" ht="19.5" hidden="1" customHeight="1" x14ac:dyDescent="0.25">
      <c r="A269" s="41"/>
      <c r="B269" s="41"/>
      <c r="C269" s="41"/>
      <c r="D269" s="41"/>
      <c r="E269" s="41"/>
      <c r="F269" s="41"/>
      <c r="G269" s="41"/>
      <c r="H269" s="41"/>
      <c r="I269" s="41"/>
      <c r="J269" s="41"/>
      <c r="K269" s="41"/>
      <c r="L269" s="41"/>
      <c r="M269" s="41"/>
      <c r="N269" s="41"/>
      <c r="O269" s="41"/>
      <c r="P269" s="41"/>
      <c r="Q269" s="41"/>
      <c r="R269" s="41"/>
      <c r="S269" s="41"/>
      <c r="T269" s="41"/>
      <c r="U269" s="41"/>
      <c r="V269" s="41"/>
      <c r="W269" s="41"/>
    </row>
    <row r="270" spans="1:23" ht="19.5" hidden="1" customHeight="1" x14ac:dyDescent="0.25">
      <c r="A270" s="41"/>
      <c r="B270" s="41"/>
      <c r="C270" s="41"/>
      <c r="D270" s="41"/>
      <c r="E270" s="41"/>
      <c r="F270" s="41"/>
      <c r="G270" s="41"/>
      <c r="H270" s="41"/>
      <c r="I270" s="41"/>
      <c r="J270" s="41"/>
      <c r="K270" s="41"/>
      <c r="L270" s="41"/>
      <c r="M270" s="41"/>
      <c r="N270" s="41"/>
      <c r="O270" s="41"/>
      <c r="P270" s="41"/>
      <c r="Q270" s="41"/>
      <c r="R270" s="41"/>
      <c r="S270" s="41"/>
      <c r="T270" s="41"/>
      <c r="U270" s="41"/>
      <c r="V270" s="41"/>
      <c r="W270" s="41"/>
    </row>
    <row r="271" spans="1:23" ht="19.5" hidden="1" customHeight="1" x14ac:dyDescent="0.25">
      <c r="A271" s="41"/>
      <c r="B271" s="41"/>
      <c r="C271" s="41"/>
      <c r="D271" s="41"/>
      <c r="E271" s="41"/>
      <c r="F271" s="41"/>
      <c r="G271" s="41"/>
      <c r="H271" s="41"/>
      <c r="I271" s="41"/>
      <c r="J271" s="41"/>
      <c r="K271" s="41"/>
      <c r="L271" s="41"/>
      <c r="M271" s="41"/>
      <c r="N271" s="41"/>
      <c r="O271" s="41"/>
      <c r="P271" s="41"/>
      <c r="Q271" s="41"/>
      <c r="R271" s="41"/>
      <c r="S271" s="41"/>
      <c r="T271" s="41"/>
      <c r="U271" s="41"/>
      <c r="V271" s="41"/>
      <c r="W271" s="41"/>
    </row>
    <row r="272" spans="1:23" ht="19.5" hidden="1" customHeight="1" x14ac:dyDescent="0.25">
      <c r="A272" s="41"/>
      <c r="B272" s="41"/>
      <c r="C272" s="41"/>
      <c r="D272" s="41"/>
      <c r="E272" s="41"/>
      <c r="F272" s="41"/>
      <c r="G272" s="41"/>
      <c r="H272" s="41"/>
      <c r="I272" s="41"/>
      <c r="J272" s="41"/>
      <c r="K272" s="41"/>
      <c r="L272" s="41"/>
      <c r="M272" s="41"/>
      <c r="N272" s="41"/>
      <c r="O272" s="41"/>
      <c r="P272" s="41"/>
      <c r="Q272" s="41"/>
      <c r="R272" s="41"/>
      <c r="S272" s="41"/>
      <c r="T272" s="41"/>
      <c r="U272" s="41"/>
      <c r="V272" s="41"/>
      <c r="W272" s="41"/>
    </row>
    <row r="273" spans="1:23" ht="19.5" hidden="1" customHeight="1" x14ac:dyDescent="0.25">
      <c r="A273" s="41"/>
      <c r="B273" s="41"/>
      <c r="C273" s="41"/>
      <c r="D273" s="41"/>
      <c r="E273" s="41"/>
      <c r="F273" s="41"/>
      <c r="G273" s="41"/>
      <c r="H273" s="41"/>
      <c r="I273" s="41"/>
      <c r="J273" s="41"/>
      <c r="K273" s="41"/>
      <c r="L273" s="41"/>
      <c r="M273" s="41"/>
      <c r="N273" s="41"/>
      <c r="O273" s="41"/>
      <c r="P273" s="41"/>
      <c r="Q273" s="41"/>
      <c r="R273" s="41"/>
      <c r="S273" s="41"/>
      <c r="T273" s="41"/>
      <c r="U273" s="41"/>
      <c r="V273" s="41"/>
      <c r="W273" s="41"/>
    </row>
    <row r="274" spans="1:23" ht="19.5" hidden="1" customHeight="1" x14ac:dyDescent="0.25">
      <c r="A274" s="41"/>
      <c r="B274" s="41"/>
      <c r="C274" s="41"/>
      <c r="D274" s="41"/>
      <c r="E274" s="41"/>
      <c r="F274" s="41"/>
      <c r="G274" s="41"/>
      <c r="H274" s="41"/>
      <c r="I274" s="41"/>
      <c r="J274" s="41"/>
      <c r="K274" s="41"/>
      <c r="L274" s="41"/>
      <c r="M274" s="41"/>
      <c r="N274" s="41"/>
      <c r="O274" s="41"/>
      <c r="P274" s="41"/>
      <c r="Q274" s="41"/>
      <c r="R274" s="41"/>
      <c r="S274" s="41"/>
      <c r="T274" s="41"/>
      <c r="U274" s="41"/>
      <c r="V274" s="41"/>
      <c r="W274" s="41"/>
    </row>
    <row r="275" spans="1:23" ht="19.5" hidden="1" customHeight="1" x14ac:dyDescent="0.25">
      <c r="A275" s="41"/>
      <c r="B275" s="41"/>
      <c r="C275" s="41"/>
      <c r="D275" s="41"/>
      <c r="E275" s="41"/>
      <c r="F275" s="41"/>
      <c r="G275" s="41"/>
      <c r="H275" s="41"/>
      <c r="I275" s="41"/>
      <c r="J275" s="41"/>
      <c r="K275" s="41"/>
      <c r="L275" s="41"/>
      <c r="M275" s="41"/>
      <c r="N275" s="41"/>
      <c r="O275" s="41"/>
      <c r="P275" s="41"/>
      <c r="Q275" s="41"/>
      <c r="R275" s="41"/>
      <c r="S275" s="41"/>
      <c r="T275" s="41"/>
      <c r="U275" s="41"/>
      <c r="V275" s="41"/>
      <c r="W275" s="41"/>
    </row>
    <row r="276" spans="1:23" ht="19.5" hidden="1" customHeight="1" x14ac:dyDescent="0.25">
      <c r="A276" s="41"/>
      <c r="B276" s="41"/>
      <c r="C276" s="41"/>
      <c r="D276" s="41"/>
      <c r="E276" s="41"/>
      <c r="F276" s="41"/>
      <c r="G276" s="41"/>
      <c r="H276" s="41"/>
      <c r="I276" s="41"/>
      <c r="J276" s="41"/>
      <c r="K276" s="41"/>
      <c r="L276" s="41"/>
      <c r="M276" s="41"/>
      <c r="N276" s="41"/>
      <c r="O276" s="41"/>
      <c r="P276" s="41"/>
      <c r="Q276" s="41"/>
      <c r="R276" s="41"/>
      <c r="S276" s="41"/>
      <c r="T276" s="41"/>
      <c r="U276" s="41"/>
      <c r="V276" s="41"/>
      <c r="W276" s="41"/>
    </row>
    <row r="277" spans="1:23" ht="19.5" hidden="1" customHeight="1" x14ac:dyDescent="0.25">
      <c r="A277" s="41"/>
      <c r="B277" s="41"/>
      <c r="C277" s="41"/>
      <c r="D277" s="41"/>
      <c r="E277" s="41"/>
      <c r="F277" s="41"/>
      <c r="G277" s="41"/>
      <c r="H277" s="41"/>
      <c r="I277" s="41"/>
      <c r="J277" s="41"/>
      <c r="K277" s="41"/>
      <c r="L277" s="41"/>
      <c r="M277" s="41"/>
      <c r="N277" s="41"/>
      <c r="O277" s="41"/>
      <c r="P277" s="41"/>
      <c r="Q277" s="41"/>
      <c r="R277" s="41"/>
      <c r="S277" s="41"/>
      <c r="T277" s="41"/>
      <c r="U277" s="41"/>
      <c r="V277" s="41"/>
      <c r="W277" s="41"/>
    </row>
    <row r="278" spans="1:23" ht="19.5" hidden="1" customHeight="1" x14ac:dyDescent="0.25">
      <c r="A278" s="41"/>
      <c r="B278" s="41"/>
      <c r="C278" s="41"/>
      <c r="D278" s="41"/>
      <c r="E278" s="41"/>
      <c r="F278" s="41"/>
      <c r="G278" s="41"/>
      <c r="H278" s="41"/>
      <c r="I278" s="41"/>
      <c r="J278" s="41"/>
      <c r="K278" s="41"/>
      <c r="L278" s="41"/>
      <c r="M278" s="41"/>
      <c r="N278" s="41"/>
      <c r="O278" s="41"/>
      <c r="P278" s="41"/>
      <c r="Q278" s="41"/>
      <c r="R278" s="41"/>
      <c r="S278" s="41"/>
      <c r="T278" s="41"/>
      <c r="U278" s="41"/>
      <c r="V278" s="41"/>
      <c r="W278" s="41"/>
    </row>
    <row r="279" spans="1:23" ht="19.5" hidden="1" customHeight="1" x14ac:dyDescent="0.25">
      <c r="A279" s="41"/>
      <c r="B279" s="41"/>
      <c r="C279" s="41"/>
      <c r="D279" s="41"/>
      <c r="E279" s="41"/>
      <c r="F279" s="41"/>
      <c r="G279" s="41"/>
      <c r="H279" s="41"/>
      <c r="I279" s="41"/>
      <c r="J279" s="41"/>
      <c r="K279" s="41"/>
      <c r="L279" s="41"/>
      <c r="M279" s="41"/>
      <c r="N279" s="41"/>
      <c r="O279" s="41"/>
      <c r="P279" s="41"/>
      <c r="Q279" s="41"/>
      <c r="R279" s="41"/>
      <c r="S279" s="41"/>
      <c r="T279" s="41"/>
      <c r="U279" s="41"/>
      <c r="V279" s="41"/>
      <c r="W279" s="41"/>
    </row>
    <row r="280" spans="1:23" ht="19.5" hidden="1" customHeight="1" x14ac:dyDescent="0.25">
      <c r="A280" s="41"/>
      <c r="B280" s="41"/>
      <c r="C280" s="41"/>
      <c r="D280" s="41"/>
      <c r="E280" s="41"/>
      <c r="F280" s="41"/>
      <c r="G280" s="41"/>
      <c r="H280" s="41"/>
      <c r="I280" s="41"/>
      <c r="J280" s="41"/>
      <c r="K280" s="41"/>
      <c r="L280" s="41"/>
      <c r="M280" s="41"/>
      <c r="N280" s="41"/>
      <c r="O280" s="41"/>
      <c r="P280" s="41"/>
      <c r="Q280" s="41"/>
      <c r="R280" s="41"/>
      <c r="S280" s="41"/>
      <c r="T280" s="41"/>
      <c r="U280" s="41"/>
      <c r="V280" s="41"/>
      <c r="W280" s="41"/>
    </row>
    <row r="281" spans="1:23" ht="19.5" hidden="1" customHeight="1" x14ac:dyDescent="0.25">
      <c r="A281" s="41"/>
      <c r="B281" s="41"/>
      <c r="C281" s="41"/>
      <c r="D281" s="41"/>
      <c r="E281" s="41"/>
      <c r="F281" s="41"/>
      <c r="G281" s="41"/>
      <c r="H281" s="41"/>
      <c r="I281" s="41"/>
      <c r="J281" s="41"/>
      <c r="K281" s="41"/>
      <c r="L281" s="41"/>
      <c r="M281" s="41"/>
      <c r="N281" s="41"/>
      <c r="O281" s="41"/>
      <c r="P281" s="41"/>
      <c r="Q281" s="41"/>
      <c r="R281" s="41"/>
      <c r="S281" s="41"/>
      <c r="T281" s="41"/>
      <c r="U281" s="41"/>
      <c r="V281" s="41"/>
      <c r="W281" s="41"/>
    </row>
    <row r="282" spans="1:23" ht="19.5" hidden="1" customHeight="1" x14ac:dyDescent="0.25">
      <c r="A282" s="41"/>
      <c r="B282" s="41"/>
      <c r="C282" s="41"/>
      <c r="D282" s="41"/>
      <c r="E282" s="41"/>
      <c r="F282" s="41"/>
      <c r="G282" s="41"/>
      <c r="H282" s="41"/>
      <c r="I282" s="41"/>
      <c r="J282" s="41"/>
      <c r="K282" s="41"/>
      <c r="L282" s="41"/>
      <c r="M282" s="41"/>
      <c r="N282" s="41"/>
      <c r="O282" s="41"/>
      <c r="P282" s="41"/>
      <c r="Q282" s="41"/>
      <c r="R282" s="41"/>
      <c r="S282" s="41"/>
      <c r="T282" s="41"/>
      <c r="U282" s="41"/>
      <c r="V282" s="41"/>
      <c r="W282" s="41"/>
    </row>
    <row r="283" spans="1:23" ht="19.5" hidden="1" customHeight="1" x14ac:dyDescent="0.25">
      <c r="A283" s="41"/>
      <c r="B283" s="41"/>
      <c r="C283" s="41"/>
      <c r="D283" s="41"/>
      <c r="E283" s="41"/>
      <c r="F283" s="41"/>
      <c r="G283" s="41"/>
      <c r="H283" s="41"/>
      <c r="I283" s="41"/>
      <c r="J283" s="41"/>
      <c r="K283" s="41"/>
      <c r="L283" s="41"/>
      <c r="M283" s="41"/>
      <c r="N283" s="41"/>
      <c r="O283" s="41"/>
      <c r="P283" s="41"/>
      <c r="Q283" s="41"/>
      <c r="R283" s="41"/>
      <c r="S283" s="41"/>
      <c r="T283" s="41"/>
      <c r="U283" s="41"/>
      <c r="V283" s="41"/>
      <c r="W283" s="41"/>
    </row>
    <row r="284" spans="1:23" ht="19.5" hidden="1" customHeight="1" x14ac:dyDescent="0.25">
      <c r="A284" s="41"/>
      <c r="B284" s="41"/>
      <c r="C284" s="41"/>
      <c r="D284" s="41"/>
      <c r="E284" s="41"/>
      <c r="F284" s="41"/>
      <c r="G284" s="41"/>
      <c r="H284" s="41"/>
      <c r="I284" s="41"/>
      <c r="J284" s="41"/>
      <c r="K284" s="41"/>
      <c r="L284" s="41"/>
      <c r="M284" s="41"/>
      <c r="N284" s="41"/>
      <c r="O284" s="41"/>
      <c r="P284" s="41"/>
      <c r="Q284" s="41"/>
      <c r="R284" s="41"/>
      <c r="S284" s="41"/>
      <c r="T284" s="41"/>
      <c r="U284" s="41"/>
      <c r="V284" s="41"/>
      <c r="W284" s="41"/>
    </row>
    <row r="285" spans="1:23" ht="19.5" hidden="1" customHeight="1" x14ac:dyDescent="0.25">
      <c r="A285" s="41"/>
      <c r="B285" s="41"/>
      <c r="C285" s="41"/>
      <c r="D285" s="41"/>
      <c r="E285" s="41"/>
      <c r="F285" s="41"/>
      <c r="G285" s="41"/>
      <c r="H285" s="41"/>
      <c r="I285" s="41"/>
      <c r="J285" s="41"/>
      <c r="K285" s="41"/>
      <c r="L285" s="41"/>
      <c r="M285" s="41"/>
      <c r="N285" s="41"/>
      <c r="O285" s="41"/>
      <c r="P285" s="41"/>
      <c r="Q285" s="41"/>
      <c r="R285" s="41"/>
      <c r="S285" s="41"/>
      <c r="T285" s="41"/>
      <c r="U285" s="41"/>
      <c r="V285" s="41"/>
      <c r="W285" s="41"/>
    </row>
    <row r="286" spans="1:23" ht="19.5" hidden="1" customHeight="1" x14ac:dyDescent="0.25">
      <c r="A286" s="41"/>
      <c r="B286" s="41"/>
      <c r="C286" s="41"/>
      <c r="D286" s="41"/>
      <c r="E286" s="41"/>
      <c r="F286" s="41"/>
      <c r="G286" s="41"/>
      <c r="H286" s="41"/>
      <c r="I286" s="41"/>
      <c r="J286" s="41"/>
      <c r="K286" s="41"/>
      <c r="L286" s="41"/>
      <c r="M286" s="41"/>
      <c r="N286" s="41"/>
      <c r="O286" s="41"/>
      <c r="P286" s="41"/>
      <c r="Q286" s="41"/>
      <c r="R286" s="41"/>
      <c r="S286" s="41"/>
      <c r="T286" s="41"/>
      <c r="U286" s="41"/>
      <c r="V286" s="41"/>
      <c r="W286" s="41"/>
    </row>
    <row r="287" spans="1:23" ht="19.5" hidden="1" customHeight="1" x14ac:dyDescent="0.25">
      <c r="A287" s="41"/>
      <c r="B287" s="41"/>
      <c r="C287" s="41"/>
      <c r="D287" s="41"/>
      <c r="E287" s="41"/>
      <c r="F287" s="41"/>
      <c r="G287" s="41"/>
      <c r="H287" s="41"/>
      <c r="I287" s="41"/>
      <c r="J287" s="41"/>
      <c r="K287" s="41"/>
      <c r="L287" s="41"/>
      <c r="M287" s="41"/>
      <c r="N287" s="41"/>
      <c r="O287" s="41"/>
      <c r="P287" s="41"/>
      <c r="Q287" s="41"/>
      <c r="R287" s="41"/>
      <c r="S287" s="41"/>
      <c r="T287" s="41"/>
      <c r="U287" s="41"/>
      <c r="V287" s="41"/>
      <c r="W287" s="41"/>
    </row>
    <row r="288" spans="1:23" ht="19.5" hidden="1" customHeight="1" x14ac:dyDescent="0.25">
      <c r="A288" s="41"/>
      <c r="B288" s="41"/>
      <c r="C288" s="41"/>
      <c r="D288" s="41"/>
      <c r="E288" s="41"/>
      <c r="F288" s="41"/>
      <c r="G288" s="41"/>
      <c r="H288" s="41"/>
      <c r="I288" s="41"/>
      <c r="J288" s="41"/>
      <c r="K288" s="41"/>
      <c r="L288" s="41"/>
      <c r="M288" s="41"/>
      <c r="N288" s="41"/>
      <c r="O288" s="41"/>
      <c r="P288" s="41"/>
      <c r="Q288" s="41"/>
      <c r="R288" s="41"/>
      <c r="S288" s="41"/>
      <c r="T288" s="41"/>
      <c r="U288" s="41"/>
      <c r="V288" s="41"/>
      <c r="W288" s="41"/>
    </row>
    <row r="289" spans="1:23" ht="19.5" hidden="1" customHeight="1" x14ac:dyDescent="0.25">
      <c r="A289" s="41"/>
      <c r="B289" s="41"/>
      <c r="C289" s="41"/>
      <c r="D289" s="41"/>
      <c r="E289" s="41"/>
      <c r="F289" s="41"/>
      <c r="G289" s="41"/>
      <c r="H289" s="41"/>
      <c r="I289" s="41"/>
      <c r="J289" s="41"/>
      <c r="K289" s="41"/>
      <c r="L289" s="41"/>
      <c r="M289" s="41"/>
      <c r="N289" s="41"/>
      <c r="O289" s="41"/>
      <c r="P289" s="41"/>
      <c r="Q289" s="41"/>
      <c r="R289" s="41"/>
      <c r="S289" s="41"/>
      <c r="T289" s="41"/>
      <c r="U289" s="41"/>
      <c r="V289" s="41"/>
      <c r="W289" s="41"/>
    </row>
    <row r="290" spans="1:23" ht="19.5" hidden="1" customHeight="1" x14ac:dyDescent="0.25">
      <c r="A290" s="41"/>
      <c r="B290" s="41"/>
      <c r="C290" s="41"/>
      <c r="D290" s="41"/>
      <c r="E290" s="41"/>
      <c r="F290" s="41"/>
      <c r="G290" s="41"/>
      <c r="H290" s="41"/>
      <c r="I290" s="41"/>
      <c r="J290" s="41"/>
      <c r="K290" s="41"/>
      <c r="L290" s="41"/>
      <c r="M290" s="41"/>
      <c r="N290" s="41"/>
      <c r="O290" s="41"/>
      <c r="P290" s="41"/>
      <c r="Q290" s="41"/>
      <c r="R290" s="41"/>
      <c r="S290" s="41"/>
      <c r="T290" s="41"/>
      <c r="U290" s="41"/>
      <c r="V290" s="41"/>
      <c r="W290" s="41"/>
    </row>
    <row r="291" spans="1:23" ht="19.5" hidden="1" customHeight="1" x14ac:dyDescent="0.25">
      <c r="A291" s="41"/>
      <c r="B291" s="41"/>
      <c r="C291" s="41"/>
      <c r="D291" s="41"/>
      <c r="E291" s="41"/>
      <c r="F291" s="41"/>
      <c r="G291" s="41"/>
      <c r="H291" s="41"/>
      <c r="I291" s="41"/>
      <c r="J291" s="41"/>
      <c r="K291" s="41"/>
      <c r="L291" s="41"/>
      <c r="M291" s="41"/>
      <c r="N291" s="41"/>
      <c r="O291" s="41"/>
      <c r="P291" s="41"/>
      <c r="Q291" s="41"/>
      <c r="R291" s="41"/>
      <c r="S291" s="41"/>
      <c r="T291" s="41"/>
      <c r="U291" s="41"/>
      <c r="V291" s="41"/>
      <c r="W291" s="41"/>
    </row>
    <row r="292" spans="1:23" ht="19.5" hidden="1" customHeight="1" x14ac:dyDescent="0.25">
      <c r="A292" s="41"/>
      <c r="B292" s="41"/>
      <c r="C292" s="41"/>
      <c r="D292" s="41"/>
      <c r="E292" s="41"/>
      <c r="F292" s="41"/>
      <c r="G292" s="41"/>
      <c r="H292" s="41"/>
      <c r="I292" s="41"/>
      <c r="J292" s="41"/>
      <c r="K292" s="41"/>
      <c r="L292" s="41"/>
      <c r="M292" s="41"/>
      <c r="N292" s="41"/>
      <c r="O292" s="41"/>
      <c r="P292" s="41"/>
      <c r="Q292" s="41"/>
      <c r="R292" s="41"/>
      <c r="S292" s="41"/>
      <c r="T292" s="41"/>
      <c r="U292" s="41"/>
      <c r="V292" s="41"/>
      <c r="W292" s="41"/>
    </row>
    <row r="293" spans="1:23" ht="19.5" hidden="1" customHeight="1" x14ac:dyDescent="0.25">
      <c r="A293" s="41"/>
      <c r="B293" s="41"/>
      <c r="C293" s="41"/>
      <c r="D293" s="41"/>
      <c r="E293" s="41"/>
      <c r="F293" s="41"/>
      <c r="G293" s="41"/>
      <c r="H293" s="41"/>
      <c r="I293" s="41"/>
      <c r="J293" s="41"/>
      <c r="K293" s="41"/>
      <c r="L293" s="41"/>
      <c r="M293" s="41"/>
      <c r="N293" s="41"/>
      <c r="O293" s="41"/>
      <c r="P293" s="41"/>
      <c r="Q293" s="41"/>
      <c r="R293" s="41"/>
      <c r="S293" s="41"/>
      <c r="T293" s="41"/>
      <c r="U293" s="41"/>
      <c r="V293" s="41"/>
      <c r="W293" s="41"/>
    </row>
    <row r="294" spans="1:23" ht="19.5" hidden="1" customHeight="1" x14ac:dyDescent="0.25">
      <c r="A294" s="41"/>
      <c r="B294" s="41"/>
      <c r="C294" s="41"/>
      <c r="D294" s="41"/>
      <c r="E294" s="41"/>
      <c r="F294" s="41"/>
      <c r="G294" s="41"/>
      <c r="H294" s="41"/>
      <c r="I294" s="41"/>
      <c r="J294" s="41"/>
      <c r="K294" s="41"/>
      <c r="L294" s="41"/>
      <c r="M294" s="41"/>
      <c r="N294" s="41"/>
      <c r="O294" s="41"/>
      <c r="P294" s="41"/>
      <c r="Q294" s="41"/>
      <c r="R294" s="41"/>
      <c r="S294" s="41"/>
      <c r="T294" s="41"/>
      <c r="U294" s="41"/>
      <c r="V294" s="41"/>
      <c r="W294" s="41"/>
    </row>
    <row r="295" spans="1:23" ht="19.5" hidden="1" customHeight="1" x14ac:dyDescent="0.25">
      <c r="A295" s="41"/>
      <c r="B295" s="41"/>
      <c r="C295" s="41"/>
      <c r="D295" s="41"/>
      <c r="E295" s="41"/>
      <c r="F295" s="41"/>
      <c r="G295" s="41"/>
      <c r="H295" s="41"/>
      <c r="I295" s="41"/>
      <c r="J295" s="41"/>
      <c r="K295" s="41"/>
      <c r="L295" s="41"/>
      <c r="M295" s="41"/>
      <c r="N295" s="41"/>
      <c r="O295" s="41"/>
      <c r="P295" s="41"/>
      <c r="Q295" s="41"/>
      <c r="R295" s="41"/>
      <c r="S295" s="41"/>
      <c r="T295" s="41"/>
      <c r="U295" s="41"/>
      <c r="V295" s="41"/>
      <c r="W295" s="41"/>
    </row>
    <row r="296" spans="1:23" ht="19.5" hidden="1" customHeight="1" x14ac:dyDescent="0.25">
      <c r="A296" s="41"/>
      <c r="B296" s="41"/>
      <c r="C296" s="41"/>
      <c r="D296" s="41"/>
      <c r="E296" s="41"/>
      <c r="F296" s="41"/>
      <c r="G296" s="41"/>
      <c r="H296" s="41"/>
      <c r="I296" s="41"/>
      <c r="J296" s="41"/>
      <c r="K296" s="41"/>
      <c r="L296" s="41"/>
      <c r="M296" s="41"/>
      <c r="N296" s="41"/>
      <c r="O296" s="41"/>
      <c r="P296" s="41"/>
      <c r="Q296" s="41"/>
      <c r="R296" s="41"/>
      <c r="S296" s="41"/>
      <c r="T296" s="41"/>
      <c r="U296" s="41"/>
      <c r="V296" s="41"/>
      <c r="W296" s="41"/>
    </row>
    <row r="297" spans="1:23" ht="19.5" hidden="1" customHeight="1" x14ac:dyDescent="0.25">
      <c r="A297" s="41"/>
      <c r="B297" s="41"/>
      <c r="C297" s="41"/>
      <c r="D297" s="41"/>
      <c r="E297" s="41"/>
      <c r="F297" s="41"/>
      <c r="G297" s="41"/>
      <c r="H297" s="41"/>
      <c r="I297" s="41"/>
      <c r="J297" s="41"/>
      <c r="K297" s="41"/>
      <c r="L297" s="41"/>
      <c r="M297" s="41"/>
      <c r="N297" s="41"/>
      <c r="O297" s="41"/>
      <c r="P297" s="41"/>
      <c r="Q297" s="41"/>
      <c r="R297" s="41"/>
      <c r="S297" s="41"/>
      <c r="T297" s="41"/>
      <c r="U297" s="41"/>
      <c r="V297" s="41"/>
      <c r="W297" s="41"/>
    </row>
    <row r="298" spans="1:23" ht="19.5" hidden="1" customHeight="1" x14ac:dyDescent="0.25">
      <c r="A298" s="41"/>
      <c r="B298" s="41"/>
      <c r="C298" s="41"/>
      <c r="D298" s="41"/>
      <c r="E298" s="41"/>
      <c r="F298" s="41"/>
      <c r="G298" s="41"/>
      <c r="H298" s="41"/>
      <c r="I298" s="41"/>
      <c r="J298" s="41"/>
      <c r="K298" s="41"/>
      <c r="L298" s="41"/>
      <c r="M298" s="41"/>
      <c r="N298" s="41"/>
      <c r="O298" s="41"/>
      <c r="P298" s="41"/>
      <c r="Q298" s="41"/>
      <c r="R298" s="41"/>
      <c r="S298" s="41"/>
      <c r="T298" s="41"/>
      <c r="U298" s="41"/>
      <c r="V298" s="41"/>
      <c r="W298" s="41"/>
    </row>
    <row r="299" spans="1:23" ht="19.5" hidden="1" customHeight="1" x14ac:dyDescent="0.25">
      <c r="A299" s="41"/>
      <c r="B299" s="41"/>
      <c r="C299" s="41"/>
      <c r="D299" s="41"/>
      <c r="E299" s="41"/>
      <c r="F299" s="41"/>
      <c r="G299" s="41"/>
      <c r="H299" s="41"/>
      <c r="I299" s="41"/>
      <c r="J299" s="41"/>
      <c r="K299" s="41"/>
      <c r="L299" s="41"/>
      <c r="M299" s="41"/>
      <c r="N299" s="41"/>
      <c r="O299" s="41"/>
      <c r="P299" s="41"/>
      <c r="Q299" s="41"/>
      <c r="R299" s="41"/>
      <c r="S299" s="41"/>
      <c r="T299" s="41"/>
      <c r="U299" s="41"/>
      <c r="V299" s="41"/>
      <c r="W299" s="41"/>
    </row>
    <row r="300" spans="1:23" ht="19.5" hidden="1" customHeight="1" x14ac:dyDescent="0.25">
      <c r="A300" s="41"/>
      <c r="B300" s="41"/>
      <c r="C300" s="41"/>
      <c r="D300" s="41"/>
      <c r="E300" s="41"/>
      <c r="F300" s="41"/>
      <c r="G300" s="41"/>
      <c r="H300" s="41"/>
      <c r="I300" s="41"/>
      <c r="J300" s="41"/>
      <c r="K300" s="41"/>
      <c r="L300" s="41"/>
      <c r="M300" s="41"/>
      <c r="N300" s="41"/>
      <c r="O300" s="41"/>
      <c r="P300" s="41"/>
      <c r="Q300" s="41"/>
      <c r="R300" s="41"/>
      <c r="S300" s="41"/>
      <c r="T300" s="41"/>
      <c r="U300" s="41"/>
      <c r="V300" s="41"/>
      <c r="W300" s="41"/>
    </row>
    <row r="301" spans="1:23" ht="19.5" hidden="1" customHeight="1" x14ac:dyDescent="0.25">
      <c r="A301" s="41"/>
      <c r="B301" s="41"/>
      <c r="C301" s="41"/>
      <c r="D301" s="41"/>
      <c r="E301" s="41"/>
      <c r="F301" s="41"/>
      <c r="G301" s="41"/>
      <c r="H301" s="41"/>
      <c r="I301" s="41"/>
      <c r="J301" s="41"/>
      <c r="K301" s="41"/>
      <c r="L301" s="41"/>
      <c r="M301" s="41"/>
      <c r="N301" s="41"/>
      <c r="O301" s="41"/>
      <c r="P301" s="41"/>
      <c r="Q301" s="41"/>
      <c r="R301" s="41"/>
      <c r="S301" s="41"/>
      <c r="T301" s="41"/>
      <c r="U301" s="41"/>
      <c r="V301" s="41"/>
      <c r="W301" s="41"/>
    </row>
    <row r="302" spans="1:23" ht="19.5" hidden="1" customHeight="1" x14ac:dyDescent="0.25">
      <c r="A302" s="41"/>
      <c r="B302" s="41"/>
      <c r="C302" s="41"/>
      <c r="D302" s="41"/>
      <c r="E302" s="41"/>
      <c r="F302" s="41"/>
      <c r="G302" s="41"/>
      <c r="H302" s="41"/>
      <c r="I302" s="41"/>
      <c r="J302" s="41"/>
      <c r="K302" s="41"/>
      <c r="L302" s="41"/>
      <c r="M302" s="41"/>
      <c r="N302" s="41"/>
      <c r="O302" s="41"/>
      <c r="P302" s="41"/>
      <c r="Q302" s="41"/>
      <c r="R302" s="41"/>
      <c r="S302" s="41"/>
      <c r="T302" s="41"/>
      <c r="U302" s="41"/>
      <c r="V302" s="41"/>
      <c r="W302" s="41"/>
    </row>
    <row r="303" spans="1:23" ht="19.5" hidden="1" customHeight="1" x14ac:dyDescent="0.25">
      <c r="A303" s="41"/>
      <c r="B303" s="41"/>
      <c r="C303" s="41"/>
      <c r="D303" s="41"/>
      <c r="E303" s="41"/>
      <c r="F303" s="41"/>
      <c r="G303" s="41"/>
      <c r="H303" s="41"/>
      <c r="I303" s="41"/>
      <c r="J303" s="41"/>
      <c r="K303" s="41"/>
      <c r="L303" s="41"/>
      <c r="M303" s="41"/>
      <c r="N303" s="41"/>
      <c r="O303" s="41"/>
      <c r="P303" s="41"/>
      <c r="Q303" s="41"/>
      <c r="R303" s="41"/>
      <c r="S303" s="41"/>
      <c r="T303" s="41"/>
      <c r="U303" s="41"/>
      <c r="V303" s="41"/>
      <c r="W303" s="41"/>
    </row>
    <row r="304" spans="1:23" ht="19.5" hidden="1" customHeight="1" x14ac:dyDescent="0.25">
      <c r="A304" s="41"/>
      <c r="B304" s="41"/>
      <c r="C304" s="41"/>
      <c r="D304" s="41"/>
      <c r="E304" s="41"/>
      <c r="F304" s="41"/>
      <c r="G304" s="41"/>
      <c r="H304" s="41"/>
      <c r="I304" s="41"/>
      <c r="J304" s="41"/>
      <c r="K304" s="41"/>
      <c r="L304" s="41"/>
      <c r="M304" s="41"/>
      <c r="N304" s="41"/>
      <c r="O304" s="41"/>
      <c r="P304" s="41"/>
      <c r="Q304" s="41"/>
      <c r="R304" s="41"/>
      <c r="S304" s="41"/>
      <c r="T304" s="41"/>
      <c r="U304" s="41"/>
      <c r="V304" s="41"/>
      <c r="W304" s="41"/>
    </row>
    <row r="305" spans="1:23" ht="19.5" hidden="1" customHeight="1" x14ac:dyDescent="0.25">
      <c r="A305" s="41"/>
      <c r="B305" s="41"/>
      <c r="C305" s="41"/>
      <c r="D305" s="41"/>
      <c r="E305" s="41"/>
      <c r="F305" s="41"/>
      <c r="G305" s="41"/>
      <c r="H305" s="41"/>
      <c r="I305" s="41"/>
      <c r="J305" s="41"/>
      <c r="K305" s="41"/>
      <c r="L305" s="41"/>
      <c r="M305" s="41"/>
      <c r="N305" s="41"/>
      <c r="O305" s="41"/>
      <c r="P305" s="41"/>
      <c r="Q305" s="41"/>
      <c r="R305" s="41"/>
      <c r="S305" s="41"/>
      <c r="T305" s="41"/>
      <c r="U305" s="41"/>
      <c r="V305" s="41"/>
      <c r="W305" s="41"/>
    </row>
    <row r="306" spans="1:23" ht="19.5" hidden="1" customHeight="1" x14ac:dyDescent="0.25">
      <c r="A306" s="41"/>
      <c r="B306" s="41"/>
      <c r="C306" s="41"/>
      <c r="D306" s="41"/>
      <c r="E306" s="41"/>
      <c r="F306" s="41"/>
      <c r="G306" s="41"/>
      <c r="H306" s="41"/>
      <c r="I306" s="41"/>
      <c r="J306" s="41"/>
      <c r="K306" s="41"/>
      <c r="L306" s="41"/>
      <c r="M306" s="41"/>
      <c r="N306" s="41"/>
      <c r="O306" s="41"/>
      <c r="P306" s="41"/>
      <c r="Q306" s="41"/>
      <c r="R306" s="41"/>
      <c r="S306" s="41"/>
      <c r="T306" s="41"/>
      <c r="U306" s="41"/>
      <c r="V306" s="41"/>
      <c r="W306" s="41"/>
    </row>
    <row r="307" spans="1:23" ht="19.5" hidden="1" customHeight="1" x14ac:dyDescent="0.25">
      <c r="A307" s="41"/>
      <c r="B307" s="41"/>
      <c r="C307" s="41"/>
      <c r="D307" s="41"/>
      <c r="E307" s="41"/>
      <c r="F307" s="41"/>
      <c r="G307" s="41"/>
      <c r="H307" s="41"/>
      <c r="I307" s="41"/>
      <c r="J307" s="41"/>
      <c r="K307" s="41"/>
      <c r="L307" s="41"/>
      <c r="M307" s="41"/>
      <c r="N307" s="41"/>
      <c r="O307" s="41"/>
      <c r="P307" s="41"/>
      <c r="Q307" s="41"/>
      <c r="R307" s="41"/>
      <c r="S307" s="41"/>
      <c r="T307" s="41"/>
      <c r="U307" s="41"/>
      <c r="V307" s="41"/>
      <c r="W307" s="41"/>
    </row>
    <row r="308" spans="1:23" ht="19.5" hidden="1" customHeight="1" x14ac:dyDescent="0.25">
      <c r="A308" s="41"/>
      <c r="B308" s="41"/>
      <c r="C308" s="41"/>
      <c r="D308" s="41"/>
      <c r="E308" s="41"/>
      <c r="F308" s="41"/>
      <c r="G308" s="41"/>
      <c r="H308" s="41"/>
      <c r="I308" s="41"/>
      <c r="J308" s="41"/>
      <c r="K308" s="41"/>
      <c r="L308" s="41"/>
      <c r="M308" s="41"/>
      <c r="N308" s="41"/>
      <c r="O308" s="41"/>
      <c r="P308" s="41"/>
      <c r="Q308" s="41"/>
      <c r="R308" s="41"/>
      <c r="S308" s="41"/>
      <c r="T308" s="41"/>
      <c r="U308" s="41"/>
      <c r="V308" s="41"/>
      <c r="W308" s="41"/>
    </row>
    <row r="309" spans="1:23" ht="19.5" hidden="1" customHeight="1" x14ac:dyDescent="0.25">
      <c r="A309" s="41"/>
      <c r="B309" s="41"/>
      <c r="C309" s="41"/>
      <c r="D309" s="41"/>
      <c r="E309" s="41"/>
      <c r="F309" s="41"/>
      <c r="G309" s="41"/>
      <c r="H309" s="41"/>
      <c r="I309" s="41"/>
      <c r="J309" s="41"/>
      <c r="K309" s="41"/>
      <c r="L309" s="41"/>
      <c r="M309" s="41"/>
      <c r="N309" s="41"/>
      <c r="O309" s="41"/>
      <c r="P309" s="41"/>
      <c r="Q309" s="41"/>
      <c r="R309" s="41"/>
      <c r="S309" s="41"/>
      <c r="T309" s="41"/>
      <c r="U309" s="41"/>
      <c r="V309" s="41"/>
      <c r="W309" s="41"/>
    </row>
    <row r="310" spans="1:23" ht="19.5" hidden="1" customHeight="1" x14ac:dyDescent="0.25">
      <c r="A310" s="41"/>
      <c r="B310" s="41"/>
      <c r="C310" s="41"/>
      <c r="D310" s="41"/>
      <c r="E310" s="41"/>
      <c r="F310" s="41"/>
      <c r="G310" s="41"/>
      <c r="H310" s="41"/>
      <c r="I310" s="41"/>
      <c r="J310" s="41"/>
      <c r="K310" s="41"/>
      <c r="L310" s="41"/>
      <c r="M310" s="41"/>
      <c r="N310" s="41"/>
      <c r="O310" s="41"/>
      <c r="P310" s="41"/>
      <c r="Q310" s="41"/>
      <c r="R310" s="41"/>
      <c r="S310" s="41"/>
      <c r="T310" s="41"/>
      <c r="U310" s="41"/>
      <c r="V310" s="41"/>
      <c r="W310" s="41"/>
    </row>
    <row r="311" spans="1:23" ht="19.5" hidden="1" customHeight="1" x14ac:dyDescent="0.25">
      <c r="A311" s="41"/>
      <c r="B311" s="41"/>
      <c r="C311" s="41"/>
      <c r="D311" s="41"/>
      <c r="E311" s="41"/>
      <c r="F311" s="41"/>
      <c r="G311" s="41"/>
      <c r="H311" s="41"/>
      <c r="I311" s="41"/>
      <c r="J311" s="41"/>
      <c r="K311" s="41"/>
      <c r="L311" s="41"/>
      <c r="M311" s="41"/>
      <c r="N311" s="41"/>
      <c r="O311" s="41"/>
      <c r="P311" s="41"/>
      <c r="Q311" s="41"/>
      <c r="R311" s="41"/>
      <c r="S311" s="41"/>
      <c r="T311" s="41"/>
      <c r="U311" s="41"/>
      <c r="V311" s="41"/>
      <c r="W311" s="41"/>
    </row>
    <row r="312" spans="1:23" ht="19.5" hidden="1" customHeight="1" x14ac:dyDescent="0.25">
      <c r="A312" s="41"/>
      <c r="B312" s="41"/>
      <c r="C312" s="41"/>
      <c r="D312" s="41"/>
      <c r="E312" s="41"/>
      <c r="F312" s="41"/>
      <c r="G312" s="41"/>
      <c r="H312" s="41"/>
      <c r="I312" s="41"/>
      <c r="J312" s="41"/>
      <c r="K312" s="41"/>
      <c r="L312" s="41"/>
      <c r="M312" s="41"/>
      <c r="N312" s="41"/>
      <c r="O312" s="41"/>
      <c r="P312" s="41"/>
      <c r="Q312" s="41"/>
      <c r="R312" s="41"/>
      <c r="S312" s="41"/>
      <c r="T312" s="41"/>
      <c r="U312" s="41"/>
      <c r="V312" s="41"/>
      <c r="W312" s="41"/>
    </row>
    <row r="313" spans="1:23" ht="19.5" hidden="1" customHeight="1" x14ac:dyDescent="0.25">
      <c r="A313" s="41"/>
      <c r="B313" s="41"/>
      <c r="C313" s="41"/>
      <c r="D313" s="41"/>
      <c r="E313" s="41"/>
      <c r="F313" s="41"/>
      <c r="G313" s="41"/>
      <c r="H313" s="41"/>
      <c r="I313" s="41"/>
      <c r="J313" s="41"/>
      <c r="K313" s="41"/>
      <c r="L313" s="41"/>
      <c r="M313" s="41"/>
      <c r="N313" s="41"/>
      <c r="O313" s="41"/>
      <c r="P313" s="41"/>
      <c r="Q313" s="41"/>
      <c r="R313" s="41"/>
      <c r="S313" s="41"/>
      <c r="T313" s="41"/>
      <c r="U313" s="41"/>
      <c r="V313" s="41"/>
      <c r="W313" s="41"/>
    </row>
    <row r="314" spans="1:23" ht="19.5" hidden="1" customHeight="1" x14ac:dyDescent="0.25">
      <c r="A314" s="41"/>
      <c r="B314" s="41"/>
      <c r="C314" s="41"/>
      <c r="D314" s="41"/>
      <c r="E314" s="41"/>
      <c r="F314" s="41"/>
      <c r="G314" s="41"/>
      <c r="H314" s="41"/>
      <c r="I314" s="41"/>
      <c r="J314" s="41"/>
      <c r="K314" s="41"/>
      <c r="L314" s="41"/>
      <c r="M314" s="41"/>
      <c r="N314" s="41"/>
      <c r="O314" s="41"/>
      <c r="P314" s="41"/>
      <c r="Q314" s="41"/>
      <c r="R314" s="41"/>
      <c r="S314" s="41"/>
      <c r="T314" s="41"/>
      <c r="U314" s="41"/>
      <c r="V314" s="41"/>
      <c r="W314" s="41"/>
    </row>
    <row r="315" spans="1:23" ht="19.5" hidden="1" customHeight="1" x14ac:dyDescent="0.25">
      <c r="A315" s="41"/>
      <c r="B315" s="41"/>
      <c r="C315" s="41"/>
      <c r="D315" s="41"/>
      <c r="E315" s="41"/>
      <c r="F315" s="41"/>
      <c r="G315" s="41"/>
      <c r="H315" s="41"/>
      <c r="I315" s="41"/>
      <c r="J315" s="41"/>
      <c r="K315" s="41"/>
      <c r="L315" s="41"/>
      <c r="M315" s="41"/>
      <c r="N315" s="41"/>
      <c r="O315" s="41"/>
      <c r="P315" s="41"/>
      <c r="Q315" s="41"/>
      <c r="R315" s="41"/>
      <c r="S315" s="41"/>
      <c r="T315" s="41"/>
      <c r="U315" s="41"/>
      <c r="V315" s="41"/>
      <c r="W315" s="41"/>
    </row>
    <row r="316" spans="1:23" ht="19.5" hidden="1" customHeight="1" x14ac:dyDescent="0.25">
      <c r="A316" s="41"/>
      <c r="B316" s="41"/>
      <c r="C316" s="41"/>
      <c r="D316" s="41"/>
      <c r="E316" s="41"/>
      <c r="F316" s="41"/>
      <c r="G316" s="41"/>
      <c r="H316" s="41"/>
      <c r="I316" s="41"/>
      <c r="J316" s="41"/>
      <c r="K316" s="41"/>
      <c r="L316" s="41"/>
      <c r="M316" s="41"/>
      <c r="N316" s="41"/>
      <c r="O316" s="41"/>
      <c r="P316" s="41"/>
      <c r="Q316" s="41"/>
      <c r="R316" s="41"/>
      <c r="S316" s="41"/>
      <c r="T316" s="41"/>
      <c r="U316" s="41"/>
      <c r="V316" s="41"/>
      <c r="W316" s="41"/>
    </row>
    <row r="317" spans="1:23" ht="19.5" hidden="1" customHeight="1" x14ac:dyDescent="0.25">
      <c r="A317" s="41"/>
      <c r="B317" s="41"/>
      <c r="C317" s="41"/>
      <c r="D317" s="41"/>
      <c r="E317" s="41"/>
      <c r="F317" s="41"/>
      <c r="G317" s="41"/>
      <c r="H317" s="41"/>
      <c r="I317" s="41"/>
      <c r="J317" s="41"/>
      <c r="K317" s="41"/>
      <c r="L317" s="41"/>
      <c r="M317" s="41"/>
      <c r="N317" s="41"/>
      <c r="O317" s="41"/>
      <c r="P317" s="41"/>
      <c r="Q317" s="41"/>
      <c r="R317" s="41"/>
      <c r="S317" s="41"/>
      <c r="T317" s="41"/>
      <c r="U317" s="41"/>
      <c r="V317" s="41"/>
      <c r="W317" s="41"/>
    </row>
    <row r="318" spans="1:23" ht="19.5" hidden="1" customHeight="1" x14ac:dyDescent="0.25">
      <c r="A318" s="41"/>
      <c r="B318" s="41"/>
      <c r="C318" s="41"/>
      <c r="D318" s="41"/>
      <c r="E318" s="41"/>
      <c r="F318" s="41"/>
      <c r="G318" s="41"/>
      <c r="H318" s="41"/>
      <c r="I318" s="41"/>
      <c r="J318" s="41"/>
      <c r="K318" s="41"/>
      <c r="L318" s="41"/>
      <c r="M318" s="41"/>
      <c r="N318" s="41"/>
      <c r="O318" s="41"/>
      <c r="P318" s="41"/>
      <c r="Q318" s="41"/>
      <c r="R318" s="41"/>
      <c r="S318" s="41"/>
      <c r="T318" s="41"/>
      <c r="U318" s="41"/>
      <c r="V318" s="41"/>
      <c r="W318" s="41"/>
    </row>
    <row r="319" spans="1:23" ht="19.5" hidden="1" customHeight="1" x14ac:dyDescent="0.25">
      <c r="A319" s="41"/>
      <c r="B319" s="41"/>
      <c r="C319" s="41"/>
      <c r="D319" s="41"/>
      <c r="E319" s="41"/>
      <c r="F319" s="41"/>
      <c r="G319" s="41"/>
      <c r="H319" s="41"/>
      <c r="I319" s="41"/>
      <c r="J319" s="41"/>
      <c r="K319" s="41"/>
      <c r="L319" s="41"/>
      <c r="M319" s="41"/>
      <c r="N319" s="41"/>
      <c r="O319" s="41"/>
      <c r="P319" s="41"/>
      <c r="Q319" s="41"/>
      <c r="R319" s="41"/>
      <c r="S319" s="41"/>
      <c r="T319" s="41"/>
      <c r="U319" s="41"/>
      <c r="V319" s="41"/>
      <c r="W319" s="41"/>
    </row>
    <row r="320" spans="1:23" ht="19.5" hidden="1" customHeight="1" x14ac:dyDescent="0.25">
      <c r="A320" s="41"/>
      <c r="B320" s="41"/>
      <c r="C320" s="41"/>
      <c r="D320" s="41"/>
      <c r="E320" s="41"/>
      <c r="F320" s="41"/>
      <c r="G320" s="41"/>
      <c r="H320" s="41"/>
      <c r="I320" s="41"/>
      <c r="J320" s="41"/>
      <c r="K320" s="41"/>
      <c r="L320" s="41"/>
      <c r="M320" s="41"/>
      <c r="N320" s="41"/>
      <c r="O320" s="41"/>
      <c r="P320" s="41"/>
      <c r="Q320" s="41"/>
      <c r="R320" s="41"/>
      <c r="S320" s="41"/>
      <c r="T320" s="41"/>
      <c r="U320" s="41"/>
      <c r="V320" s="41"/>
      <c r="W320" s="41"/>
    </row>
    <row r="321" spans="1:23" ht="19.5" hidden="1" customHeight="1" x14ac:dyDescent="0.25">
      <c r="A321" s="41"/>
      <c r="B321" s="41"/>
      <c r="C321" s="41"/>
      <c r="D321" s="41"/>
      <c r="E321" s="41"/>
      <c r="F321" s="41"/>
      <c r="G321" s="41"/>
      <c r="H321" s="41"/>
      <c r="I321" s="41"/>
      <c r="J321" s="41"/>
      <c r="K321" s="41"/>
      <c r="L321" s="41"/>
      <c r="M321" s="41"/>
      <c r="N321" s="41"/>
      <c r="O321" s="41"/>
      <c r="P321" s="41"/>
      <c r="Q321" s="41"/>
      <c r="R321" s="41"/>
      <c r="S321" s="41"/>
      <c r="T321" s="41"/>
      <c r="U321" s="41"/>
      <c r="V321" s="41"/>
      <c r="W321" s="41"/>
    </row>
    <row r="322" spans="1:23" ht="19.5" hidden="1" customHeight="1" x14ac:dyDescent="0.25">
      <c r="A322" s="41"/>
      <c r="B322" s="41"/>
      <c r="C322" s="41"/>
      <c r="D322" s="41"/>
      <c r="E322" s="41"/>
      <c r="F322" s="41"/>
      <c r="G322" s="41"/>
      <c r="H322" s="41"/>
      <c r="I322" s="41"/>
      <c r="J322" s="41"/>
      <c r="K322" s="41"/>
      <c r="L322" s="41"/>
      <c r="M322" s="41"/>
      <c r="N322" s="41"/>
      <c r="O322" s="41"/>
      <c r="P322" s="41"/>
      <c r="Q322" s="41"/>
      <c r="R322" s="41"/>
      <c r="S322" s="41"/>
      <c r="T322" s="41"/>
      <c r="U322" s="41"/>
      <c r="V322" s="41"/>
      <c r="W322" s="41"/>
    </row>
    <row r="323" spans="1:23" ht="19.5" hidden="1" customHeight="1" x14ac:dyDescent="0.25">
      <c r="A323" s="41"/>
      <c r="B323" s="41"/>
      <c r="C323" s="41"/>
      <c r="D323" s="41"/>
      <c r="E323" s="41"/>
      <c r="F323" s="41"/>
      <c r="G323" s="41"/>
      <c r="H323" s="41"/>
      <c r="I323" s="41"/>
      <c r="J323" s="41"/>
      <c r="K323" s="41"/>
      <c r="L323" s="41"/>
      <c r="M323" s="41"/>
      <c r="N323" s="41"/>
      <c r="O323" s="41"/>
      <c r="P323" s="41"/>
      <c r="Q323" s="41"/>
      <c r="R323" s="41"/>
      <c r="S323" s="41"/>
      <c r="T323" s="41"/>
      <c r="U323" s="41"/>
      <c r="V323" s="41"/>
      <c r="W323" s="41"/>
    </row>
    <row r="324" spans="1:23" ht="19.5" hidden="1" customHeight="1" x14ac:dyDescent="0.25">
      <c r="A324" s="41"/>
      <c r="B324" s="41"/>
      <c r="C324" s="41"/>
      <c r="D324" s="41"/>
      <c r="E324" s="41"/>
      <c r="F324" s="41"/>
      <c r="G324" s="41"/>
      <c r="H324" s="41"/>
      <c r="I324" s="41"/>
      <c r="J324" s="41"/>
      <c r="K324" s="41"/>
      <c r="L324" s="41"/>
      <c r="M324" s="41"/>
      <c r="N324" s="41"/>
      <c r="O324" s="41"/>
      <c r="P324" s="41"/>
      <c r="Q324" s="41"/>
      <c r="R324" s="41"/>
      <c r="S324" s="41"/>
      <c r="T324" s="41"/>
      <c r="U324" s="41"/>
      <c r="V324" s="41"/>
      <c r="W324" s="41"/>
    </row>
    <row r="325" spans="1:23" ht="19.5" hidden="1" customHeight="1" x14ac:dyDescent="0.25">
      <c r="A325" s="41"/>
      <c r="B325" s="41"/>
      <c r="C325" s="41"/>
      <c r="D325" s="41"/>
      <c r="E325" s="41"/>
      <c r="F325" s="41"/>
      <c r="G325" s="41"/>
      <c r="H325" s="41"/>
      <c r="I325" s="41"/>
      <c r="J325" s="41"/>
      <c r="K325" s="41"/>
      <c r="L325" s="41"/>
      <c r="M325" s="41"/>
      <c r="N325" s="41"/>
      <c r="O325" s="41"/>
      <c r="P325" s="41"/>
      <c r="Q325" s="41"/>
      <c r="R325" s="41"/>
      <c r="S325" s="41"/>
      <c r="T325" s="41"/>
      <c r="U325" s="41"/>
      <c r="V325" s="41"/>
      <c r="W325" s="41"/>
    </row>
    <row r="326" spans="1:23" ht="19.5" hidden="1" customHeight="1" x14ac:dyDescent="0.25">
      <c r="A326" s="41"/>
      <c r="B326" s="41"/>
      <c r="C326" s="41"/>
      <c r="D326" s="41"/>
      <c r="E326" s="41"/>
      <c r="F326" s="41"/>
      <c r="G326" s="41"/>
      <c r="H326" s="41"/>
      <c r="I326" s="41"/>
      <c r="J326" s="41"/>
      <c r="K326" s="41"/>
      <c r="L326" s="41"/>
      <c r="M326" s="41"/>
      <c r="N326" s="41"/>
      <c r="O326" s="41"/>
      <c r="P326" s="41"/>
      <c r="Q326" s="41"/>
      <c r="R326" s="41"/>
      <c r="S326" s="41"/>
      <c r="T326" s="41"/>
      <c r="U326" s="41"/>
      <c r="V326" s="41"/>
      <c r="W326" s="41"/>
    </row>
    <row r="327" spans="1:23" ht="19.5" hidden="1" customHeight="1" x14ac:dyDescent="0.25">
      <c r="A327" s="41"/>
      <c r="B327" s="41"/>
      <c r="C327" s="41"/>
      <c r="D327" s="41"/>
      <c r="E327" s="41"/>
      <c r="F327" s="41"/>
      <c r="G327" s="41"/>
      <c r="H327" s="41"/>
      <c r="I327" s="41"/>
      <c r="J327" s="41"/>
      <c r="K327" s="41"/>
      <c r="L327" s="41"/>
      <c r="M327" s="41"/>
      <c r="N327" s="41"/>
      <c r="O327" s="41"/>
      <c r="P327" s="41"/>
      <c r="Q327" s="41"/>
      <c r="R327" s="41"/>
      <c r="S327" s="41"/>
      <c r="T327" s="41"/>
      <c r="U327" s="41"/>
      <c r="V327" s="41"/>
      <c r="W327" s="41"/>
    </row>
    <row r="328" spans="1:23" ht="19.5" hidden="1" customHeight="1" x14ac:dyDescent="0.25">
      <c r="A328" s="41"/>
      <c r="B328" s="41"/>
      <c r="C328" s="41"/>
      <c r="D328" s="41"/>
      <c r="E328" s="41"/>
      <c r="F328" s="41"/>
      <c r="G328" s="41"/>
      <c r="H328" s="41"/>
      <c r="I328" s="41"/>
      <c r="J328" s="41"/>
      <c r="K328" s="41"/>
      <c r="L328" s="41"/>
      <c r="M328" s="41"/>
      <c r="N328" s="41"/>
      <c r="O328" s="41"/>
      <c r="P328" s="41"/>
      <c r="Q328" s="41"/>
      <c r="R328" s="41"/>
      <c r="S328" s="41"/>
      <c r="T328" s="41"/>
      <c r="U328" s="41"/>
      <c r="V328" s="41"/>
      <c r="W328" s="41"/>
    </row>
    <row r="329" spans="1:23" ht="19.5" hidden="1" customHeight="1" x14ac:dyDescent="0.25">
      <c r="A329" s="41"/>
      <c r="B329" s="41"/>
      <c r="C329" s="41"/>
      <c r="D329" s="41"/>
      <c r="E329" s="41"/>
      <c r="F329" s="41"/>
      <c r="G329" s="41"/>
      <c r="H329" s="41"/>
      <c r="I329" s="41"/>
      <c r="J329" s="41"/>
      <c r="K329" s="41"/>
      <c r="L329" s="41"/>
      <c r="M329" s="41"/>
      <c r="N329" s="41"/>
      <c r="O329" s="41"/>
      <c r="P329" s="41"/>
      <c r="Q329" s="41"/>
      <c r="R329" s="41"/>
      <c r="S329" s="41"/>
      <c r="T329" s="41"/>
      <c r="U329" s="41"/>
      <c r="V329" s="41"/>
      <c r="W329" s="41"/>
    </row>
    <row r="330" spans="1:23" ht="19.5" hidden="1" customHeight="1" x14ac:dyDescent="0.25">
      <c r="A330" s="41"/>
      <c r="B330" s="41"/>
      <c r="C330" s="41"/>
      <c r="D330" s="41"/>
      <c r="E330" s="41"/>
      <c r="F330" s="41"/>
      <c r="G330" s="41"/>
      <c r="H330" s="41"/>
      <c r="I330" s="41"/>
      <c r="J330" s="41"/>
      <c r="K330" s="41"/>
      <c r="L330" s="41"/>
      <c r="M330" s="41"/>
      <c r="N330" s="41"/>
      <c r="O330" s="41"/>
      <c r="P330" s="41"/>
      <c r="Q330" s="41"/>
      <c r="R330" s="41"/>
      <c r="S330" s="41"/>
      <c r="T330" s="41"/>
      <c r="U330" s="41"/>
      <c r="V330" s="41"/>
      <c r="W330" s="41"/>
    </row>
    <row r="331" spans="1:23" ht="19.5" hidden="1" customHeight="1" x14ac:dyDescent="0.25">
      <c r="A331" s="41"/>
      <c r="B331" s="41"/>
      <c r="C331" s="41"/>
      <c r="D331" s="41"/>
      <c r="E331" s="41"/>
      <c r="F331" s="41"/>
      <c r="G331" s="41"/>
      <c r="H331" s="41"/>
      <c r="I331" s="41"/>
      <c r="J331" s="41"/>
      <c r="K331" s="41"/>
      <c r="L331" s="41"/>
      <c r="M331" s="41"/>
      <c r="N331" s="41"/>
      <c r="O331" s="41"/>
      <c r="P331" s="41"/>
      <c r="Q331" s="41"/>
      <c r="R331" s="41"/>
      <c r="S331" s="41"/>
      <c r="T331" s="41"/>
      <c r="U331" s="41"/>
      <c r="V331" s="41"/>
      <c r="W331" s="41"/>
    </row>
    <row r="332" spans="1:23" ht="19.5" hidden="1" customHeight="1" x14ac:dyDescent="0.25">
      <c r="A332" s="41"/>
      <c r="B332" s="41"/>
      <c r="C332" s="41"/>
      <c r="D332" s="41"/>
      <c r="E332" s="41"/>
      <c r="F332" s="41"/>
      <c r="G332" s="41"/>
      <c r="H332" s="41"/>
      <c r="I332" s="41"/>
      <c r="J332" s="41"/>
      <c r="K332" s="41"/>
      <c r="L332" s="41"/>
      <c r="M332" s="41"/>
      <c r="N332" s="41"/>
      <c r="O332" s="41"/>
      <c r="P332" s="41"/>
      <c r="Q332" s="41"/>
      <c r="R332" s="41"/>
      <c r="S332" s="41"/>
      <c r="T332" s="41"/>
      <c r="U332" s="41"/>
      <c r="V332" s="41"/>
      <c r="W332" s="41"/>
    </row>
    <row r="333" spans="1:23" ht="19.5" hidden="1" customHeight="1" x14ac:dyDescent="0.25">
      <c r="A333" s="41"/>
      <c r="B333" s="41"/>
      <c r="C333" s="41"/>
      <c r="D333" s="41"/>
      <c r="E333" s="41"/>
      <c r="F333" s="41"/>
      <c r="G333" s="41"/>
      <c r="H333" s="41"/>
      <c r="I333" s="41"/>
      <c r="J333" s="41"/>
      <c r="K333" s="41"/>
      <c r="L333" s="41"/>
      <c r="M333" s="41"/>
      <c r="N333" s="41"/>
      <c r="O333" s="41"/>
      <c r="P333" s="41"/>
      <c r="Q333" s="41"/>
      <c r="R333" s="41"/>
      <c r="S333" s="41"/>
      <c r="T333" s="41"/>
      <c r="U333" s="41"/>
      <c r="V333" s="41"/>
      <c r="W333" s="41"/>
    </row>
    <row r="334" spans="1:23" ht="19.5" hidden="1" customHeight="1" x14ac:dyDescent="0.25">
      <c r="A334" s="41"/>
      <c r="B334" s="41"/>
      <c r="C334" s="41"/>
      <c r="D334" s="41"/>
      <c r="E334" s="41"/>
      <c r="F334" s="41"/>
      <c r="G334" s="41"/>
      <c r="H334" s="41"/>
      <c r="I334" s="41"/>
      <c r="J334" s="41"/>
      <c r="K334" s="41"/>
      <c r="L334" s="41"/>
      <c r="M334" s="41"/>
      <c r="N334" s="41"/>
      <c r="O334" s="41"/>
      <c r="P334" s="41"/>
      <c r="Q334" s="41"/>
      <c r="R334" s="41"/>
      <c r="S334" s="41"/>
      <c r="T334" s="41"/>
      <c r="U334" s="41"/>
      <c r="V334" s="41"/>
      <c r="W334" s="41"/>
    </row>
    <row r="335" spans="1:23" ht="19.5" hidden="1" customHeight="1" x14ac:dyDescent="0.25">
      <c r="A335" s="41"/>
      <c r="B335" s="41"/>
      <c r="C335" s="41"/>
      <c r="D335" s="41"/>
      <c r="E335" s="41"/>
      <c r="F335" s="41"/>
      <c r="G335" s="41"/>
      <c r="H335" s="41"/>
      <c r="I335" s="41"/>
      <c r="J335" s="41"/>
      <c r="K335" s="41"/>
      <c r="L335" s="41"/>
      <c r="M335" s="41"/>
      <c r="N335" s="41"/>
      <c r="O335" s="41"/>
      <c r="P335" s="41"/>
      <c r="Q335" s="41"/>
      <c r="R335" s="41"/>
      <c r="S335" s="41"/>
      <c r="T335" s="41"/>
      <c r="U335" s="41"/>
      <c r="V335" s="41"/>
      <c r="W335" s="41"/>
    </row>
    <row r="336" spans="1:23" ht="19.5" hidden="1" customHeight="1" x14ac:dyDescent="0.25">
      <c r="A336" s="41"/>
      <c r="B336" s="41"/>
      <c r="C336" s="41"/>
      <c r="D336" s="41"/>
      <c r="E336" s="41"/>
      <c r="F336" s="41"/>
      <c r="G336" s="41"/>
      <c r="H336" s="41"/>
      <c r="I336" s="41"/>
      <c r="J336" s="41"/>
      <c r="K336" s="41"/>
      <c r="L336" s="41"/>
      <c r="M336" s="41"/>
      <c r="N336" s="41"/>
      <c r="O336" s="41"/>
      <c r="P336" s="41"/>
      <c r="Q336" s="41"/>
      <c r="R336" s="41"/>
      <c r="S336" s="41"/>
      <c r="T336" s="41"/>
      <c r="U336" s="41"/>
      <c r="V336" s="41"/>
      <c r="W336" s="41"/>
    </row>
    <row r="337" spans="1:23" ht="19.5" hidden="1" customHeight="1" x14ac:dyDescent="0.25">
      <c r="A337" s="41"/>
      <c r="B337" s="41"/>
      <c r="C337" s="41"/>
      <c r="D337" s="41"/>
      <c r="E337" s="41"/>
      <c r="F337" s="41"/>
      <c r="G337" s="41"/>
      <c r="H337" s="41"/>
      <c r="I337" s="41"/>
      <c r="J337" s="41"/>
      <c r="K337" s="41"/>
      <c r="L337" s="41"/>
      <c r="M337" s="41"/>
      <c r="N337" s="41"/>
      <c r="O337" s="41"/>
      <c r="P337" s="41"/>
      <c r="Q337" s="41"/>
      <c r="R337" s="41"/>
      <c r="S337" s="41"/>
      <c r="T337" s="41"/>
      <c r="U337" s="41"/>
      <c r="V337" s="41"/>
      <c r="W337" s="41"/>
    </row>
    <row r="338" spans="1:23" ht="19.5" hidden="1" customHeight="1" x14ac:dyDescent="0.25">
      <c r="A338" s="41"/>
      <c r="B338" s="41"/>
      <c r="C338" s="41"/>
      <c r="D338" s="41"/>
      <c r="E338" s="41"/>
      <c r="F338" s="41"/>
      <c r="G338" s="41"/>
      <c r="H338" s="41"/>
      <c r="I338" s="41"/>
      <c r="J338" s="41"/>
      <c r="K338" s="41"/>
      <c r="L338" s="41"/>
      <c r="M338" s="41"/>
      <c r="N338" s="41"/>
      <c r="O338" s="41"/>
      <c r="P338" s="41"/>
      <c r="Q338" s="41"/>
      <c r="R338" s="41"/>
      <c r="S338" s="41"/>
      <c r="T338" s="41"/>
      <c r="U338" s="41"/>
      <c r="V338" s="41"/>
      <c r="W338" s="41"/>
    </row>
    <row r="339" spans="1:23" ht="19.5" hidden="1" customHeight="1" x14ac:dyDescent="0.25">
      <c r="A339" s="41"/>
      <c r="B339" s="41"/>
      <c r="C339" s="41"/>
      <c r="D339" s="41"/>
      <c r="E339" s="41"/>
      <c r="F339" s="41"/>
      <c r="G339" s="41"/>
      <c r="H339" s="41"/>
      <c r="I339" s="41"/>
      <c r="J339" s="41"/>
      <c r="K339" s="41"/>
      <c r="L339" s="41"/>
      <c r="M339" s="41"/>
      <c r="N339" s="41"/>
      <c r="O339" s="41"/>
      <c r="P339" s="41"/>
      <c r="Q339" s="41"/>
      <c r="R339" s="41"/>
      <c r="S339" s="41"/>
      <c r="T339" s="41"/>
      <c r="U339" s="41"/>
      <c r="V339" s="41"/>
      <c r="W339" s="41"/>
    </row>
    <row r="340" spans="1:23" ht="19.5" hidden="1" customHeight="1" x14ac:dyDescent="0.25">
      <c r="A340" s="41"/>
      <c r="B340" s="41"/>
      <c r="C340" s="41"/>
      <c r="D340" s="41"/>
      <c r="E340" s="41"/>
      <c r="F340" s="41"/>
      <c r="G340" s="41"/>
      <c r="H340" s="41"/>
      <c r="I340" s="41"/>
      <c r="J340" s="41"/>
      <c r="K340" s="41"/>
      <c r="L340" s="41"/>
      <c r="M340" s="41"/>
      <c r="N340" s="41"/>
      <c r="O340" s="41"/>
      <c r="P340" s="41"/>
      <c r="Q340" s="41"/>
      <c r="R340" s="41"/>
      <c r="S340" s="41"/>
      <c r="T340" s="41"/>
      <c r="U340" s="41"/>
      <c r="V340" s="41"/>
      <c r="W340" s="41"/>
    </row>
    <row r="341" spans="1:23" ht="19.5" hidden="1" customHeight="1" x14ac:dyDescent="0.25">
      <c r="A341" s="41"/>
      <c r="B341" s="41"/>
      <c r="C341" s="41"/>
      <c r="D341" s="41"/>
      <c r="E341" s="41"/>
      <c r="F341" s="41"/>
      <c r="G341" s="41"/>
      <c r="H341" s="41"/>
      <c r="I341" s="41"/>
      <c r="J341" s="41"/>
      <c r="K341" s="41"/>
      <c r="L341" s="41"/>
      <c r="M341" s="41"/>
      <c r="N341" s="41"/>
      <c r="O341" s="41"/>
      <c r="P341" s="41"/>
      <c r="Q341" s="41"/>
      <c r="R341" s="41"/>
      <c r="S341" s="41"/>
      <c r="T341" s="41"/>
      <c r="U341" s="41"/>
      <c r="V341" s="41"/>
      <c r="W341" s="41"/>
    </row>
    <row r="342" spans="1:23" ht="19.5" hidden="1" customHeight="1" x14ac:dyDescent="0.25">
      <c r="A342" s="41"/>
      <c r="B342" s="41"/>
      <c r="C342" s="41"/>
      <c r="D342" s="41"/>
      <c r="E342" s="41"/>
      <c r="F342" s="41"/>
      <c r="G342" s="41"/>
      <c r="H342" s="41"/>
      <c r="I342" s="41"/>
      <c r="J342" s="41"/>
      <c r="K342" s="41"/>
      <c r="L342" s="41"/>
      <c r="M342" s="41"/>
      <c r="N342" s="41"/>
      <c r="O342" s="41"/>
      <c r="P342" s="41"/>
      <c r="Q342" s="41"/>
      <c r="R342" s="41"/>
      <c r="S342" s="41"/>
      <c r="T342" s="41"/>
      <c r="U342" s="41"/>
      <c r="V342" s="41"/>
      <c r="W342" s="41"/>
    </row>
    <row r="343" spans="1:23" ht="19.5" hidden="1" customHeight="1" x14ac:dyDescent="0.25">
      <c r="A343" s="41"/>
      <c r="B343" s="41"/>
      <c r="C343" s="41"/>
      <c r="D343" s="41"/>
      <c r="E343" s="41"/>
      <c r="F343" s="41"/>
      <c r="G343" s="41"/>
      <c r="H343" s="41"/>
      <c r="I343" s="41"/>
      <c r="J343" s="41"/>
      <c r="K343" s="41"/>
      <c r="L343" s="41"/>
      <c r="M343" s="41"/>
      <c r="N343" s="41"/>
      <c r="O343" s="41"/>
      <c r="P343" s="41"/>
      <c r="Q343" s="41"/>
      <c r="R343" s="41"/>
      <c r="S343" s="41"/>
      <c r="T343" s="41"/>
      <c r="U343" s="41"/>
      <c r="V343" s="41"/>
      <c r="W343" s="41"/>
    </row>
    <row r="344" spans="1:23" ht="19.5" hidden="1" customHeight="1" x14ac:dyDescent="0.25">
      <c r="A344" s="41"/>
      <c r="B344" s="41"/>
      <c r="C344" s="41"/>
      <c r="D344" s="41"/>
      <c r="E344" s="41"/>
      <c r="F344" s="41"/>
      <c r="G344" s="41"/>
      <c r="H344" s="41"/>
      <c r="I344" s="41"/>
      <c r="J344" s="41"/>
      <c r="K344" s="41"/>
      <c r="L344" s="41"/>
      <c r="M344" s="41"/>
      <c r="N344" s="41"/>
      <c r="O344" s="41"/>
      <c r="P344" s="41"/>
      <c r="Q344" s="41"/>
      <c r="R344" s="41"/>
      <c r="S344" s="41"/>
      <c r="T344" s="41"/>
      <c r="U344" s="41"/>
      <c r="V344" s="41"/>
      <c r="W344" s="41"/>
    </row>
    <row r="345" spans="1:23" ht="19.5" hidden="1" customHeight="1" x14ac:dyDescent="0.25">
      <c r="A345" s="41"/>
      <c r="B345" s="41"/>
      <c r="C345" s="41"/>
      <c r="D345" s="41"/>
      <c r="E345" s="41"/>
      <c r="F345" s="41"/>
      <c r="G345" s="41"/>
      <c r="H345" s="41"/>
      <c r="I345" s="41"/>
      <c r="J345" s="41"/>
      <c r="K345" s="41"/>
      <c r="L345" s="41"/>
      <c r="M345" s="41"/>
      <c r="N345" s="41"/>
      <c r="O345" s="41"/>
      <c r="P345" s="41"/>
      <c r="Q345" s="41"/>
      <c r="R345" s="41"/>
      <c r="S345" s="41"/>
      <c r="T345" s="41"/>
      <c r="U345" s="41"/>
      <c r="V345" s="41"/>
      <c r="W345" s="41"/>
    </row>
    <row r="346" spans="1:23" ht="19.5" hidden="1" customHeight="1" x14ac:dyDescent="0.25">
      <c r="A346" s="41"/>
      <c r="B346" s="41"/>
      <c r="C346" s="41"/>
      <c r="D346" s="41"/>
      <c r="E346" s="41"/>
      <c r="F346" s="41"/>
      <c r="G346" s="41"/>
      <c r="H346" s="41"/>
      <c r="I346" s="41"/>
      <c r="J346" s="41"/>
      <c r="K346" s="41"/>
      <c r="L346" s="41"/>
      <c r="M346" s="41"/>
      <c r="N346" s="41"/>
      <c r="O346" s="41"/>
      <c r="P346" s="41"/>
      <c r="Q346" s="41"/>
      <c r="R346" s="41"/>
      <c r="S346" s="41"/>
      <c r="T346" s="41"/>
      <c r="U346" s="41"/>
      <c r="V346" s="41"/>
      <c r="W346" s="41"/>
    </row>
    <row r="347" spans="1:23" ht="19.5" hidden="1" customHeight="1" x14ac:dyDescent="0.25">
      <c r="A347" s="41"/>
      <c r="B347" s="41"/>
      <c r="C347" s="41"/>
      <c r="D347" s="41"/>
      <c r="E347" s="41"/>
      <c r="F347" s="41"/>
      <c r="G347" s="41"/>
      <c r="H347" s="41"/>
      <c r="I347" s="41"/>
      <c r="J347" s="41"/>
      <c r="K347" s="41"/>
      <c r="L347" s="41"/>
      <c r="M347" s="41"/>
      <c r="N347" s="41"/>
      <c r="O347" s="41"/>
      <c r="P347" s="41"/>
      <c r="Q347" s="41"/>
      <c r="R347" s="41"/>
      <c r="S347" s="41"/>
      <c r="T347" s="41"/>
      <c r="U347" s="41"/>
      <c r="V347" s="41"/>
      <c r="W347" s="41"/>
    </row>
    <row r="348" spans="1:23" ht="19.5" hidden="1" customHeight="1" x14ac:dyDescent="0.25">
      <c r="A348" s="41"/>
      <c r="B348" s="41"/>
      <c r="C348" s="41"/>
      <c r="D348" s="41"/>
      <c r="E348" s="41"/>
      <c r="F348" s="41"/>
      <c r="G348" s="41"/>
      <c r="H348" s="41"/>
      <c r="I348" s="41"/>
      <c r="J348" s="41"/>
      <c r="K348" s="41"/>
      <c r="L348" s="41"/>
      <c r="M348" s="41"/>
      <c r="N348" s="41"/>
      <c r="O348" s="41"/>
      <c r="P348" s="41"/>
      <c r="Q348" s="41"/>
      <c r="R348" s="41"/>
      <c r="S348" s="41"/>
      <c r="T348" s="41"/>
      <c r="U348" s="41"/>
      <c r="V348" s="41"/>
      <c r="W348" s="41"/>
    </row>
    <row r="349" spans="1:23" ht="19.5" hidden="1" customHeight="1" x14ac:dyDescent="0.25">
      <c r="A349" s="41"/>
      <c r="B349" s="41"/>
      <c r="C349" s="41"/>
      <c r="D349" s="41"/>
      <c r="E349" s="41"/>
      <c r="F349" s="41"/>
      <c r="G349" s="41"/>
      <c r="H349" s="41"/>
      <c r="I349" s="41"/>
      <c r="J349" s="41"/>
      <c r="K349" s="41"/>
      <c r="L349" s="41"/>
      <c r="M349" s="41"/>
      <c r="N349" s="41"/>
      <c r="O349" s="41"/>
      <c r="P349" s="41"/>
      <c r="Q349" s="41"/>
      <c r="R349" s="41"/>
      <c r="S349" s="41"/>
      <c r="T349" s="41"/>
      <c r="U349" s="41"/>
      <c r="V349" s="41"/>
      <c r="W349" s="41"/>
    </row>
    <row r="350" spans="1:23" ht="19.5" hidden="1" customHeight="1" x14ac:dyDescent="0.25">
      <c r="A350" s="41"/>
      <c r="B350" s="41"/>
      <c r="C350" s="41"/>
      <c r="D350" s="41"/>
      <c r="E350" s="41"/>
      <c r="F350" s="41"/>
      <c r="G350" s="41"/>
      <c r="H350" s="41"/>
      <c r="I350" s="41"/>
      <c r="J350" s="41"/>
      <c r="K350" s="41"/>
      <c r="L350" s="41"/>
      <c r="M350" s="41"/>
      <c r="N350" s="41"/>
      <c r="O350" s="41"/>
      <c r="P350" s="41"/>
      <c r="Q350" s="41"/>
      <c r="R350" s="41"/>
      <c r="S350" s="41"/>
      <c r="T350" s="41"/>
      <c r="U350" s="41"/>
      <c r="V350" s="41"/>
      <c r="W350" s="41"/>
    </row>
    <row r="351" spans="1:23" ht="19.5" hidden="1" customHeight="1" x14ac:dyDescent="0.25">
      <c r="A351" s="41"/>
      <c r="B351" s="41"/>
      <c r="C351" s="41"/>
      <c r="D351" s="41"/>
      <c r="E351" s="41"/>
      <c r="F351" s="41"/>
      <c r="G351" s="41"/>
      <c r="H351" s="41"/>
      <c r="I351" s="41"/>
      <c r="J351" s="41"/>
      <c r="K351" s="41"/>
      <c r="L351" s="41"/>
      <c r="M351" s="41"/>
      <c r="N351" s="41"/>
      <c r="O351" s="41"/>
      <c r="P351" s="41"/>
      <c r="Q351" s="41"/>
      <c r="R351" s="41"/>
      <c r="S351" s="41"/>
      <c r="T351" s="41"/>
      <c r="U351" s="41"/>
      <c r="V351" s="41"/>
      <c r="W351" s="41"/>
    </row>
    <row r="352" spans="1:23" ht="19.5" hidden="1" customHeight="1" x14ac:dyDescent="0.25">
      <c r="A352" s="41"/>
      <c r="B352" s="41"/>
      <c r="C352" s="41"/>
      <c r="D352" s="41"/>
      <c r="E352" s="41"/>
      <c r="F352" s="41"/>
      <c r="G352" s="41"/>
      <c r="H352" s="41"/>
      <c r="I352" s="41"/>
      <c r="J352" s="41"/>
      <c r="K352" s="41"/>
      <c r="L352" s="41"/>
      <c r="M352" s="41"/>
      <c r="N352" s="41"/>
      <c r="O352" s="41"/>
      <c r="P352" s="41"/>
      <c r="Q352" s="41"/>
      <c r="R352" s="41"/>
      <c r="S352" s="41"/>
      <c r="T352" s="41"/>
      <c r="U352" s="41"/>
      <c r="V352" s="41"/>
      <c r="W352" s="41"/>
    </row>
    <row r="353" spans="1:23" ht="19.5" hidden="1" customHeight="1" x14ac:dyDescent="0.25">
      <c r="A353" s="41"/>
      <c r="B353" s="41"/>
      <c r="C353" s="41"/>
      <c r="D353" s="41"/>
      <c r="E353" s="41"/>
      <c r="F353" s="41"/>
      <c r="G353" s="41"/>
      <c r="H353" s="41"/>
      <c r="I353" s="41"/>
      <c r="J353" s="41"/>
      <c r="K353" s="41"/>
      <c r="L353" s="41"/>
      <c r="M353" s="41"/>
      <c r="N353" s="41"/>
      <c r="O353" s="41"/>
      <c r="P353" s="41"/>
      <c r="Q353" s="41"/>
      <c r="R353" s="41"/>
      <c r="S353" s="41"/>
      <c r="T353" s="41"/>
      <c r="U353" s="41"/>
      <c r="V353" s="41"/>
      <c r="W353" s="41"/>
    </row>
    <row r="354" spans="1:23" ht="19.5" hidden="1" customHeight="1" x14ac:dyDescent="0.25">
      <c r="A354" s="41"/>
      <c r="B354" s="41"/>
      <c r="C354" s="41"/>
      <c r="D354" s="41"/>
      <c r="E354" s="41"/>
      <c r="F354" s="41"/>
      <c r="G354" s="41"/>
      <c r="H354" s="41"/>
      <c r="I354" s="41"/>
      <c r="J354" s="41"/>
      <c r="K354" s="41"/>
      <c r="L354" s="41"/>
      <c r="M354" s="41"/>
      <c r="N354" s="41"/>
      <c r="O354" s="41"/>
      <c r="P354" s="41"/>
      <c r="Q354" s="41"/>
      <c r="R354" s="41"/>
      <c r="S354" s="41"/>
      <c r="T354" s="41"/>
      <c r="U354" s="41"/>
      <c r="V354" s="41"/>
      <c r="W354" s="41"/>
    </row>
    <row r="355" spans="1:23" ht="19.5" hidden="1" customHeight="1" x14ac:dyDescent="0.25">
      <c r="A355" s="41"/>
      <c r="B355" s="41"/>
      <c r="C355" s="41"/>
      <c r="D355" s="41"/>
      <c r="E355" s="41"/>
      <c r="F355" s="41"/>
      <c r="G355" s="41"/>
      <c r="H355" s="41"/>
      <c r="I355" s="41"/>
      <c r="J355" s="41"/>
      <c r="K355" s="41"/>
      <c r="L355" s="41"/>
      <c r="M355" s="41"/>
      <c r="N355" s="41"/>
      <c r="O355" s="41"/>
      <c r="P355" s="41"/>
      <c r="Q355" s="41"/>
      <c r="R355" s="41"/>
      <c r="S355" s="41"/>
      <c r="T355" s="41"/>
      <c r="U355" s="41"/>
      <c r="V355" s="41"/>
      <c r="W355" s="41"/>
    </row>
    <row r="356" spans="1:23" ht="19.5" hidden="1" customHeight="1" x14ac:dyDescent="0.25">
      <c r="A356" s="41"/>
      <c r="B356" s="41"/>
      <c r="C356" s="41"/>
      <c r="D356" s="41"/>
      <c r="E356" s="41"/>
      <c r="F356" s="41"/>
      <c r="G356" s="41"/>
      <c r="H356" s="41"/>
      <c r="I356" s="41"/>
      <c r="J356" s="41"/>
      <c r="K356" s="41"/>
      <c r="L356" s="41"/>
      <c r="M356" s="41"/>
      <c r="N356" s="41"/>
      <c r="O356" s="41"/>
      <c r="P356" s="41"/>
      <c r="Q356" s="41"/>
      <c r="R356" s="41"/>
      <c r="S356" s="41"/>
      <c r="T356" s="41"/>
      <c r="U356" s="41"/>
      <c r="V356" s="41"/>
      <c r="W356" s="41"/>
    </row>
    <row r="357" spans="1:23" ht="19.5" hidden="1" customHeight="1" x14ac:dyDescent="0.25">
      <c r="A357" s="41"/>
      <c r="B357" s="41"/>
      <c r="C357" s="41"/>
      <c r="D357" s="41"/>
      <c r="E357" s="41"/>
      <c r="F357" s="41"/>
      <c r="G357" s="41"/>
      <c r="H357" s="41"/>
      <c r="I357" s="41"/>
      <c r="J357" s="41"/>
      <c r="K357" s="41"/>
      <c r="L357" s="41"/>
      <c r="M357" s="41"/>
      <c r="N357" s="41"/>
      <c r="O357" s="41"/>
      <c r="P357" s="41"/>
      <c r="Q357" s="41"/>
      <c r="R357" s="41"/>
      <c r="S357" s="41"/>
      <c r="T357" s="41"/>
      <c r="U357" s="41"/>
      <c r="V357" s="41"/>
      <c r="W357" s="41"/>
    </row>
    <row r="358" spans="1:23" ht="19.5" hidden="1" customHeight="1" x14ac:dyDescent="0.25">
      <c r="A358" s="41"/>
      <c r="B358" s="41"/>
      <c r="C358" s="41"/>
      <c r="D358" s="41"/>
      <c r="E358" s="41"/>
      <c r="F358" s="41"/>
      <c r="G358" s="41"/>
      <c r="H358" s="41"/>
      <c r="I358" s="41"/>
      <c r="J358" s="41"/>
      <c r="K358" s="41"/>
      <c r="L358" s="41"/>
      <c r="M358" s="41"/>
      <c r="N358" s="41"/>
      <c r="O358" s="41"/>
      <c r="P358" s="41"/>
      <c r="Q358" s="41"/>
      <c r="R358" s="41"/>
      <c r="S358" s="41"/>
      <c r="T358" s="41"/>
      <c r="U358" s="41"/>
      <c r="V358" s="41"/>
      <c r="W358" s="41"/>
    </row>
    <row r="359" spans="1:23" ht="19.5" hidden="1" customHeight="1" x14ac:dyDescent="0.25">
      <c r="A359" s="41"/>
      <c r="B359" s="41"/>
      <c r="C359" s="41"/>
      <c r="D359" s="41"/>
      <c r="E359" s="41"/>
      <c r="F359" s="41"/>
      <c r="G359" s="41"/>
      <c r="H359" s="41"/>
      <c r="I359" s="41"/>
      <c r="J359" s="41"/>
      <c r="K359" s="41"/>
      <c r="L359" s="41"/>
      <c r="M359" s="41"/>
      <c r="N359" s="41"/>
      <c r="O359" s="41"/>
      <c r="P359" s="41"/>
      <c r="Q359" s="41"/>
      <c r="R359" s="41"/>
      <c r="S359" s="41"/>
      <c r="T359" s="41"/>
      <c r="U359" s="41"/>
      <c r="V359" s="41"/>
      <c r="W359" s="41"/>
    </row>
    <row r="360" spans="1:23" ht="19.5" hidden="1" customHeight="1" x14ac:dyDescent="0.25">
      <c r="A360" s="41"/>
      <c r="B360" s="41"/>
      <c r="C360" s="41"/>
      <c r="D360" s="41"/>
      <c r="E360" s="41"/>
      <c r="F360" s="41"/>
      <c r="G360" s="41"/>
      <c r="H360" s="41"/>
      <c r="I360" s="41"/>
      <c r="J360" s="41"/>
      <c r="K360" s="41"/>
      <c r="L360" s="41"/>
      <c r="M360" s="41"/>
      <c r="N360" s="41"/>
      <c r="O360" s="41"/>
      <c r="P360" s="41"/>
      <c r="Q360" s="41"/>
      <c r="R360" s="41"/>
      <c r="S360" s="41"/>
      <c r="T360" s="41"/>
      <c r="U360" s="41"/>
      <c r="V360" s="41"/>
      <c r="W360" s="41"/>
    </row>
    <row r="361" spans="1:23" ht="19.5" hidden="1" customHeight="1" x14ac:dyDescent="0.25">
      <c r="A361" s="41"/>
      <c r="B361" s="41"/>
      <c r="C361" s="41"/>
      <c r="D361" s="41"/>
      <c r="E361" s="41"/>
      <c r="F361" s="41"/>
      <c r="G361" s="41"/>
      <c r="H361" s="41"/>
      <c r="I361" s="41"/>
      <c r="J361" s="41"/>
      <c r="K361" s="41"/>
      <c r="L361" s="41"/>
      <c r="M361" s="41"/>
      <c r="N361" s="41"/>
      <c r="O361" s="41"/>
      <c r="P361" s="41"/>
      <c r="Q361" s="41"/>
      <c r="R361" s="41"/>
      <c r="S361" s="41"/>
      <c r="T361" s="41"/>
      <c r="U361" s="41"/>
      <c r="V361" s="41"/>
      <c r="W361" s="41"/>
    </row>
    <row r="362" spans="1:23" ht="19.5" hidden="1" customHeight="1" x14ac:dyDescent="0.25">
      <c r="A362" s="41"/>
      <c r="B362" s="41"/>
      <c r="C362" s="41"/>
      <c r="D362" s="41"/>
      <c r="E362" s="41"/>
      <c r="F362" s="41"/>
      <c r="G362" s="41"/>
      <c r="H362" s="41"/>
      <c r="I362" s="41"/>
      <c r="J362" s="41"/>
      <c r="K362" s="41"/>
      <c r="L362" s="41"/>
      <c r="M362" s="41"/>
      <c r="N362" s="41"/>
      <c r="O362" s="41"/>
      <c r="P362" s="41"/>
      <c r="Q362" s="41"/>
      <c r="R362" s="41"/>
      <c r="S362" s="41"/>
      <c r="T362" s="41"/>
      <c r="U362" s="41"/>
      <c r="V362" s="41"/>
      <c r="W362" s="41"/>
    </row>
    <row r="363" spans="1:23" ht="19.5" hidden="1" customHeight="1" x14ac:dyDescent="0.25">
      <c r="A363" s="41"/>
      <c r="B363" s="41"/>
      <c r="C363" s="41"/>
      <c r="D363" s="41"/>
      <c r="E363" s="41"/>
      <c r="F363" s="41"/>
      <c r="G363" s="41"/>
      <c r="H363" s="41"/>
      <c r="I363" s="41"/>
      <c r="J363" s="41"/>
      <c r="K363" s="41"/>
      <c r="L363" s="41"/>
      <c r="M363" s="41"/>
      <c r="N363" s="41"/>
      <c r="O363" s="41"/>
      <c r="P363" s="41"/>
      <c r="Q363" s="41"/>
      <c r="R363" s="41"/>
      <c r="S363" s="41"/>
      <c r="T363" s="41"/>
      <c r="U363" s="41"/>
      <c r="V363" s="41"/>
      <c r="W363" s="41"/>
    </row>
    <row r="364" spans="1:23" ht="19.5" hidden="1" customHeight="1" x14ac:dyDescent="0.25">
      <c r="A364" s="41"/>
      <c r="B364" s="41"/>
      <c r="C364" s="41"/>
      <c r="D364" s="41"/>
      <c r="E364" s="41"/>
      <c r="F364" s="41"/>
      <c r="G364" s="41"/>
      <c r="H364" s="41"/>
      <c r="I364" s="41"/>
      <c r="J364" s="41"/>
      <c r="K364" s="41"/>
      <c r="L364" s="41"/>
      <c r="M364" s="41"/>
      <c r="N364" s="41"/>
      <c r="O364" s="41"/>
      <c r="P364" s="41"/>
      <c r="Q364" s="41"/>
      <c r="R364" s="41"/>
      <c r="S364" s="41"/>
      <c r="T364" s="41"/>
      <c r="U364" s="41"/>
      <c r="V364" s="41"/>
      <c r="W364" s="41"/>
    </row>
    <row r="365" spans="1:23" ht="19.5" hidden="1" customHeight="1" x14ac:dyDescent="0.25">
      <c r="A365" s="41"/>
      <c r="B365" s="41"/>
      <c r="C365" s="41"/>
      <c r="D365" s="41"/>
      <c r="E365" s="41"/>
      <c r="F365" s="41"/>
      <c r="G365" s="41"/>
      <c r="H365" s="41"/>
      <c r="I365" s="41"/>
      <c r="J365" s="41"/>
      <c r="K365" s="41"/>
      <c r="L365" s="41"/>
      <c r="M365" s="41"/>
      <c r="N365" s="41"/>
      <c r="O365" s="41"/>
      <c r="P365" s="41"/>
      <c r="Q365" s="41"/>
      <c r="R365" s="41"/>
      <c r="S365" s="41"/>
      <c r="T365" s="41"/>
      <c r="U365" s="41"/>
      <c r="V365" s="41"/>
      <c r="W365" s="41"/>
    </row>
    <row r="366" spans="1:23" ht="19.5" hidden="1" customHeight="1" x14ac:dyDescent="0.25">
      <c r="A366" s="41"/>
      <c r="B366" s="41"/>
      <c r="C366" s="41"/>
      <c r="D366" s="41"/>
      <c r="E366" s="41"/>
      <c r="F366" s="41"/>
      <c r="G366" s="41"/>
      <c r="H366" s="41"/>
      <c r="I366" s="41"/>
      <c r="J366" s="41"/>
      <c r="K366" s="41"/>
      <c r="L366" s="41"/>
      <c r="M366" s="41"/>
      <c r="N366" s="41"/>
      <c r="O366" s="41"/>
      <c r="P366" s="41"/>
      <c r="Q366" s="41"/>
      <c r="R366" s="41"/>
      <c r="S366" s="41"/>
      <c r="T366" s="41"/>
      <c r="U366" s="41"/>
      <c r="V366" s="41"/>
      <c r="W366" s="41"/>
    </row>
    <row r="367" spans="1:23" ht="19.5" hidden="1" customHeight="1" x14ac:dyDescent="0.25">
      <c r="A367" s="41"/>
      <c r="B367" s="41"/>
      <c r="C367" s="41"/>
      <c r="D367" s="41"/>
      <c r="E367" s="41"/>
      <c r="F367" s="41"/>
      <c r="G367" s="41"/>
      <c r="H367" s="41"/>
      <c r="I367" s="41"/>
      <c r="J367" s="41"/>
      <c r="K367" s="41"/>
      <c r="L367" s="41"/>
      <c r="M367" s="41"/>
      <c r="N367" s="41"/>
      <c r="O367" s="41"/>
      <c r="P367" s="41"/>
      <c r="Q367" s="41"/>
      <c r="R367" s="41"/>
      <c r="S367" s="41"/>
      <c r="T367" s="41"/>
      <c r="U367" s="41"/>
      <c r="V367" s="41"/>
      <c r="W367" s="41"/>
    </row>
    <row r="368" spans="1:23" ht="19.5" hidden="1" customHeight="1" x14ac:dyDescent="0.25">
      <c r="A368" s="41"/>
      <c r="B368" s="41"/>
      <c r="C368" s="41"/>
      <c r="D368" s="41"/>
      <c r="E368" s="41"/>
      <c r="F368" s="41"/>
      <c r="G368" s="41"/>
      <c r="H368" s="41"/>
      <c r="I368" s="41"/>
      <c r="J368" s="41"/>
      <c r="K368" s="41"/>
      <c r="L368" s="41"/>
      <c r="M368" s="41"/>
      <c r="N368" s="41"/>
      <c r="O368" s="41"/>
      <c r="P368" s="41"/>
      <c r="Q368" s="41"/>
      <c r="R368" s="41"/>
      <c r="S368" s="41"/>
      <c r="T368" s="41"/>
      <c r="U368" s="41"/>
      <c r="V368" s="41"/>
      <c r="W368" s="41"/>
    </row>
    <row r="369" spans="1:23" ht="19.5" hidden="1" customHeight="1" x14ac:dyDescent="0.25">
      <c r="A369" s="41"/>
      <c r="B369" s="41"/>
      <c r="C369" s="41"/>
      <c r="D369" s="41"/>
      <c r="E369" s="41"/>
      <c r="F369" s="41"/>
      <c r="G369" s="41"/>
      <c r="H369" s="41"/>
      <c r="I369" s="41"/>
      <c r="J369" s="41"/>
      <c r="K369" s="41"/>
      <c r="L369" s="41"/>
      <c r="M369" s="41"/>
      <c r="N369" s="41"/>
      <c r="O369" s="41"/>
      <c r="P369" s="41"/>
      <c r="Q369" s="41"/>
      <c r="R369" s="41"/>
      <c r="S369" s="41"/>
      <c r="T369" s="41"/>
      <c r="U369" s="41"/>
      <c r="V369" s="41"/>
      <c r="W369" s="41"/>
    </row>
    <row r="370" spans="1:23" ht="19.5" hidden="1" customHeight="1" x14ac:dyDescent="0.25">
      <c r="A370" s="41"/>
      <c r="B370" s="41"/>
      <c r="C370" s="41"/>
      <c r="D370" s="41"/>
      <c r="E370" s="41"/>
      <c r="F370" s="41"/>
      <c r="G370" s="41"/>
      <c r="H370" s="41"/>
      <c r="I370" s="41"/>
      <c r="J370" s="41"/>
      <c r="K370" s="41"/>
      <c r="L370" s="41"/>
      <c r="M370" s="41"/>
      <c r="N370" s="41"/>
      <c r="O370" s="41"/>
      <c r="P370" s="41"/>
      <c r="Q370" s="41"/>
      <c r="R370" s="41"/>
      <c r="S370" s="41"/>
      <c r="T370" s="41"/>
      <c r="U370" s="41"/>
      <c r="V370" s="41"/>
      <c r="W370" s="41"/>
    </row>
    <row r="371" spans="1:23" ht="19.5" hidden="1" customHeight="1" x14ac:dyDescent="0.25">
      <c r="A371" s="41"/>
      <c r="B371" s="41"/>
      <c r="C371" s="41"/>
      <c r="D371" s="41"/>
      <c r="E371" s="41"/>
      <c r="F371" s="41"/>
      <c r="G371" s="41"/>
      <c r="H371" s="41"/>
      <c r="I371" s="41"/>
      <c r="J371" s="41"/>
      <c r="K371" s="41"/>
      <c r="L371" s="41"/>
      <c r="M371" s="41"/>
      <c r="N371" s="41"/>
      <c r="O371" s="41"/>
      <c r="P371" s="41"/>
      <c r="Q371" s="41"/>
      <c r="R371" s="41"/>
      <c r="S371" s="41"/>
      <c r="T371" s="41"/>
      <c r="U371" s="41"/>
      <c r="V371" s="41"/>
      <c r="W371" s="41"/>
    </row>
    <row r="372" spans="1:23" ht="19.5" hidden="1" customHeight="1" x14ac:dyDescent="0.25">
      <c r="A372" s="41"/>
      <c r="B372" s="41"/>
      <c r="C372" s="41"/>
      <c r="D372" s="41"/>
      <c r="E372" s="41"/>
      <c r="F372" s="41"/>
      <c r="G372" s="41"/>
      <c r="H372" s="41"/>
      <c r="I372" s="41"/>
      <c r="J372" s="41"/>
      <c r="K372" s="41"/>
      <c r="L372" s="41"/>
      <c r="M372" s="41"/>
      <c r="N372" s="41"/>
      <c r="O372" s="41"/>
      <c r="P372" s="41"/>
      <c r="Q372" s="41"/>
      <c r="R372" s="41"/>
      <c r="S372" s="41"/>
      <c r="T372" s="41"/>
      <c r="U372" s="41"/>
      <c r="V372" s="41"/>
      <c r="W372" s="41"/>
    </row>
    <row r="373" spans="1:23" ht="19.5" hidden="1" customHeight="1" x14ac:dyDescent="0.25">
      <c r="A373" s="41"/>
      <c r="B373" s="41"/>
      <c r="C373" s="41"/>
      <c r="D373" s="41"/>
      <c r="E373" s="41"/>
      <c r="F373" s="41"/>
      <c r="G373" s="41"/>
      <c r="H373" s="41"/>
      <c r="I373" s="41"/>
      <c r="J373" s="41"/>
      <c r="K373" s="41"/>
      <c r="L373" s="41"/>
      <c r="M373" s="41"/>
      <c r="N373" s="41"/>
      <c r="O373" s="41"/>
      <c r="P373" s="41"/>
      <c r="Q373" s="41"/>
      <c r="R373" s="41"/>
      <c r="S373" s="41"/>
      <c r="T373" s="41"/>
      <c r="U373" s="41"/>
      <c r="V373" s="41"/>
      <c r="W373" s="41"/>
    </row>
    <row r="374" spans="1:23" ht="19.5" hidden="1" customHeight="1" x14ac:dyDescent="0.25">
      <c r="A374" s="41"/>
      <c r="B374" s="41"/>
      <c r="C374" s="41"/>
      <c r="D374" s="41"/>
      <c r="E374" s="41"/>
      <c r="F374" s="41"/>
      <c r="G374" s="41"/>
      <c r="H374" s="41"/>
      <c r="I374" s="41"/>
      <c r="J374" s="41"/>
      <c r="K374" s="41"/>
      <c r="L374" s="41"/>
      <c r="M374" s="41"/>
      <c r="N374" s="41"/>
      <c r="O374" s="41"/>
      <c r="P374" s="41"/>
      <c r="Q374" s="41"/>
      <c r="R374" s="41"/>
      <c r="S374" s="41"/>
      <c r="T374" s="41"/>
      <c r="U374" s="41"/>
      <c r="V374" s="41"/>
      <c r="W374" s="41"/>
    </row>
    <row r="375" spans="1:23" ht="19.5" hidden="1" customHeight="1" x14ac:dyDescent="0.25">
      <c r="A375" s="41"/>
      <c r="B375" s="41"/>
      <c r="C375" s="41"/>
      <c r="D375" s="41"/>
      <c r="E375" s="41"/>
      <c r="F375" s="41"/>
      <c r="G375" s="41"/>
      <c r="H375" s="41"/>
      <c r="I375" s="41"/>
      <c r="J375" s="41"/>
      <c r="K375" s="41"/>
      <c r="L375" s="41"/>
      <c r="M375" s="41"/>
      <c r="N375" s="41"/>
      <c r="O375" s="41"/>
      <c r="P375" s="41"/>
      <c r="Q375" s="41"/>
      <c r="R375" s="41"/>
      <c r="S375" s="41"/>
      <c r="T375" s="41"/>
      <c r="U375" s="41"/>
      <c r="V375" s="41"/>
      <c r="W375" s="41"/>
    </row>
    <row r="376" spans="1:23" ht="19.5" hidden="1" customHeight="1" x14ac:dyDescent="0.25">
      <c r="A376" s="41"/>
      <c r="B376" s="41"/>
      <c r="C376" s="41"/>
      <c r="D376" s="41"/>
      <c r="E376" s="41"/>
      <c r="F376" s="41"/>
      <c r="G376" s="41"/>
      <c r="H376" s="41"/>
      <c r="I376" s="41"/>
      <c r="J376" s="41"/>
      <c r="K376" s="41"/>
      <c r="L376" s="41"/>
      <c r="M376" s="41"/>
      <c r="N376" s="41"/>
      <c r="O376" s="41"/>
      <c r="P376" s="41"/>
      <c r="Q376" s="41"/>
      <c r="R376" s="41"/>
      <c r="S376" s="41"/>
      <c r="T376" s="41"/>
      <c r="U376" s="41"/>
      <c r="V376" s="41"/>
      <c r="W376" s="41"/>
    </row>
    <row r="377" spans="1:23" ht="19.5" hidden="1" customHeight="1" x14ac:dyDescent="0.25">
      <c r="A377" s="41"/>
      <c r="B377" s="41"/>
      <c r="C377" s="41"/>
      <c r="D377" s="41"/>
      <c r="E377" s="41"/>
      <c r="F377" s="41"/>
      <c r="G377" s="41"/>
      <c r="H377" s="41"/>
      <c r="I377" s="41"/>
      <c r="J377" s="41"/>
      <c r="K377" s="41"/>
      <c r="L377" s="41"/>
      <c r="M377" s="41"/>
      <c r="N377" s="41"/>
      <c r="O377" s="41"/>
      <c r="P377" s="41"/>
      <c r="Q377" s="41"/>
      <c r="R377" s="41"/>
      <c r="S377" s="41"/>
      <c r="T377" s="41"/>
      <c r="U377" s="41"/>
      <c r="V377" s="41"/>
      <c r="W377" s="41"/>
    </row>
    <row r="378" spans="1:23" ht="19.5" hidden="1" customHeight="1" x14ac:dyDescent="0.25">
      <c r="A378" s="41"/>
      <c r="B378" s="41"/>
      <c r="C378" s="41"/>
      <c r="D378" s="41"/>
      <c r="E378" s="41"/>
      <c r="F378" s="41"/>
      <c r="G378" s="41"/>
      <c r="H378" s="41"/>
      <c r="I378" s="41"/>
      <c r="J378" s="41"/>
      <c r="K378" s="41"/>
      <c r="L378" s="41"/>
      <c r="M378" s="41"/>
      <c r="N378" s="41"/>
      <c r="O378" s="41"/>
      <c r="P378" s="41"/>
      <c r="Q378" s="41"/>
      <c r="R378" s="41"/>
      <c r="S378" s="41"/>
      <c r="T378" s="41"/>
      <c r="U378" s="41"/>
      <c r="V378" s="41"/>
      <c r="W378" s="41"/>
    </row>
    <row r="379" spans="1:23" ht="19.5" hidden="1" customHeight="1" x14ac:dyDescent="0.25">
      <c r="A379" s="41"/>
      <c r="B379" s="41"/>
      <c r="C379" s="41"/>
      <c r="D379" s="41"/>
      <c r="E379" s="41"/>
      <c r="F379" s="41"/>
      <c r="G379" s="41"/>
      <c r="H379" s="41"/>
      <c r="I379" s="41"/>
      <c r="J379" s="41"/>
      <c r="K379" s="41"/>
      <c r="L379" s="41"/>
      <c r="M379" s="41"/>
      <c r="N379" s="41"/>
      <c r="O379" s="41"/>
      <c r="P379" s="41"/>
      <c r="Q379" s="41"/>
      <c r="R379" s="41"/>
      <c r="S379" s="41"/>
      <c r="T379" s="41"/>
      <c r="U379" s="41"/>
      <c r="V379" s="41"/>
      <c r="W379" s="41"/>
    </row>
    <row r="380" spans="1:23" ht="19.5" hidden="1" customHeight="1" x14ac:dyDescent="0.25">
      <c r="A380" s="41"/>
      <c r="B380" s="41"/>
      <c r="C380" s="41"/>
      <c r="D380" s="41"/>
      <c r="E380" s="41"/>
      <c r="F380" s="41"/>
      <c r="G380" s="41"/>
      <c r="H380" s="41"/>
      <c r="I380" s="41"/>
      <c r="J380" s="41"/>
      <c r="K380" s="41"/>
      <c r="L380" s="41"/>
      <c r="M380" s="41"/>
      <c r="N380" s="41"/>
      <c r="O380" s="41"/>
      <c r="P380" s="41"/>
      <c r="Q380" s="41"/>
      <c r="R380" s="41"/>
      <c r="S380" s="41"/>
      <c r="T380" s="41"/>
      <c r="U380" s="41"/>
      <c r="V380" s="41"/>
      <c r="W380" s="41"/>
    </row>
    <row r="381" spans="1:23" ht="19.5" hidden="1" customHeight="1" x14ac:dyDescent="0.25">
      <c r="A381" s="41"/>
      <c r="B381" s="41"/>
      <c r="C381" s="41"/>
      <c r="D381" s="41"/>
      <c r="E381" s="41"/>
      <c r="F381" s="41"/>
      <c r="G381" s="41"/>
      <c r="H381" s="41"/>
      <c r="I381" s="41"/>
      <c r="J381" s="41"/>
      <c r="K381" s="41"/>
      <c r="L381" s="41"/>
      <c r="M381" s="41"/>
      <c r="N381" s="41"/>
      <c r="O381" s="41"/>
      <c r="P381" s="41"/>
      <c r="Q381" s="41"/>
      <c r="R381" s="41"/>
      <c r="S381" s="41"/>
      <c r="T381" s="41"/>
      <c r="U381" s="41"/>
      <c r="V381" s="41"/>
      <c r="W381" s="41"/>
    </row>
    <row r="382" spans="1:23" ht="19.5" hidden="1" customHeight="1" x14ac:dyDescent="0.25">
      <c r="A382" s="41"/>
      <c r="B382" s="41"/>
      <c r="C382" s="41"/>
      <c r="D382" s="41"/>
      <c r="E382" s="41"/>
      <c r="F382" s="41"/>
      <c r="G382" s="41"/>
      <c r="H382" s="41"/>
      <c r="I382" s="41"/>
      <c r="J382" s="41"/>
      <c r="K382" s="41"/>
      <c r="L382" s="41"/>
      <c r="M382" s="41"/>
      <c r="N382" s="41"/>
      <c r="O382" s="41"/>
      <c r="P382" s="41"/>
      <c r="Q382" s="41"/>
      <c r="R382" s="41"/>
      <c r="S382" s="41"/>
      <c r="T382" s="41"/>
      <c r="U382" s="41"/>
      <c r="V382" s="41"/>
      <c r="W382" s="41"/>
    </row>
    <row r="383" spans="1:23" ht="19.5" hidden="1" customHeight="1" x14ac:dyDescent="0.25">
      <c r="A383" s="41"/>
      <c r="B383" s="41"/>
      <c r="C383" s="41"/>
      <c r="D383" s="41"/>
      <c r="E383" s="41"/>
      <c r="F383" s="41"/>
      <c r="G383" s="41"/>
      <c r="H383" s="41"/>
      <c r="I383" s="41"/>
      <c r="J383" s="41"/>
      <c r="K383" s="41"/>
      <c r="L383" s="41"/>
      <c r="M383" s="41"/>
      <c r="N383" s="41"/>
      <c r="O383" s="41"/>
      <c r="P383" s="41"/>
      <c r="Q383" s="41"/>
      <c r="R383" s="41"/>
      <c r="S383" s="41"/>
      <c r="T383" s="41"/>
      <c r="U383" s="41"/>
      <c r="V383" s="41"/>
      <c r="W383" s="41"/>
    </row>
    <row r="384" spans="1:23" ht="19.5" hidden="1" customHeight="1" x14ac:dyDescent="0.25">
      <c r="A384" s="41"/>
      <c r="B384" s="41"/>
      <c r="C384" s="41"/>
      <c r="D384" s="41"/>
      <c r="E384" s="41"/>
      <c r="F384" s="41"/>
      <c r="G384" s="41"/>
      <c r="H384" s="41"/>
      <c r="I384" s="41"/>
      <c r="J384" s="41"/>
      <c r="K384" s="41"/>
      <c r="L384" s="41"/>
      <c r="M384" s="41"/>
      <c r="N384" s="41"/>
      <c r="O384" s="41"/>
      <c r="P384" s="41"/>
      <c r="Q384" s="41"/>
      <c r="R384" s="41"/>
      <c r="S384" s="41"/>
      <c r="T384" s="41"/>
      <c r="U384" s="41"/>
      <c r="V384" s="41"/>
      <c r="W384" s="41"/>
    </row>
    <row r="385" spans="1:23" ht="19.5" hidden="1" customHeight="1" x14ac:dyDescent="0.25">
      <c r="A385" s="41"/>
      <c r="B385" s="41"/>
      <c r="C385" s="41"/>
      <c r="D385" s="41"/>
      <c r="E385" s="41"/>
      <c r="F385" s="41"/>
      <c r="G385" s="41"/>
      <c r="H385" s="41"/>
      <c r="I385" s="41"/>
      <c r="J385" s="41"/>
      <c r="K385" s="41"/>
      <c r="L385" s="41"/>
      <c r="M385" s="41"/>
      <c r="N385" s="41"/>
      <c r="O385" s="41"/>
      <c r="P385" s="41"/>
      <c r="Q385" s="41"/>
      <c r="R385" s="41"/>
      <c r="S385" s="41"/>
      <c r="T385" s="41"/>
      <c r="U385" s="41"/>
      <c r="V385" s="41"/>
      <c r="W385" s="41"/>
    </row>
    <row r="386" spans="1:23" ht="19.5" hidden="1" customHeight="1" x14ac:dyDescent="0.25">
      <c r="A386" s="41"/>
      <c r="B386" s="41"/>
      <c r="C386" s="41"/>
      <c r="D386" s="41"/>
      <c r="E386" s="41"/>
      <c r="F386" s="41"/>
      <c r="G386" s="41"/>
      <c r="H386" s="41"/>
      <c r="I386" s="41"/>
      <c r="J386" s="41"/>
      <c r="K386" s="41"/>
      <c r="L386" s="41"/>
      <c r="M386" s="41"/>
      <c r="N386" s="41"/>
      <c r="O386" s="41"/>
      <c r="P386" s="41"/>
      <c r="Q386" s="41"/>
      <c r="R386" s="41"/>
      <c r="S386" s="41"/>
      <c r="T386" s="41"/>
      <c r="U386" s="41"/>
      <c r="V386" s="41"/>
      <c r="W386" s="41"/>
    </row>
    <row r="387" spans="1:23" ht="19.5" hidden="1" customHeight="1" x14ac:dyDescent="0.25">
      <c r="A387" s="41"/>
      <c r="B387" s="41"/>
      <c r="C387" s="41"/>
      <c r="D387" s="41"/>
      <c r="E387" s="41"/>
      <c r="F387" s="41"/>
      <c r="G387" s="41"/>
      <c r="H387" s="41"/>
      <c r="I387" s="41"/>
      <c r="J387" s="41"/>
      <c r="K387" s="41"/>
      <c r="L387" s="41"/>
      <c r="M387" s="41"/>
      <c r="N387" s="41"/>
      <c r="O387" s="41"/>
      <c r="P387" s="41"/>
      <c r="Q387" s="41"/>
      <c r="R387" s="41"/>
      <c r="S387" s="41"/>
      <c r="T387" s="41"/>
      <c r="U387" s="41"/>
      <c r="V387" s="41"/>
      <c r="W387" s="41"/>
    </row>
    <row r="388" spans="1:23" ht="19.5" hidden="1" customHeight="1" x14ac:dyDescent="0.25">
      <c r="A388" s="41"/>
      <c r="B388" s="41"/>
      <c r="C388" s="41"/>
      <c r="D388" s="41"/>
      <c r="E388" s="41"/>
      <c r="F388" s="41"/>
      <c r="G388" s="41"/>
      <c r="H388" s="41"/>
      <c r="I388" s="41"/>
      <c r="J388" s="41"/>
      <c r="K388" s="41"/>
      <c r="L388" s="41"/>
      <c r="M388" s="41"/>
      <c r="N388" s="41"/>
      <c r="O388" s="41"/>
      <c r="P388" s="41"/>
      <c r="Q388" s="41"/>
      <c r="R388" s="41"/>
      <c r="S388" s="41"/>
      <c r="T388" s="41"/>
      <c r="U388" s="41"/>
      <c r="V388" s="41"/>
      <c r="W388" s="41"/>
    </row>
    <row r="389" spans="1:23" ht="19.5" hidden="1" customHeight="1" x14ac:dyDescent="0.25">
      <c r="A389" s="41"/>
      <c r="B389" s="41"/>
      <c r="C389" s="41"/>
      <c r="D389" s="41"/>
      <c r="E389" s="41"/>
      <c r="F389" s="41"/>
      <c r="G389" s="41"/>
      <c r="H389" s="41"/>
      <c r="I389" s="41"/>
      <c r="J389" s="41"/>
      <c r="K389" s="41"/>
      <c r="L389" s="41"/>
      <c r="M389" s="41"/>
      <c r="N389" s="41"/>
      <c r="O389" s="41"/>
      <c r="P389" s="41"/>
      <c r="Q389" s="41"/>
      <c r="R389" s="41"/>
      <c r="S389" s="41"/>
      <c r="T389" s="41"/>
      <c r="U389" s="41"/>
      <c r="V389" s="41"/>
      <c r="W389" s="41"/>
    </row>
    <row r="390" spans="1:23" ht="19.5" hidden="1" customHeight="1" x14ac:dyDescent="0.25">
      <c r="A390" s="41"/>
      <c r="B390" s="41"/>
      <c r="C390" s="41"/>
      <c r="D390" s="41"/>
      <c r="E390" s="41"/>
      <c r="F390" s="41"/>
      <c r="G390" s="41"/>
      <c r="H390" s="41"/>
      <c r="I390" s="41"/>
      <c r="J390" s="41"/>
      <c r="K390" s="41"/>
      <c r="L390" s="41"/>
      <c r="M390" s="41"/>
      <c r="N390" s="41"/>
      <c r="O390" s="41"/>
      <c r="P390" s="41"/>
      <c r="Q390" s="41"/>
      <c r="R390" s="41"/>
      <c r="S390" s="41"/>
      <c r="T390" s="41"/>
      <c r="U390" s="41"/>
      <c r="V390" s="41"/>
      <c r="W390" s="41"/>
    </row>
    <row r="391" spans="1:23" ht="19.5" hidden="1" customHeight="1" x14ac:dyDescent="0.25">
      <c r="A391" s="41"/>
      <c r="B391" s="41"/>
      <c r="C391" s="41"/>
      <c r="D391" s="41"/>
      <c r="E391" s="41"/>
      <c r="F391" s="41"/>
      <c r="G391" s="41"/>
      <c r="H391" s="41"/>
      <c r="I391" s="41"/>
      <c r="J391" s="41"/>
      <c r="K391" s="41"/>
      <c r="L391" s="41"/>
      <c r="M391" s="41"/>
      <c r="N391" s="41"/>
      <c r="O391" s="41"/>
      <c r="P391" s="41"/>
      <c r="Q391" s="41"/>
      <c r="R391" s="41"/>
      <c r="S391" s="41"/>
      <c r="T391" s="41"/>
      <c r="U391" s="41"/>
      <c r="V391" s="41"/>
      <c r="W391" s="41"/>
    </row>
    <row r="392" spans="1:23" ht="19.5" hidden="1" customHeight="1" x14ac:dyDescent="0.25">
      <c r="A392" s="41"/>
      <c r="B392" s="41"/>
      <c r="C392" s="41"/>
      <c r="D392" s="41"/>
      <c r="E392" s="41"/>
      <c r="F392" s="41"/>
      <c r="G392" s="41"/>
      <c r="H392" s="41"/>
      <c r="I392" s="41"/>
      <c r="J392" s="41"/>
      <c r="K392" s="41"/>
      <c r="L392" s="41"/>
      <c r="M392" s="41"/>
      <c r="N392" s="41"/>
      <c r="O392" s="41"/>
      <c r="P392" s="41"/>
      <c r="Q392" s="41"/>
      <c r="R392" s="41"/>
      <c r="S392" s="41"/>
      <c r="T392" s="41"/>
      <c r="U392" s="41"/>
      <c r="V392" s="41"/>
      <c r="W392" s="41"/>
    </row>
    <row r="393" spans="1:23" ht="19.5" hidden="1" customHeight="1" x14ac:dyDescent="0.25">
      <c r="A393" s="41"/>
      <c r="B393" s="41"/>
      <c r="C393" s="41"/>
      <c r="D393" s="41"/>
      <c r="E393" s="41"/>
      <c r="F393" s="41"/>
      <c r="G393" s="41"/>
      <c r="H393" s="41"/>
      <c r="I393" s="41"/>
      <c r="J393" s="41"/>
      <c r="K393" s="41"/>
      <c r="L393" s="41"/>
      <c r="M393" s="41"/>
      <c r="N393" s="41"/>
      <c r="O393" s="41"/>
      <c r="P393" s="41"/>
      <c r="Q393" s="41"/>
      <c r="R393" s="41"/>
      <c r="S393" s="41"/>
      <c r="T393" s="41"/>
      <c r="U393" s="41"/>
      <c r="V393" s="41"/>
      <c r="W393" s="41"/>
    </row>
    <row r="394" spans="1:23" ht="19.5" hidden="1" customHeight="1" x14ac:dyDescent="0.25">
      <c r="A394" s="41"/>
      <c r="B394" s="41"/>
      <c r="C394" s="41"/>
      <c r="D394" s="41"/>
      <c r="E394" s="41"/>
      <c r="F394" s="41"/>
      <c r="G394" s="41"/>
      <c r="H394" s="41"/>
      <c r="I394" s="41"/>
      <c r="J394" s="41"/>
      <c r="K394" s="41"/>
      <c r="L394" s="41"/>
      <c r="M394" s="41"/>
      <c r="N394" s="41"/>
      <c r="O394" s="41"/>
      <c r="P394" s="41"/>
      <c r="Q394" s="41"/>
      <c r="R394" s="41"/>
      <c r="S394" s="41"/>
      <c r="T394" s="41"/>
      <c r="U394" s="41"/>
      <c r="V394" s="41"/>
      <c r="W394" s="41"/>
    </row>
    <row r="395" spans="1:23" ht="19.5" hidden="1" customHeight="1" x14ac:dyDescent="0.25">
      <c r="A395" s="41"/>
      <c r="B395" s="41"/>
      <c r="C395" s="41"/>
      <c r="D395" s="41"/>
      <c r="E395" s="41"/>
      <c r="F395" s="41"/>
      <c r="G395" s="41"/>
      <c r="H395" s="41"/>
      <c r="I395" s="41"/>
      <c r="J395" s="41"/>
      <c r="K395" s="41"/>
      <c r="L395" s="41"/>
      <c r="M395" s="41"/>
      <c r="N395" s="41"/>
      <c r="O395" s="41"/>
      <c r="P395" s="41"/>
      <c r="Q395" s="41"/>
      <c r="R395" s="41"/>
      <c r="S395" s="41"/>
      <c r="T395" s="41"/>
      <c r="U395" s="41"/>
      <c r="V395" s="41"/>
      <c r="W395" s="41"/>
    </row>
    <row r="396" spans="1:23" ht="19.5" hidden="1" customHeight="1" x14ac:dyDescent="0.25">
      <c r="A396" s="41"/>
      <c r="B396" s="41"/>
      <c r="C396" s="41"/>
      <c r="D396" s="41"/>
      <c r="E396" s="41"/>
      <c r="F396" s="41"/>
      <c r="G396" s="41"/>
      <c r="H396" s="41"/>
      <c r="I396" s="41"/>
      <c r="J396" s="41"/>
      <c r="K396" s="41"/>
      <c r="L396" s="41"/>
      <c r="M396" s="41"/>
      <c r="N396" s="41"/>
      <c r="O396" s="41"/>
      <c r="P396" s="41"/>
      <c r="Q396" s="41"/>
      <c r="R396" s="41"/>
      <c r="S396" s="41"/>
      <c r="T396" s="41"/>
      <c r="U396" s="41"/>
      <c r="V396" s="41"/>
      <c r="W396" s="41"/>
    </row>
    <row r="397" spans="1:23" ht="19.5" hidden="1" customHeight="1" x14ac:dyDescent="0.25">
      <c r="A397" s="41"/>
      <c r="B397" s="41"/>
      <c r="C397" s="41"/>
      <c r="D397" s="41"/>
      <c r="E397" s="41"/>
      <c r="F397" s="41"/>
      <c r="G397" s="41"/>
      <c r="H397" s="41"/>
      <c r="I397" s="41"/>
      <c r="J397" s="41"/>
      <c r="K397" s="41"/>
      <c r="L397" s="41"/>
      <c r="M397" s="41"/>
      <c r="N397" s="41"/>
      <c r="O397" s="41"/>
      <c r="P397" s="41"/>
      <c r="Q397" s="41"/>
      <c r="R397" s="41"/>
      <c r="S397" s="41"/>
      <c r="T397" s="41"/>
      <c r="U397" s="41"/>
      <c r="V397" s="41"/>
      <c r="W397" s="41"/>
    </row>
    <row r="398" spans="1:23" ht="19.5" hidden="1" customHeight="1" x14ac:dyDescent="0.25">
      <c r="A398" s="41"/>
      <c r="B398" s="41"/>
      <c r="C398" s="41"/>
      <c r="D398" s="41"/>
      <c r="E398" s="41"/>
      <c r="F398" s="41"/>
      <c r="G398" s="41"/>
      <c r="H398" s="41"/>
      <c r="I398" s="41"/>
      <c r="J398" s="41"/>
      <c r="K398" s="41"/>
      <c r="L398" s="41"/>
      <c r="M398" s="41"/>
      <c r="N398" s="41"/>
      <c r="O398" s="41"/>
      <c r="P398" s="41"/>
      <c r="Q398" s="41"/>
      <c r="R398" s="41"/>
      <c r="S398" s="41"/>
      <c r="T398" s="41"/>
      <c r="U398" s="41"/>
      <c r="V398" s="41"/>
      <c r="W398" s="41"/>
    </row>
    <row r="399" spans="1:23" ht="19.5" hidden="1" customHeight="1" x14ac:dyDescent="0.25">
      <c r="A399" s="41"/>
      <c r="B399" s="41"/>
      <c r="C399" s="41"/>
      <c r="D399" s="41"/>
      <c r="E399" s="41"/>
      <c r="F399" s="41"/>
      <c r="G399" s="41"/>
      <c r="H399" s="41"/>
      <c r="I399" s="41"/>
      <c r="J399" s="41"/>
      <c r="K399" s="41"/>
      <c r="L399" s="41"/>
      <c r="M399" s="41"/>
      <c r="N399" s="41"/>
      <c r="O399" s="41"/>
      <c r="P399" s="41"/>
      <c r="Q399" s="41"/>
      <c r="R399" s="41"/>
      <c r="S399" s="41"/>
      <c r="T399" s="41"/>
      <c r="U399" s="41"/>
      <c r="V399" s="41"/>
      <c r="W399" s="41"/>
    </row>
    <row r="400" spans="1:23" ht="19.5" hidden="1" customHeight="1" x14ac:dyDescent="0.25">
      <c r="A400" s="41"/>
      <c r="B400" s="41"/>
      <c r="C400" s="41"/>
      <c r="D400" s="41"/>
      <c r="E400" s="41"/>
      <c r="F400" s="41"/>
      <c r="G400" s="41"/>
      <c r="H400" s="41"/>
      <c r="I400" s="41"/>
      <c r="J400" s="41"/>
      <c r="K400" s="41"/>
      <c r="L400" s="41"/>
      <c r="M400" s="41"/>
      <c r="N400" s="41"/>
      <c r="O400" s="41"/>
      <c r="P400" s="41"/>
      <c r="Q400" s="41"/>
      <c r="R400" s="41"/>
      <c r="S400" s="41"/>
      <c r="T400" s="41"/>
      <c r="U400" s="41"/>
      <c r="V400" s="41"/>
      <c r="W400" s="41"/>
    </row>
    <row r="401" spans="1:23" ht="19.5" hidden="1" customHeight="1" x14ac:dyDescent="0.25">
      <c r="A401" s="41"/>
      <c r="B401" s="41"/>
      <c r="C401" s="41"/>
      <c r="D401" s="41"/>
      <c r="E401" s="41"/>
      <c r="F401" s="41"/>
      <c r="G401" s="41"/>
      <c r="H401" s="41"/>
      <c r="I401" s="41"/>
      <c r="J401" s="41"/>
      <c r="K401" s="41"/>
      <c r="L401" s="41"/>
      <c r="M401" s="41"/>
      <c r="N401" s="41"/>
      <c r="O401" s="41"/>
      <c r="P401" s="41"/>
      <c r="Q401" s="41"/>
      <c r="R401" s="41"/>
      <c r="S401" s="41"/>
      <c r="T401" s="41"/>
      <c r="U401" s="41"/>
      <c r="V401" s="41"/>
      <c r="W401" s="41"/>
    </row>
    <row r="402" spans="1:23" ht="19.5" hidden="1" customHeight="1" x14ac:dyDescent="0.25">
      <c r="A402" s="41"/>
      <c r="B402" s="41"/>
      <c r="C402" s="41"/>
      <c r="D402" s="41"/>
      <c r="E402" s="41"/>
      <c r="F402" s="41"/>
      <c r="G402" s="41"/>
      <c r="H402" s="41"/>
      <c r="I402" s="41"/>
      <c r="J402" s="41"/>
      <c r="K402" s="41"/>
      <c r="L402" s="41"/>
      <c r="M402" s="41"/>
      <c r="N402" s="41"/>
      <c r="O402" s="41"/>
      <c r="P402" s="41"/>
      <c r="Q402" s="41"/>
      <c r="R402" s="41"/>
      <c r="S402" s="41"/>
      <c r="T402" s="41"/>
      <c r="U402" s="41"/>
      <c r="V402" s="41"/>
      <c r="W402" s="41"/>
    </row>
    <row r="403" spans="1:23" ht="19.5" hidden="1" customHeight="1" x14ac:dyDescent="0.25">
      <c r="A403" s="41"/>
      <c r="B403" s="41"/>
      <c r="C403" s="41"/>
      <c r="D403" s="41"/>
      <c r="E403" s="41"/>
      <c r="F403" s="41"/>
      <c r="G403" s="41"/>
      <c r="H403" s="41"/>
      <c r="I403" s="41"/>
      <c r="J403" s="41"/>
      <c r="K403" s="41"/>
      <c r="L403" s="41"/>
      <c r="M403" s="41"/>
      <c r="N403" s="41"/>
      <c r="O403" s="41"/>
      <c r="P403" s="41"/>
      <c r="Q403" s="41"/>
      <c r="R403" s="41"/>
      <c r="S403" s="41"/>
      <c r="T403" s="41"/>
      <c r="U403" s="41"/>
      <c r="V403" s="41"/>
      <c r="W403" s="41"/>
    </row>
    <row r="404" spans="1:23" ht="19.5" hidden="1" customHeight="1" x14ac:dyDescent="0.25">
      <c r="A404" s="41"/>
      <c r="B404" s="41"/>
      <c r="C404" s="41"/>
      <c r="D404" s="41"/>
      <c r="E404" s="41"/>
      <c r="F404" s="41"/>
      <c r="G404" s="41"/>
      <c r="H404" s="41"/>
      <c r="I404" s="41"/>
      <c r="J404" s="41"/>
      <c r="K404" s="41"/>
      <c r="L404" s="41"/>
      <c r="M404" s="41"/>
      <c r="N404" s="41"/>
      <c r="O404" s="41"/>
      <c r="P404" s="41"/>
      <c r="Q404" s="41"/>
      <c r="R404" s="41"/>
      <c r="S404" s="41"/>
      <c r="T404" s="41"/>
      <c r="U404" s="41"/>
      <c r="V404" s="41"/>
      <c r="W404" s="41"/>
    </row>
    <row r="405" spans="1:23" ht="19.5" hidden="1" customHeight="1" x14ac:dyDescent="0.25">
      <c r="A405" s="41"/>
      <c r="B405" s="41"/>
      <c r="C405" s="41"/>
      <c r="D405" s="41"/>
      <c r="E405" s="41"/>
      <c r="F405" s="41"/>
      <c r="G405" s="41"/>
      <c r="H405" s="41"/>
      <c r="I405" s="41"/>
      <c r="J405" s="41"/>
      <c r="K405" s="41"/>
      <c r="L405" s="41"/>
      <c r="M405" s="41"/>
      <c r="N405" s="41"/>
      <c r="O405" s="41"/>
      <c r="P405" s="41"/>
      <c r="Q405" s="41"/>
      <c r="R405" s="41"/>
      <c r="S405" s="41"/>
      <c r="T405" s="41"/>
      <c r="U405" s="41"/>
      <c r="V405" s="41"/>
      <c r="W405" s="41"/>
    </row>
    <row r="406" spans="1:23" ht="19.5" hidden="1" customHeight="1" x14ac:dyDescent="0.25">
      <c r="A406" s="41"/>
      <c r="B406" s="41"/>
      <c r="C406" s="41"/>
      <c r="D406" s="41"/>
      <c r="E406" s="41"/>
      <c r="F406" s="41"/>
      <c r="G406" s="41"/>
      <c r="H406" s="41"/>
      <c r="I406" s="41"/>
      <c r="J406" s="41"/>
      <c r="K406" s="41"/>
      <c r="L406" s="41"/>
      <c r="M406" s="41"/>
      <c r="N406" s="41"/>
      <c r="O406" s="41"/>
      <c r="P406" s="41"/>
      <c r="Q406" s="41"/>
      <c r="R406" s="41"/>
      <c r="S406" s="41"/>
      <c r="T406" s="41"/>
      <c r="U406" s="41"/>
      <c r="V406" s="41"/>
      <c r="W406" s="41"/>
    </row>
    <row r="407" spans="1:23" ht="19.5" hidden="1" customHeight="1" x14ac:dyDescent="0.25">
      <c r="A407" s="41"/>
      <c r="B407" s="41"/>
      <c r="C407" s="41"/>
      <c r="D407" s="41"/>
      <c r="E407" s="41"/>
      <c r="F407" s="41"/>
      <c r="G407" s="41"/>
      <c r="H407" s="41"/>
      <c r="I407" s="41"/>
      <c r="J407" s="41"/>
      <c r="K407" s="41"/>
      <c r="L407" s="41"/>
      <c r="M407" s="41"/>
      <c r="N407" s="41"/>
      <c r="O407" s="41"/>
      <c r="P407" s="41"/>
      <c r="Q407" s="41"/>
      <c r="R407" s="41"/>
      <c r="S407" s="41"/>
      <c r="T407" s="41"/>
      <c r="U407" s="41"/>
      <c r="V407" s="41"/>
      <c r="W407" s="41"/>
    </row>
    <row r="408" spans="1:23" ht="19.5" hidden="1" customHeight="1" x14ac:dyDescent="0.25">
      <c r="A408" s="41"/>
      <c r="B408" s="41"/>
      <c r="C408" s="41"/>
      <c r="D408" s="41"/>
      <c r="E408" s="41"/>
      <c r="F408" s="41"/>
      <c r="G408" s="41"/>
      <c r="H408" s="41"/>
      <c r="I408" s="41"/>
      <c r="J408" s="41"/>
      <c r="K408" s="41"/>
      <c r="L408" s="41"/>
      <c r="M408" s="41"/>
      <c r="N408" s="41"/>
      <c r="O408" s="41"/>
      <c r="P408" s="41"/>
      <c r="Q408" s="41"/>
      <c r="R408" s="41"/>
      <c r="S408" s="41"/>
      <c r="T408" s="41"/>
      <c r="U408" s="41"/>
      <c r="V408" s="41"/>
      <c r="W408" s="41"/>
    </row>
    <row r="409" spans="1:23" ht="19.5" hidden="1" customHeight="1" x14ac:dyDescent="0.25">
      <c r="A409" s="41"/>
      <c r="B409" s="41"/>
      <c r="C409" s="41"/>
      <c r="D409" s="41"/>
      <c r="E409" s="41"/>
      <c r="F409" s="41"/>
      <c r="G409" s="41"/>
      <c r="H409" s="41"/>
      <c r="I409" s="41"/>
      <c r="J409" s="41"/>
      <c r="K409" s="41"/>
      <c r="L409" s="41"/>
      <c r="M409" s="41"/>
      <c r="N409" s="41"/>
      <c r="O409" s="41"/>
      <c r="P409" s="41"/>
      <c r="Q409" s="41"/>
      <c r="R409" s="41"/>
      <c r="S409" s="41"/>
      <c r="T409" s="41"/>
      <c r="U409" s="41"/>
      <c r="V409" s="41"/>
      <c r="W409" s="41"/>
    </row>
    <row r="410" spans="1:23" ht="19.5" hidden="1" customHeight="1" x14ac:dyDescent="0.25">
      <c r="A410" s="41"/>
      <c r="B410" s="41"/>
      <c r="C410" s="41"/>
      <c r="D410" s="41"/>
      <c r="E410" s="41"/>
      <c r="F410" s="41"/>
      <c r="G410" s="41"/>
      <c r="H410" s="41"/>
      <c r="I410" s="41"/>
      <c r="J410" s="41"/>
      <c r="K410" s="41"/>
      <c r="L410" s="41"/>
      <c r="M410" s="41"/>
      <c r="N410" s="41"/>
      <c r="O410" s="41"/>
      <c r="P410" s="41"/>
      <c r="Q410" s="41"/>
      <c r="R410" s="41"/>
      <c r="S410" s="41"/>
      <c r="T410" s="41"/>
      <c r="U410" s="41"/>
      <c r="V410" s="41"/>
      <c r="W410" s="41"/>
    </row>
    <row r="411" spans="1:23" ht="19.5" hidden="1" customHeight="1" x14ac:dyDescent="0.25">
      <c r="A411" s="41"/>
      <c r="B411" s="41"/>
      <c r="C411" s="41"/>
      <c r="D411" s="41"/>
      <c r="E411" s="41"/>
      <c r="F411" s="41"/>
      <c r="G411" s="41"/>
      <c r="H411" s="41"/>
      <c r="I411" s="41"/>
      <c r="J411" s="41"/>
      <c r="K411" s="41"/>
      <c r="L411" s="41"/>
      <c r="M411" s="41"/>
      <c r="N411" s="41"/>
      <c r="O411" s="41"/>
      <c r="P411" s="41"/>
      <c r="Q411" s="41"/>
      <c r="R411" s="41"/>
      <c r="S411" s="41"/>
      <c r="T411" s="41"/>
      <c r="U411" s="41"/>
      <c r="V411" s="41"/>
      <c r="W411" s="41"/>
    </row>
    <row r="412" spans="1:23" ht="19.5" hidden="1" customHeight="1" x14ac:dyDescent="0.25">
      <c r="A412" s="41"/>
      <c r="B412" s="41"/>
      <c r="C412" s="41"/>
      <c r="D412" s="41"/>
      <c r="E412" s="41"/>
      <c r="F412" s="41"/>
      <c r="G412" s="41"/>
      <c r="H412" s="41"/>
      <c r="I412" s="41"/>
      <c r="J412" s="41"/>
      <c r="K412" s="41"/>
      <c r="L412" s="41"/>
      <c r="M412" s="41"/>
      <c r="N412" s="41"/>
      <c r="O412" s="41"/>
      <c r="P412" s="41"/>
      <c r="Q412" s="41"/>
      <c r="R412" s="41"/>
      <c r="S412" s="41"/>
      <c r="T412" s="41"/>
      <c r="U412" s="41"/>
      <c r="V412" s="41"/>
      <c r="W412" s="41"/>
    </row>
    <row r="413" spans="1:23" ht="19.5" hidden="1" customHeight="1" x14ac:dyDescent="0.25">
      <c r="A413" s="41"/>
      <c r="B413" s="41"/>
      <c r="C413" s="41"/>
      <c r="D413" s="41"/>
      <c r="E413" s="41"/>
      <c r="F413" s="41"/>
      <c r="G413" s="41"/>
      <c r="H413" s="41"/>
      <c r="I413" s="41"/>
      <c r="J413" s="41"/>
      <c r="K413" s="41"/>
      <c r="L413" s="41"/>
      <c r="M413" s="41"/>
      <c r="N413" s="41"/>
      <c r="O413" s="41"/>
      <c r="P413" s="41"/>
      <c r="Q413" s="41"/>
      <c r="R413" s="41"/>
      <c r="S413" s="41"/>
      <c r="T413" s="41"/>
      <c r="U413" s="41"/>
      <c r="V413" s="41"/>
      <c r="W413" s="41"/>
    </row>
    <row r="414" spans="1:23" ht="19.5" hidden="1" customHeight="1" x14ac:dyDescent="0.25">
      <c r="A414" s="41"/>
      <c r="B414" s="41"/>
      <c r="C414" s="41"/>
      <c r="D414" s="41"/>
      <c r="E414" s="41"/>
      <c r="F414" s="41"/>
      <c r="G414" s="41"/>
      <c r="H414" s="41"/>
      <c r="I414" s="41"/>
      <c r="J414" s="41"/>
      <c r="K414" s="41"/>
      <c r="L414" s="41"/>
      <c r="M414" s="41"/>
      <c r="N414" s="41"/>
      <c r="O414" s="41"/>
      <c r="P414" s="41"/>
      <c r="Q414" s="41"/>
      <c r="R414" s="41"/>
      <c r="S414" s="41"/>
      <c r="T414" s="41"/>
      <c r="U414" s="41"/>
      <c r="V414" s="41"/>
      <c r="W414" s="41"/>
    </row>
    <row r="415" spans="1:23" ht="19.5" hidden="1" customHeight="1" x14ac:dyDescent="0.25">
      <c r="A415" s="41"/>
      <c r="B415" s="41"/>
      <c r="C415" s="41"/>
      <c r="D415" s="41"/>
      <c r="E415" s="41"/>
      <c r="F415" s="41"/>
      <c r="G415" s="41"/>
      <c r="H415" s="41"/>
      <c r="I415" s="41"/>
      <c r="J415" s="41"/>
      <c r="K415" s="41"/>
      <c r="L415" s="41"/>
      <c r="M415" s="41"/>
      <c r="N415" s="41"/>
      <c r="O415" s="41"/>
      <c r="P415" s="41"/>
      <c r="Q415" s="41"/>
      <c r="R415" s="41"/>
      <c r="S415" s="41"/>
      <c r="T415" s="41"/>
      <c r="U415" s="41"/>
      <c r="V415" s="41"/>
      <c r="W415" s="41"/>
    </row>
    <row r="416" spans="1:23" ht="19.5" hidden="1" customHeight="1" x14ac:dyDescent="0.25">
      <c r="A416" s="41"/>
      <c r="B416" s="41"/>
      <c r="C416" s="41"/>
      <c r="D416" s="41"/>
      <c r="E416" s="41"/>
      <c r="F416" s="41"/>
      <c r="G416" s="41"/>
      <c r="H416" s="41"/>
      <c r="I416" s="41"/>
      <c r="J416" s="41"/>
      <c r="K416" s="41"/>
      <c r="L416" s="41"/>
      <c r="M416" s="41"/>
      <c r="N416" s="41"/>
      <c r="O416" s="41"/>
      <c r="P416" s="41"/>
      <c r="Q416" s="41"/>
      <c r="R416" s="41"/>
      <c r="S416" s="41"/>
      <c r="T416" s="41"/>
      <c r="U416" s="41"/>
      <c r="V416" s="41"/>
      <c r="W416" s="41"/>
    </row>
    <row r="417" spans="1:23" ht="19.5" hidden="1" customHeight="1" x14ac:dyDescent="0.25">
      <c r="A417" s="41"/>
      <c r="B417" s="41"/>
      <c r="C417" s="41"/>
      <c r="D417" s="41"/>
      <c r="E417" s="41"/>
      <c r="F417" s="41"/>
      <c r="G417" s="41"/>
      <c r="H417" s="41"/>
      <c r="I417" s="41"/>
      <c r="J417" s="41"/>
      <c r="K417" s="41"/>
      <c r="L417" s="41"/>
      <c r="M417" s="41"/>
      <c r="N417" s="41"/>
      <c r="O417" s="41"/>
      <c r="P417" s="41"/>
      <c r="Q417" s="41"/>
      <c r="R417" s="41"/>
      <c r="S417" s="41"/>
      <c r="T417" s="41"/>
      <c r="U417" s="41"/>
      <c r="V417" s="41"/>
      <c r="W417" s="41"/>
    </row>
    <row r="418" spans="1:23" ht="19.5" hidden="1" customHeight="1" x14ac:dyDescent="0.25">
      <c r="A418" s="41"/>
      <c r="B418" s="41"/>
      <c r="C418" s="41"/>
      <c r="D418" s="41"/>
      <c r="E418" s="41"/>
      <c r="F418" s="41"/>
      <c r="G418" s="41"/>
      <c r="H418" s="41"/>
      <c r="I418" s="41"/>
      <c r="J418" s="41"/>
      <c r="K418" s="41"/>
      <c r="L418" s="41"/>
      <c r="M418" s="41"/>
      <c r="N418" s="41"/>
      <c r="O418" s="41"/>
      <c r="P418" s="41"/>
      <c r="Q418" s="41"/>
      <c r="R418" s="41"/>
      <c r="S418" s="41"/>
      <c r="T418" s="41"/>
      <c r="U418" s="41"/>
      <c r="V418" s="41"/>
      <c r="W418" s="41"/>
    </row>
    <row r="419" spans="1:23" ht="19.5" hidden="1" customHeight="1" x14ac:dyDescent="0.25">
      <c r="A419" s="41"/>
      <c r="B419" s="41"/>
      <c r="C419" s="41"/>
      <c r="D419" s="41"/>
      <c r="E419" s="41"/>
      <c r="F419" s="41"/>
      <c r="G419" s="41"/>
      <c r="H419" s="41"/>
      <c r="I419" s="41"/>
      <c r="J419" s="41"/>
      <c r="K419" s="41"/>
      <c r="L419" s="41"/>
      <c r="M419" s="41"/>
      <c r="N419" s="41"/>
      <c r="O419" s="41"/>
      <c r="P419" s="41"/>
      <c r="Q419" s="41"/>
      <c r="R419" s="41"/>
      <c r="S419" s="41"/>
      <c r="T419" s="41"/>
      <c r="U419" s="41"/>
      <c r="V419" s="41"/>
      <c r="W419" s="41"/>
    </row>
    <row r="420" spans="1:23" ht="19.5" hidden="1" customHeight="1" x14ac:dyDescent="0.25">
      <c r="A420" s="41"/>
      <c r="B420" s="41"/>
      <c r="C420" s="41"/>
      <c r="D420" s="41"/>
      <c r="E420" s="41"/>
      <c r="F420" s="41"/>
      <c r="G420" s="41"/>
      <c r="H420" s="41"/>
      <c r="I420" s="41"/>
      <c r="J420" s="41"/>
      <c r="K420" s="41"/>
      <c r="L420" s="41"/>
      <c r="M420" s="41"/>
      <c r="N420" s="41"/>
      <c r="O420" s="41"/>
      <c r="P420" s="41"/>
      <c r="Q420" s="41"/>
      <c r="R420" s="41"/>
      <c r="S420" s="41"/>
      <c r="T420" s="41"/>
      <c r="U420" s="41"/>
      <c r="V420" s="41"/>
      <c r="W420" s="41"/>
    </row>
    <row r="421" spans="1:23" ht="19.5" hidden="1" customHeight="1" x14ac:dyDescent="0.25">
      <c r="A421" s="41"/>
      <c r="B421" s="41"/>
      <c r="C421" s="41"/>
      <c r="D421" s="41"/>
      <c r="E421" s="41"/>
      <c r="F421" s="41"/>
      <c r="G421" s="41"/>
      <c r="H421" s="41"/>
      <c r="I421" s="41"/>
      <c r="J421" s="41"/>
      <c r="K421" s="41"/>
      <c r="L421" s="41"/>
      <c r="M421" s="41"/>
      <c r="N421" s="41"/>
      <c r="O421" s="41"/>
      <c r="P421" s="41"/>
      <c r="Q421" s="41"/>
      <c r="R421" s="41"/>
      <c r="S421" s="41"/>
      <c r="T421" s="41"/>
      <c r="U421" s="41"/>
      <c r="V421" s="41"/>
      <c r="W421" s="41"/>
    </row>
    <row r="422" spans="1:23" ht="19.5" hidden="1" customHeight="1" x14ac:dyDescent="0.25">
      <c r="A422" s="41"/>
      <c r="B422" s="41"/>
      <c r="C422" s="41"/>
      <c r="D422" s="41"/>
      <c r="E422" s="41"/>
      <c r="F422" s="41"/>
      <c r="G422" s="41"/>
      <c r="H422" s="41"/>
      <c r="I422" s="41"/>
      <c r="J422" s="41"/>
      <c r="K422" s="41"/>
      <c r="L422" s="41"/>
      <c r="M422" s="41"/>
      <c r="N422" s="41"/>
      <c r="O422" s="41"/>
      <c r="P422" s="41"/>
      <c r="Q422" s="41"/>
      <c r="R422" s="41"/>
      <c r="S422" s="41"/>
      <c r="T422" s="41"/>
      <c r="U422" s="41"/>
      <c r="V422" s="41"/>
      <c r="W422" s="41"/>
    </row>
    <row r="423" spans="1:23" ht="19.5" hidden="1" customHeight="1" x14ac:dyDescent="0.25">
      <c r="A423" s="41"/>
      <c r="B423" s="41"/>
      <c r="C423" s="41"/>
      <c r="D423" s="41"/>
      <c r="E423" s="41"/>
      <c r="F423" s="41"/>
      <c r="G423" s="41"/>
      <c r="H423" s="41"/>
      <c r="I423" s="41"/>
      <c r="J423" s="41"/>
      <c r="K423" s="41"/>
      <c r="L423" s="41"/>
      <c r="M423" s="41"/>
      <c r="N423" s="41"/>
      <c r="O423" s="41"/>
      <c r="P423" s="41"/>
      <c r="Q423" s="41"/>
      <c r="R423" s="41"/>
      <c r="S423" s="41"/>
      <c r="T423" s="41"/>
      <c r="U423" s="41"/>
      <c r="V423" s="41"/>
      <c r="W423" s="41"/>
    </row>
    <row r="424" spans="1:23" ht="19.5" hidden="1" customHeight="1" x14ac:dyDescent="0.25">
      <c r="A424" s="41"/>
      <c r="B424" s="41"/>
      <c r="C424" s="41"/>
      <c r="D424" s="41"/>
      <c r="E424" s="41"/>
      <c r="F424" s="41"/>
      <c r="G424" s="41"/>
      <c r="H424" s="41"/>
      <c r="I424" s="41"/>
      <c r="J424" s="41"/>
      <c r="K424" s="41"/>
      <c r="L424" s="41"/>
      <c r="M424" s="41"/>
      <c r="N424" s="41"/>
      <c r="O424" s="41"/>
      <c r="P424" s="41"/>
      <c r="Q424" s="41"/>
      <c r="R424" s="41"/>
      <c r="S424" s="41"/>
      <c r="T424" s="41"/>
      <c r="U424" s="41"/>
      <c r="V424" s="41"/>
      <c r="W424" s="41"/>
    </row>
    <row r="425" spans="1:23" ht="19.5" hidden="1" customHeight="1" x14ac:dyDescent="0.25">
      <c r="A425" s="41"/>
      <c r="B425" s="41"/>
      <c r="C425" s="41"/>
      <c r="D425" s="41"/>
      <c r="E425" s="41"/>
      <c r="F425" s="41"/>
      <c r="G425" s="41"/>
      <c r="H425" s="41"/>
      <c r="I425" s="41"/>
      <c r="J425" s="41"/>
      <c r="K425" s="41"/>
      <c r="L425" s="41"/>
      <c r="M425" s="41"/>
      <c r="N425" s="41"/>
      <c r="O425" s="41"/>
      <c r="P425" s="41"/>
      <c r="Q425" s="41"/>
      <c r="R425" s="41"/>
      <c r="S425" s="41"/>
      <c r="T425" s="41"/>
      <c r="U425" s="41"/>
      <c r="V425" s="41"/>
      <c r="W425" s="41"/>
    </row>
    <row r="426" spans="1:23" ht="19.5" hidden="1" customHeight="1" x14ac:dyDescent="0.25">
      <c r="A426" s="41"/>
      <c r="B426" s="41"/>
      <c r="C426" s="41"/>
      <c r="D426" s="41"/>
      <c r="E426" s="41"/>
      <c r="F426" s="41"/>
      <c r="G426" s="41"/>
      <c r="H426" s="41"/>
      <c r="I426" s="41"/>
      <c r="J426" s="41"/>
      <c r="K426" s="41"/>
      <c r="L426" s="41"/>
      <c r="M426" s="41"/>
      <c r="N426" s="41"/>
      <c r="O426" s="41"/>
      <c r="P426" s="41"/>
      <c r="Q426" s="41"/>
      <c r="R426" s="41"/>
      <c r="S426" s="41"/>
      <c r="T426" s="41"/>
      <c r="U426" s="41"/>
      <c r="V426" s="41"/>
      <c r="W426" s="41"/>
    </row>
    <row r="427" spans="1:23" ht="19.5" hidden="1" customHeight="1" x14ac:dyDescent="0.25">
      <c r="A427" s="41"/>
      <c r="B427" s="41"/>
      <c r="C427" s="41"/>
      <c r="D427" s="41"/>
      <c r="E427" s="41"/>
      <c r="F427" s="41"/>
      <c r="G427" s="41"/>
      <c r="H427" s="41"/>
      <c r="I427" s="41"/>
      <c r="J427" s="41"/>
      <c r="K427" s="41"/>
      <c r="L427" s="41"/>
      <c r="M427" s="41"/>
      <c r="N427" s="41"/>
      <c r="O427" s="41"/>
      <c r="P427" s="41"/>
      <c r="Q427" s="41"/>
      <c r="R427" s="41"/>
      <c r="S427" s="41"/>
      <c r="T427" s="41"/>
      <c r="U427" s="41"/>
      <c r="V427" s="41"/>
      <c r="W427" s="41"/>
    </row>
    <row r="428" spans="1:23" ht="19.5" hidden="1" customHeight="1" x14ac:dyDescent="0.25">
      <c r="A428" s="41"/>
      <c r="B428" s="41"/>
      <c r="C428" s="41"/>
      <c r="D428" s="41"/>
      <c r="E428" s="41"/>
      <c r="F428" s="41"/>
      <c r="G428" s="41"/>
      <c r="H428" s="41"/>
      <c r="I428" s="41"/>
      <c r="J428" s="41"/>
      <c r="K428" s="41"/>
      <c r="L428" s="41"/>
      <c r="M428" s="41"/>
      <c r="N428" s="41"/>
      <c r="O428" s="41"/>
      <c r="P428" s="41"/>
      <c r="Q428" s="41"/>
      <c r="R428" s="41"/>
      <c r="S428" s="41"/>
      <c r="T428" s="41"/>
      <c r="U428" s="41"/>
      <c r="V428" s="41"/>
      <c r="W428" s="41"/>
    </row>
    <row r="429" spans="1:23" ht="19.5" hidden="1" customHeight="1" x14ac:dyDescent="0.25">
      <c r="A429" s="41"/>
      <c r="B429" s="41"/>
      <c r="C429" s="41"/>
      <c r="D429" s="41"/>
      <c r="E429" s="41"/>
      <c r="F429" s="41"/>
      <c r="G429" s="41"/>
      <c r="H429" s="41"/>
      <c r="I429" s="41"/>
      <c r="J429" s="41"/>
      <c r="K429" s="41"/>
      <c r="L429" s="41"/>
      <c r="M429" s="41"/>
      <c r="N429" s="41"/>
      <c r="O429" s="41"/>
      <c r="P429" s="41"/>
      <c r="Q429" s="41"/>
      <c r="R429" s="41"/>
      <c r="S429" s="41"/>
      <c r="T429" s="41"/>
      <c r="U429" s="41"/>
      <c r="V429" s="41"/>
      <c r="W429" s="41"/>
    </row>
    <row r="430" spans="1:23" ht="19.5" hidden="1" customHeight="1" x14ac:dyDescent="0.25">
      <c r="A430" s="41"/>
      <c r="B430" s="41"/>
      <c r="C430" s="41"/>
      <c r="D430" s="41"/>
      <c r="E430" s="41"/>
      <c r="F430" s="41"/>
      <c r="G430" s="41"/>
      <c r="H430" s="41"/>
      <c r="I430" s="41"/>
      <c r="J430" s="41"/>
      <c r="K430" s="41"/>
      <c r="L430" s="41"/>
      <c r="M430" s="41"/>
      <c r="N430" s="41"/>
      <c r="O430" s="41"/>
      <c r="P430" s="41"/>
      <c r="Q430" s="41"/>
      <c r="R430" s="41"/>
      <c r="S430" s="41"/>
      <c r="T430" s="41"/>
      <c r="U430" s="41"/>
      <c r="V430" s="41"/>
      <c r="W430" s="41"/>
    </row>
    <row r="431" spans="1:23" ht="19.5" hidden="1" customHeight="1" x14ac:dyDescent="0.25">
      <c r="A431" s="41"/>
      <c r="B431" s="41"/>
      <c r="C431" s="41"/>
      <c r="D431" s="41"/>
      <c r="E431" s="41"/>
      <c r="F431" s="41"/>
      <c r="G431" s="41"/>
      <c r="H431" s="41"/>
      <c r="I431" s="41"/>
      <c r="J431" s="41"/>
      <c r="K431" s="41"/>
      <c r="L431" s="41"/>
      <c r="M431" s="41"/>
      <c r="N431" s="41"/>
      <c r="O431" s="41"/>
      <c r="P431" s="41"/>
      <c r="Q431" s="41"/>
      <c r="R431" s="41"/>
      <c r="S431" s="41"/>
      <c r="T431" s="41"/>
      <c r="U431" s="41"/>
      <c r="V431" s="41"/>
      <c r="W431" s="41"/>
    </row>
    <row r="432" spans="1:23" ht="19.5" hidden="1" customHeight="1" x14ac:dyDescent="0.25">
      <c r="A432" s="41"/>
      <c r="B432" s="41"/>
      <c r="C432" s="41"/>
      <c r="D432" s="41"/>
      <c r="E432" s="41"/>
      <c r="F432" s="41"/>
      <c r="G432" s="41"/>
      <c r="H432" s="41"/>
      <c r="I432" s="41"/>
      <c r="J432" s="41"/>
      <c r="K432" s="41"/>
      <c r="L432" s="41"/>
      <c r="M432" s="41"/>
      <c r="N432" s="41"/>
      <c r="O432" s="41"/>
      <c r="P432" s="41"/>
      <c r="Q432" s="41"/>
      <c r="R432" s="41"/>
      <c r="S432" s="41"/>
      <c r="T432" s="41"/>
      <c r="U432" s="41"/>
      <c r="V432" s="41"/>
      <c r="W432" s="41"/>
    </row>
    <row r="433" spans="1:23" ht="19.5" hidden="1" customHeight="1" x14ac:dyDescent="0.25">
      <c r="A433" s="41"/>
      <c r="B433" s="41"/>
      <c r="C433" s="41"/>
      <c r="D433" s="41"/>
      <c r="E433" s="41"/>
      <c r="F433" s="41"/>
      <c r="G433" s="41"/>
      <c r="H433" s="41"/>
      <c r="I433" s="41"/>
      <c r="J433" s="41"/>
      <c r="K433" s="41"/>
      <c r="L433" s="41"/>
      <c r="M433" s="41"/>
      <c r="N433" s="41"/>
      <c r="O433" s="41"/>
      <c r="P433" s="41"/>
      <c r="Q433" s="41"/>
      <c r="R433" s="41"/>
      <c r="S433" s="41"/>
      <c r="T433" s="41"/>
      <c r="U433" s="41"/>
      <c r="V433" s="41"/>
      <c r="W433" s="41"/>
    </row>
    <row r="434" spans="1:23" ht="19.5" hidden="1" customHeight="1" x14ac:dyDescent="0.25">
      <c r="A434" s="41"/>
      <c r="B434" s="41"/>
      <c r="C434" s="41"/>
      <c r="D434" s="41"/>
      <c r="E434" s="41"/>
      <c r="F434" s="41"/>
      <c r="G434" s="41"/>
      <c r="H434" s="41"/>
      <c r="I434" s="41"/>
      <c r="J434" s="41"/>
      <c r="K434" s="41"/>
      <c r="L434" s="41"/>
      <c r="M434" s="41"/>
      <c r="N434" s="41"/>
      <c r="O434" s="41"/>
      <c r="P434" s="41"/>
      <c r="Q434" s="41"/>
      <c r="R434" s="41"/>
      <c r="S434" s="41"/>
      <c r="T434" s="41"/>
      <c r="U434" s="41"/>
      <c r="V434" s="41"/>
      <c r="W434" s="41"/>
    </row>
    <row r="435" spans="1:23" ht="19.5" hidden="1" customHeight="1" x14ac:dyDescent="0.25">
      <c r="A435" s="41"/>
      <c r="B435" s="41"/>
      <c r="C435" s="41"/>
      <c r="D435" s="41"/>
      <c r="E435" s="41"/>
      <c r="F435" s="41"/>
      <c r="G435" s="41"/>
      <c r="H435" s="41"/>
      <c r="I435" s="41"/>
      <c r="J435" s="41"/>
      <c r="K435" s="41"/>
      <c r="L435" s="41"/>
      <c r="M435" s="41"/>
      <c r="N435" s="41"/>
      <c r="O435" s="41"/>
      <c r="P435" s="41"/>
      <c r="Q435" s="41"/>
      <c r="R435" s="41"/>
      <c r="S435" s="41"/>
      <c r="T435" s="41"/>
      <c r="U435" s="41"/>
      <c r="V435" s="41"/>
      <c r="W435" s="41"/>
    </row>
    <row r="436" spans="1:23" ht="19.5" hidden="1" customHeight="1" x14ac:dyDescent="0.25">
      <c r="A436" s="41"/>
      <c r="B436" s="41"/>
      <c r="C436" s="41"/>
      <c r="D436" s="41"/>
      <c r="E436" s="41"/>
      <c r="F436" s="41"/>
      <c r="G436" s="41"/>
      <c r="H436" s="41"/>
      <c r="I436" s="41"/>
      <c r="J436" s="41"/>
      <c r="K436" s="41"/>
      <c r="L436" s="41"/>
      <c r="M436" s="41"/>
      <c r="N436" s="41"/>
      <c r="O436" s="41"/>
      <c r="P436" s="41"/>
      <c r="Q436" s="41"/>
      <c r="R436" s="41"/>
      <c r="S436" s="41"/>
      <c r="T436" s="41"/>
      <c r="U436" s="41"/>
      <c r="V436" s="41"/>
      <c r="W436" s="41"/>
    </row>
    <row r="437" spans="1:23" ht="19.5" hidden="1" customHeight="1" x14ac:dyDescent="0.25">
      <c r="A437" s="41"/>
      <c r="B437" s="41"/>
      <c r="C437" s="41"/>
      <c r="D437" s="41"/>
      <c r="E437" s="41"/>
      <c r="F437" s="41"/>
      <c r="G437" s="41"/>
      <c r="H437" s="41"/>
      <c r="I437" s="41"/>
      <c r="J437" s="41"/>
      <c r="K437" s="41"/>
      <c r="L437" s="41"/>
      <c r="M437" s="41"/>
      <c r="N437" s="41"/>
      <c r="O437" s="41"/>
      <c r="P437" s="41"/>
      <c r="Q437" s="41"/>
      <c r="R437" s="41"/>
      <c r="S437" s="41"/>
      <c r="T437" s="41"/>
      <c r="U437" s="41"/>
      <c r="V437" s="41"/>
      <c r="W437" s="41"/>
    </row>
    <row r="438" spans="1:23" ht="19.5" hidden="1" customHeight="1" x14ac:dyDescent="0.25">
      <c r="A438" s="41"/>
      <c r="B438" s="41"/>
      <c r="C438" s="41"/>
      <c r="D438" s="41"/>
      <c r="E438" s="41"/>
      <c r="F438" s="41"/>
      <c r="G438" s="41"/>
      <c r="H438" s="41"/>
      <c r="I438" s="41"/>
      <c r="J438" s="41"/>
      <c r="K438" s="41"/>
      <c r="L438" s="41"/>
      <c r="M438" s="41"/>
      <c r="N438" s="41"/>
      <c r="O438" s="41"/>
      <c r="P438" s="41"/>
      <c r="Q438" s="41"/>
      <c r="R438" s="41"/>
      <c r="S438" s="41"/>
      <c r="T438" s="41"/>
      <c r="U438" s="41"/>
      <c r="V438" s="41"/>
      <c r="W438" s="41"/>
    </row>
    <row r="439" spans="1:23" ht="19.5" hidden="1" customHeight="1" x14ac:dyDescent="0.25">
      <c r="A439" s="41"/>
      <c r="B439" s="41"/>
      <c r="C439" s="41"/>
      <c r="D439" s="41"/>
      <c r="E439" s="41"/>
      <c r="F439" s="41"/>
      <c r="G439" s="41"/>
      <c r="H439" s="41"/>
      <c r="I439" s="41"/>
      <c r="J439" s="41"/>
      <c r="K439" s="41"/>
      <c r="L439" s="41"/>
      <c r="M439" s="41"/>
      <c r="N439" s="41"/>
      <c r="O439" s="41"/>
      <c r="P439" s="41"/>
      <c r="Q439" s="41"/>
      <c r="R439" s="41"/>
      <c r="S439" s="41"/>
      <c r="T439" s="41"/>
      <c r="U439" s="41"/>
      <c r="V439" s="41"/>
      <c r="W439" s="41"/>
    </row>
    <row r="440" spans="1:23" ht="19.5" hidden="1" customHeight="1" x14ac:dyDescent="0.25">
      <c r="A440" s="41"/>
      <c r="B440" s="41"/>
      <c r="C440" s="41"/>
      <c r="D440" s="41"/>
      <c r="E440" s="41"/>
      <c r="F440" s="41"/>
      <c r="G440" s="41"/>
      <c r="H440" s="41"/>
      <c r="I440" s="41"/>
      <c r="J440" s="41"/>
      <c r="K440" s="41"/>
      <c r="L440" s="41"/>
      <c r="M440" s="41"/>
      <c r="N440" s="41"/>
      <c r="O440" s="41"/>
      <c r="P440" s="41"/>
      <c r="Q440" s="41"/>
      <c r="R440" s="41"/>
      <c r="S440" s="41"/>
      <c r="T440" s="41"/>
      <c r="U440" s="41"/>
      <c r="V440" s="41"/>
      <c r="W440" s="41"/>
    </row>
    <row r="441" spans="1:23" ht="19.5" hidden="1" customHeight="1" x14ac:dyDescent="0.25">
      <c r="A441" s="41"/>
      <c r="B441" s="41"/>
      <c r="C441" s="41"/>
      <c r="D441" s="41"/>
      <c r="E441" s="41"/>
      <c r="F441" s="41"/>
      <c r="G441" s="41"/>
      <c r="H441" s="41"/>
      <c r="I441" s="41"/>
      <c r="J441" s="41"/>
      <c r="K441" s="41"/>
      <c r="L441" s="41"/>
      <c r="M441" s="41"/>
      <c r="N441" s="41"/>
      <c r="O441" s="41"/>
      <c r="P441" s="41"/>
      <c r="Q441" s="41"/>
      <c r="R441" s="41"/>
      <c r="S441" s="41"/>
      <c r="T441" s="41"/>
      <c r="U441" s="41"/>
      <c r="V441" s="41"/>
      <c r="W441" s="41"/>
    </row>
    <row r="442" spans="1:23" ht="19.5" hidden="1" customHeight="1" x14ac:dyDescent="0.25">
      <c r="A442" s="41"/>
      <c r="B442" s="41"/>
      <c r="C442" s="41"/>
      <c r="D442" s="41"/>
      <c r="E442" s="41"/>
      <c r="F442" s="41"/>
      <c r="G442" s="41"/>
      <c r="H442" s="41"/>
      <c r="I442" s="41"/>
      <c r="J442" s="41"/>
      <c r="K442" s="41"/>
      <c r="L442" s="41"/>
      <c r="M442" s="41"/>
      <c r="N442" s="41"/>
      <c r="O442" s="41"/>
      <c r="P442" s="41"/>
      <c r="Q442" s="41"/>
      <c r="R442" s="41"/>
      <c r="S442" s="41"/>
      <c r="T442" s="41"/>
      <c r="U442" s="41"/>
      <c r="V442" s="41"/>
      <c r="W442" s="41"/>
    </row>
    <row r="443" spans="1:23" ht="19.5" hidden="1" customHeight="1" x14ac:dyDescent="0.25">
      <c r="A443" s="41"/>
      <c r="B443" s="41"/>
      <c r="C443" s="41"/>
      <c r="D443" s="41"/>
      <c r="E443" s="41"/>
      <c r="F443" s="41"/>
      <c r="G443" s="41"/>
      <c r="H443" s="41"/>
      <c r="I443" s="41"/>
      <c r="J443" s="41"/>
      <c r="K443" s="41"/>
      <c r="L443" s="41"/>
      <c r="M443" s="41"/>
      <c r="N443" s="41"/>
      <c r="O443" s="41"/>
      <c r="P443" s="41"/>
      <c r="Q443" s="41"/>
      <c r="R443" s="41"/>
      <c r="S443" s="41"/>
      <c r="T443" s="41"/>
      <c r="U443" s="41"/>
      <c r="V443" s="41"/>
      <c r="W443" s="41"/>
    </row>
    <row r="444" spans="1:23" ht="19.5" hidden="1" customHeight="1" x14ac:dyDescent="0.25">
      <c r="A444" s="41"/>
      <c r="B444" s="41"/>
      <c r="C444" s="41"/>
      <c r="D444" s="41"/>
      <c r="E444" s="41"/>
      <c r="F444" s="41"/>
      <c r="G444" s="41"/>
      <c r="H444" s="41"/>
      <c r="I444" s="41"/>
      <c r="J444" s="41"/>
      <c r="K444" s="41"/>
      <c r="L444" s="41"/>
      <c r="M444" s="41"/>
      <c r="N444" s="41"/>
      <c r="O444" s="41"/>
      <c r="P444" s="41"/>
      <c r="Q444" s="41"/>
      <c r="R444" s="41"/>
      <c r="S444" s="41"/>
      <c r="T444" s="41"/>
      <c r="U444" s="41"/>
      <c r="V444" s="41"/>
      <c r="W444" s="41"/>
    </row>
    <row r="445" spans="1:23" ht="19.5" hidden="1" customHeight="1" x14ac:dyDescent="0.25">
      <c r="A445" s="41"/>
      <c r="B445" s="41"/>
      <c r="C445" s="41"/>
      <c r="D445" s="41"/>
      <c r="E445" s="41"/>
      <c r="F445" s="41"/>
      <c r="G445" s="41"/>
      <c r="H445" s="41"/>
      <c r="I445" s="41"/>
      <c r="J445" s="41"/>
      <c r="K445" s="41"/>
      <c r="L445" s="41"/>
      <c r="M445" s="41"/>
      <c r="N445" s="41"/>
      <c r="O445" s="41"/>
      <c r="P445" s="41"/>
      <c r="Q445" s="41"/>
      <c r="R445" s="41"/>
      <c r="S445" s="41"/>
      <c r="T445" s="41"/>
      <c r="U445" s="41"/>
      <c r="V445" s="41"/>
      <c r="W445" s="41"/>
    </row>
    <row r="446" spans="1:23" ht="19.5" hidden="1" customHeight="1" x14ac:dyDescent="0.25">
      <c r="A446" s="41"/>
      <c r="B446" s="41"/>
      <c r="C446" s="41"/>
      <c r="D446" s="41"/>
      <c r="E446" s="41"/>
      <c r="F446" s="41"/>
      <c r="G446" s="41"/>
      <c r="H446" s="41"/>
      <c r="I446" s="41"/>
      <c r="J446" s="41"/>
      <c r="K446" s="41"/>
      <c r="L446" s="41"/>
      <c r="M446" s="41"/>
      <c r="N446" s="41"/>
      <c r="O446" s="41"/>
      <c r="P446" s="41"/>
      <c r="Q446" s="41"/>
      <c r="R446" s="41"/>
      <c r="S446" s="41"/>
      <c r="T446" s="41"/>
      <c r="U446" s="41"/>
      <c r="V446" s="41"/>
      <c r="W446" s="41"/>
    </row>
    <row r="447" spans="1:23" ht="19.5" hidden="1" customHeight="1" x14ac:dyDescent="0.25">
      <c r="A447" s="41"/>
      <c r="B447" s="41"/>
      <c r="C447" s="41"/>
      <c r="D447" s="41"/>
      <c r="E447" s="41"/>
      <c r="F447" s="41"/>
      <c r="G447" s="41"/>
      <c r="H447" s="41"/>
      <c r="I447" s="41"/>
      <c r="J447" s="41"/>
      <c r="K447" s="41"/>
      <c r="L447" s="41"/>
      <c r="M447" s="41"/>
      <c r="N447" s="41"/>
      <c r="O447" s="41"/>
      <c r="P447" s="41"/>
      <c r="Q447" s="41"/>
      <c r="R447" s="41"/>
      <c r="S447" s="41"/>
      <c r="T447" s="41"/>
      <c r="U447" s="41"/>
      <c r="V447" s="41"/>
      <c r="W447" s="41"/>
    </row>
    <row r="448" spans="1:23" ht="19.5" hidden="1" customHeight="1" x14ac:dyDescent="0.25">
      <c r="A448" s="41"/>
      <c r="B448" s="41"/>
      <c r="C448" s="41"/>
      <c r="D448" s="41"/>
      <c r="E448" s="41"/>
      <c r="F448" s="41"/>
      <c r="G448" s="41"/>
      <c r="H448" s="41"/>
      <c r="I448" s="41"/>
      <c r="J448" s="41"/>
      <c r="K448" s="41"/>
      <c r="L448" s="41"/>
      <c r="M448" s="41"/>
      <c r="N448" s="41"/>
      <c r="O448" s="41"/>
      <c r="P448" s="41"/>
      <c r="Q448" s="41"/>
      <c r="R448" s="41"/>
      <c r="S448" s="41"/>
      <c r="T448" s="41"/>
      <c r="U448" s="41"/>
      <c r="V448" s="41"/>
      <c r="W448" s="41"/>
    </row>
    <row r="449" spans="1:23" ht="19.5" hidden="1" customHeight="1" x14ac:dyDescent="0.25">
      <c r="A449" s="41"/>
      <c r="B449" s="41"/>
      <c r="C449" s="41"/>
      <c r="D449" s="41"/>
      <c r="E449" s="41"/>
      <c r="F449" s="41"/>
      <c r="G449" s="41"/>
      <c r="H449" s="41"/>
      <c r="I449" s="41"/>
      <c r="J449" s="41"/>
      <c r="K449" s="41"/>
      <c r="L449" s="41"/>
      <c r="M449" s="41"/>
      <c r="N449" s="41"/>
      <c r="O449" s="41"/>
      <c r="P449" s="41"/>
      <c r="Q449" s="41"/>
      <c r="R449" s="41"/>
      <c r="S449" s="41"/>
      <c r="T449" s="41"/>
      <c r="U449" s="41"/>
      <c r="V449" s="41"/>
      <c r="W449" s="41"/>
    </row>
    <row r="450" spans="1:23" ht="19.5" hidden="1" customHeight="1" x14ac:dyDescent="0.25">
      <c r="A450" s="41"/>
      <c r="B450" s="41"/>
      <c r="C450" s="41"/>
      <c r="D450" s="41"/>
      <c r="E450" s="41"/>
      <c r="F450" s="41"/>
      <c r="G450" s="41"/>
      <c r="H450" s="41"/>
      <c r="I450" s="41"/>
      <c r="J450" s="41"/>
      <c r="K450" s="41"/>
      <c r="L450" s="41"/>
      <c r="M450" s="41"/>
      <c r="N450" s="41"/>
      <c r="O450" s="41"/>
      <c r="P450" s="41"/>
      <c r="Q450" s="41"/>
      <c r="R450" s="41"/>
      <c r="S450" s="41"/>
      <c r="T450" s="41"/>
      <c r="U450" s="41"/>
      <c r="V450" s="41"/>
      <c r="W450" s="41"/>
    </row>
    <row r="451" spans="1:23" ht="19.5" hidden="1" customHeight="1" x14ac:dyDescent="0.25">
      <c r="A451" s="41"/>
      <c r="B451" s="41"/>
      <c r="C451" s="41"/>
      <c r="D451" s="41"/>
      <c r="E451" s="41"/>
      <c r="F451" s="41"/>
      <c r="G451" s="41"/>
      <c r="H451" s="41"/>
      <c r="I451" s="41"/>
      <c r="J451" s="41"/>
      <c r="K451" s="41"/>
      <c r="L451" s="41"/>
      <c r="M451" s="41"/>
      <c r="N451" s="41"/>
      <c r="O451" s="41"/>
      <c r="P451" s="41"/>
      <c r="Q451" s="41"/>
      <c r="R451" s="41"/>
      <c r="S451" s="41"/>
      <c r="T451" s="41"/>
      <c r="U451" s="41"/>
      <c r="V451" s="41"/>
      <c r="W451" s="41"/>
    </row>
    <row r="452" spans="1:23" ht="19.5" hidden="1" customHeight="1" x14ac:dyDescent="0.25">
      <c r="A452" s="41"/>
      <c r="B452" s="41"/>
      <c r="C452" s="41"/>
      <c r="D452" s="41"/>
      <c r="E452" s="41"/>
      <c r="F452" s="41"/>
      <c r="G452" s="41"/>
      <c r="H452" s="41"/>
      <c r="I452" s="41"/>
      <c r="J452" s="41"/>
      <c r="K452" s="41"/>
      <c r="L452" s="41"/>
      <c r="M452" s="41"/>
      <c r="N452" s="41"/>
      <c r="O452" s="41"/>
      <c r="P452" s="41"/>
      <c r="Q452" s="41"/>
      <c r="R452" s="41"/>
      <c r="S452" s="41"/>
      <c r="T452" s="41"/>
      <c r="U452" s="41"/>
      <c r="V452" s="41"/>
      <c r="W452" s="41"/>
    </row>
    <row r="453" spans="1:23" ht="19.5" hidden="1" customHeight="1" x14ac:dyDescent="0.25">
      <c r="A453" s="41"/>
      <c r="B453" s="41"/>
      <c r="C453" s="41"/>
      <c r="D453" s="41"/>
      <c r="E453" s="41"/>
      <c r="F453" s="41"/>
      <c r="G453" s="41"/>
      <c r="H453" s="41"/>
      <c r="I453" s="41"/>
      <c r="J453" s="41"/>
      <c r="K453" s="41"/>
      <c r="L453" s="41"/>
      <c r="M453" s="41"/>
      <c r="N453" s="41"/>
      <c r="O453" s="41"/>
      <c r="P453" s="41"/>
      <c r="Q453" s="41"/>
      <c r="R453" s="41"/>
      <c r="S453" s="41"/>
      <c r="T453" s="41"/>
      <c r="U453" s="41"/>
      <c r="V453" s="41"/>
      <c r="W453" s="41"/>
    </row>
    <row r="454" spans="1:23" ht="19.5" hidden="1" customHeight="1" x14ac:dyDescent="0.25">
      <c r="A454" s="41"/>
      <c r="B454" s="41"/>
      <c r="C454" s="41"/>
      <c r="D454" s="41"/>
      <c r="E454" s="41"/>
      <c r="F454" s="41"/>
      <c r="G454" s="41"/>
      <c r="H454" s="41"/>
      <c r="I454" s="41"/>
      <c r="J454" s="41"/>
      <c r="K454" s="41"/>
      <c r="L454" s="41"/>
      <c r="M454" s="41"/>
      <c r="N454" s="41"/>
      <c r="O454" s="41"/>
      <c r="P454" s="41"/>
      <c r="Q454" s="41"/>
      <c r="R454" s="41"/>
      <c r="S454" s="41"/>
      <c r="T454" s="41"/>
      <c r="U454" s="41"/>
      <c r="V454" s="41"/>
      <c r="W454" s="41"/>
    </row>
    <row r="455" spans="1:23" ht="19.5" hidden="1" customHeight="1" x14ac:dyDescent="0.25">
      <c r="A455" s="41"/>
      <c r="B455" s="41"/>
      <c r="C455" s="41"/>
      <c r="D455" s="41"/>
      <c r="E455" s="41"/>
      <c r="F455" s="41"/>
      <c r="G455" s="41"/>
      <c r="H455" s="41"/>
      <c r="I455" s="41"/>
      <c r="J455" s="41"/>
      <c r="K455" s="41"/>
      <c r="L455" s="41"/>
      <c r="M455" s="41"/>
      <c r="N455" s="41"/>
      <c r="O455" s="41"/>
      <c r="P455" s="41"/>
      <c r="Q455" s="41"/>
      <c r="R455" s="41"/>
      <c r="S455" s="41"/>
      <c r="T455" s="41"/>
      <c r="U455" s="41"/>
      <c r="V455" s="41"/>
      <c r="W455" s="41"/>
    </row>
    <row r="456" spans="1:23" ht="19.5" hidden="1" customHeight="1" x14ac:dyDescent="0.25">
      <c r="A456" s="41"/>
      <c r="B456" s="41"/>
      <c r="C456" s="41"/>
      <c r="D456" s="41"/>
      <c r="E456" s="41"/>
      <c r="F456" s="41"/>
      <c r="G456" s="41"/>
      <c r="H456" s="41"/>
      <c r="I456" s="41"/>
      <c r="J456" s="41"/>
      <c r="K456" s="41"/>
      <c r="L456" s="41"/>
      <c r="M456" s="41"/>
      <c r="N456" s="41"/>
      <c r="O456" s="41"/>
      <c r="P456" s="41"/>
      <c r="Q456" s="41"/>
      <c r="R456" s="41"/>
      <c r="S456" s="41"/>
      <c r="T456" s="41"/>
      <c r="U456" s="41"/>
      <c r="V456" s="41"/>
      <c r="W456" s="41"/>
    </row>
    <row r="457" spans="1:23" ht="19.5" hidden="1" customHeight="1" x14ac:dyDescent="0.25">
      <c r="A457" s="41"/>
      <c r="B457" s="41"/>
      <c r="C457" s="41"/>
      <c r="D457" s="41"/>
      <c r="E457" s="41"/>
      <c r="F457" s="41"/>
      <c r="G457" s="41"/>
      <c r="H457" s="41"/>
      <c r="I457" s="41"/>
      <c r="J457" s="41"/>
      <c r="K457" s="41"/>
      <c r="L457" s="41"/>
      <c r="M457" s="41"/>
      <c r="N457" s="41"/>
      <c r="O457" s="41"/>
      <c r="P457" s="41"/>
      <c r="Q457" s="41"/>
      <c r="R457" s="41"/>
      <c r="S457" s="41"/>
      <c r="T457" s="41"/>
      <c r="U457" s="41"/>
      <c r="V457" s="41"/>
      <c r="W457" s="41"/>
    </row>
    <row r="458" spans="1:23" ht="19.5" hidden="1" customHeight="1" x14ac:dyDescent="0.25">
      <c r="A458" s="41"/>
      <c r="B458" s="41"/>
      <c r="C458" s="41"/>
      <c r="D458" s="41"/>
      <c r="E458" s="41"/>
      <c r="F458" s="41"/>
      <c r="G458" s="41"/>
      <c r="H458" s="41"/>
      <c r="I458" s="41"/>
      <c r="J458" s="41"/>
      <c r="K458" s="41"/>
      <c r="L458" s="41"/>
      <c r="M458" s="41"/>
      <c r="N458" s="41"/>
      <c r="O458" s="41"/>
      <c r="P458" s="41"/>
      <c r="Q458" s="41"/>
      <c r="R458" s="41"/>
      <c r="S458" s="41"/>
      <c r="T458" s="41"/>
      <c r="U458" s="41"/>
      <c r="V458" s="41"/>
      <c r="W458" s="41"/>
    </row>
    <row r="459" spans="1:23" ht="19.5" hidden="1" customHeight="1" x14ac:dyDescent="0.25">
      <c r="A459" s="41"/>
      <c r="B459" s="41"/>
      <c r="C459" s="41"/>
      <c r="D459" s="41"/>
      <c r="E459" s="41"/>
      <c r="F459" s="41"/>
      <c r="G459" s="41"/>
      <c r="H459" s="41"/>
      <c r="I459" s="41"/>
      <c r="J459" s="41"/>
      <c r="K459" s="41"/>
      <c r="L459" s="41"/>
      <c r="M459" s="41"/>
      <c r="N459" s="41"/>
      <c r="O459" s="41"/>
      <c r="P459" s="41"/>
      <c r="Q459" s="41"/>
      <c r="R459" s="41"/>
      <c r="S459" s="41"/>
      <c r="T459" s="41"/>
      <c r="U459" s="41"/>
      <c r="V459" s="41"/>
      <c r="W459" s="41"/>
    </row>
    <row r="460" spans="1:23" ht="19.5" hidden="1" customHeight="1" x14ac:dyDescent="0.25">
      <c r="A460" s="41"/>
      <c r="B460" s="41"/>
      <c r="C460" s="41"/>
      <c r="D460" s="41"/>
      <c r="E460" s="41"/>
      <c r="F460" s="41"/>
      <c r="G460" s="41"/>
      <c r="H460" s="41"/>
      <c r="I460" s="41"/>
      <c r="J460" s="41"/>
      <c r="K460" s="41"/>
      <c r="L460" s="41"/>
      <c r="M460" s="41"/>
      <c r="N460" s="41"/>
      <c r="O460" s="41"/>
      <c r="P460" s="41"/>
      <c r="Q460" s="41"/>
      <c r="R460" s="41"/>
      <c r="S460" s="41"/>
      <c r="T460" s="41"/>
      <c r="U460" s="41"/>
      <c r="V460" s="41"/>
      <c r="W460" s="41"/>
    </row>
    <row r="461" spans="1:23" ht="19.5" hidden="1" customHeight="1" x14ac:dyDescent="0.25">
      <c r="A461" s="41"/>
      <c r="B461" s="41"/>
      <c r="C461" s="41"/>
      <c r="D461" s="41"/>
      <c r="E461" s="41"/>
      <c r="F461" s="41"/>
      <c r="G461" s="41"/>
      <c r="H461" s="41"/>
      <c r="I461" s="41"/>
      <c r="J461" s="41"/>
      <c r="K461" s="41"/>
      <c r="L461" s="41"/>
      <c r="M461" s="41"/>
      <c r="N461" s="41"/>
      <c r="O461" s="41"/>
      <c r="P461" s="41"/>
      <c r="Q461" s="41"/>
      <c r="R461" s="41"/>
      <c r="S461" s="41"/>
      <c r="T461" s="41"/>
      <c r="U461" s="41"/>
      <c r="V461" s="41"/>
      <c r="W461" s="41"/>
    </row>
    <row r="462" spans="1:23" ht="19.5" hidden="1" customHeight="1" x14ac:dyDescent="0.25">
      <c r="A462" s="41"/>
      <c r="B462" s="41"/>
      <c r="C462" s="41"/>
      <c r="D462" s="41"/>
      <c r="E462" s="41"/>
      <c r="F462" s="41"/>
      <c r="G462" s="41"/>
      <c r="H462" s="41"/>
      <c r="I462" s="41"/>
      <c r="J462" s="41"/>
      <c r="K462" s="41"/>
      <c r="L462" s="41"/>
      <c r="M462" s="41"/>
      <c r="N462" s="41"/>
      <c r="O462" s="41"/>
      <c r="P462" s="41"/>
      <c r="Q462" s="41"/>
      <c r="R462" s="41"/>
      <c r="S462" s="41"/>
      <c r="T462" s="41"/>
      <c r="U462" s="41"/>
      <c r="V462" s="41"/>
      <c r="W462" s="41"/>
    </row>
    <row r="463" spans="1:23" ht="19.5" hidden="1" customHeight="1" x14ac:dyDescent="0.25">
      <c r="A463" s="41"/>
      <c r="B463" s="41"/>
      <c r="C463" s="41"/>
      <c r="D463" s="41"/>
      <c r="E463" s="41"/>
      <c r="F463" s="41"/>
      <c r="G463" s="41"/>
      <c r="H463" s="41"/>
      <c r="I463" s="41"/>
      <c r="J463" s="41"/>
      <c r="K463" s="41"/>
      <c r="L463" s="41"/>
      <c r="M463" s="41"/>
      <c r="N463" s="41"/>
      <c r="O463" s="41"/>
      <c r="P463" s="41"/>
      <c r="Q463" s="41"/>
      <c r="R463" s="41"/>
      <c r="S463" s="41"/>
      <c r="T463" s="41"/>
      <c r="U463" s="41"/>
      <c r="V463" s="41"/>
      <c r="W463" s="41"/>
    </row>
    <row r="464" spans="1:23" ht="19.5" hidden="1" customHeight="1" x14ac:dyDescent="0.25">
      <c r="A464" s="41"/>
      <c r="B464" s="41"/>
      <c r="C464" s="41"/>
      <c r="D464" s="41"/>
      <c r="E464" s="41"/>
      <c r="F464" s="41"/>
      <c r="G464" s="41"/>
      <c r="H464" s="41"/>
      <c r="I464" s="41"/>
      <c r="J464" s="41"/>
      <c r="K464" s="41"/>
      <c r="L464" s="41"/>
      <c r="M464" s="41"/>
      <c r="N464" s="41"/>
      <c r="O464" s="41"/>
      <c r="P464" s="41"/>
      <c r="Q464" s="41"/>
      <c r="R464" s="41"/>
      <c r="S464" s="41"/>
      <c r="T464" s="41"/>
      <c r="U464" s="41"/>
      <c r="V464" s="41"/>
      <c r="W464" s="41"/>
    </row>
    <row r="465" spans="1:23" ht="19.5" hidden="1" customHeight="1" x14ac:dyDescent="0.25">
      <c r="A465" s="41"/>
      <c r="B465" s="41"/>
      <c r="C465" s="41"/>
      <c r="D465" s="41"/>
      <c r="E465" s="41"/>
      <c r="F465" s="41"/>
      <c r="G465" s="41"/>
      <c r="H465" s="41"/>
      <c r="I465" s="41"/>
      <c r="J465" s="41"/>
      <c r="K465" s="41"/>
      <c r="L465" s="41"/>
      <c r="M465" s="41"/>
      <c r="N465" s="41"/>
      <c r="O465" s="41"/>
      <c r="P465" s="41"/>
      <c r="Q465" s="41"/>
      <c r="R465" s="41"/>
      <c r="S465" s="41"/>
      <c r="T465" s="41"/>
      <c r="U465" s="41"/>
      <c r="V465" s="41"/>
      <c r="W465" s="41"/>
    </row>
    <row r="466" spans="1:23" ht="19.5" hidden="1" customHeight="1" x14ac:dyDescent="0.25">
      <c r="A466" s="41"/>
      <c r="B466" s="41"/>
      <c r="C466" s="41"/>
      <c r="D466" s="41"/>
      <c r="E466" s="41"/>
      <c r="F466" s="41"/>
      <c r="G466" s="41"/>
      <c r="H466" s="41"/>
      <c r="I466" s="41"/>
      <c r="J466" s="41"/>
      <c r="K466" s="41"/>
      <c r="L466" s="41"/>
      <c r="M466" s="41"/>
      <c r="N466" s="41"/>
      <c r="O466" s="41"/>
      <c r="P466" s="41"/>
      <c r="Q466" s="41"/>
      <c r="R466" s="41"/>
      <c r="S466" s="41"/>
      <c r="T466" s="41"/>
      <c r="U466" s="41"/>
      <c r="V466" s="41"/>
      <c r="W466" s="41"/>
    </row>
    <row r="467" spans="1:23" ht="19.5" hidden="1" customHeight="1" x14ac:dyDescent="0.25">
      <c r="A467" s="41"/>
      <c r="B467" s="41"/>
      <c r="C467" s="41"/>
      <c r="D467" s="41"/>
      <c r="E467" s="41"/>
      <c r="F467" s="41"/>
      <c r="G467" s="41"/>
      <c r="H467" s="41"/>
      <c r="I467" s="41"/>
      <c r="J467" s="41"/>
      <c r="K467" s="41"/>
      <c r="L467" s="41"/>
      <c r="M467" s="41"/>
      <c r="N467" s="41"/>
      <c r="O467" s="41"/>
      <c r="P467" s="41"/>
      <c r="Q467" s="41"/>
      <c r="R467" s="41"/>
      <c r="S467" s="41"/>
      <c r="T467" s="41"/>
      <c r="U467" s="41"/>
      <c r="V467" s="41"/>
      <c r="W467" s="41"/>
    </row>
    <row r="468" spans="1:23" ht="19.5" hidden="1" customHeight="1" x14ac:dyDescent="0.25">
      <c r="A468" s="41"/>
      <c r="B468" s="41"/>
      <c r="C468" s="41"/>
      <c r="D468" s="41"/>
      <c r="E468" s="41"/>
      <c r="F468" s="41"/>
      <c r="G468" s="41"/>
      <c r="H468" s="41"/>
      <c r="I468" s="41"/>
      <c r="J468" s="41"/>
      <c r="K468" s="41"/>
      <c r="L468" s="41"/>
      <c r="M468" s="41"/>
      <c r="N468" s="41"/>
      <c r="O468" s="41"/>
      <c r="P468" s="41"/>
      <c r="Q468" s="41"/>
      <c r="R468" s="41"/>
      <c r="S468" s="41"/>
      <c r="T468" s="41"/>
      <c r="U468" s="41"/>
      <c r="V468" s="41"/>
      <c r="W468" s="41"/>
    </row>
    <row r="469" spans="1:23" ht="19.5" hidden="1" customHeight="1" x14ac:dyDescent="0.25">
      <c r="A469" s="41"/>
      <c r="B469" s="41"/>
      <c r="C469" s="41"/>
      <c r="D469" s="41"/>
      <c r="E469" s="41"/>
      <c r="F469" s="41"/>
      <c r="G469" s="41"/>
      <c r="H469" s="41"/>
      <c r="I469" s="41"/>
      <c r="J469" s="41"/>
      <c r="K469" s="41"/>
      <c r="L469" s="41"/>
      <c r="M469" s="41"/>
      <c r="N469" s="41"/>
      <c r="O469" s="41"/>
      <c r="P469" s="41"/>
      <c r="Q469" s="41"/>
      <c r="R469" s="41"/>
      <c r="S469" s="41"/>
      <c r="T469" s="41"/>
      <c r="U469" s="41"/>
      <c r="V469" s="41"/>
      <c r="W469" s="41"/>
    </row>
    <row r="470" spans="1:23" ht="19.5" hidden="1" customHeight="1" x14ac:dyDescent="0.25">
      <c r="A470" s="41"/>
      <c r="B470" s="41"/>
      <c r="C470" s="41"/>
      <c r="D470" s="41"/>
      <c r="E470" s="41"/>
      <c r="F470" s="41"/>
      <c r="G470" s="41"/>
      <c r="H470" s="41"/>
      <c r="I470" s="41"/>
      <c r="J470" s="41"/>
      <c r="K470" s="41"/>
      <c r="L470" s="41"/>
      <c r="M470" s="41"/>
      <c r="N470" s="41"/>
      <c r="O470" s="41"/>
      <c r="P470" s="41"/>
      <c r="Q470" s="41"/>
      <c r="R470" s="41"/>
      <c r="S470" s="41"/>
      <c r="T470" s="41"/>
      <c r="U470" s="41"/>
      <c r="V470" s="41"/>
      <c r="W470" s="41"/>
    </row>
    <row r="471" spans="1:23" ht="19.5" hidden="1" customHeight="1" x14ac:dyDescent="0.25">
      <c r="A471" s="41"/>
      <c r="B471" s="41"/>
      <c r="C471" s="41"/>
      <c r="D471" s="41"/>
      <c r="E471" s="41"/>
      <c r="F471" s="41"/>
      <c r="G471" s="41"/>
      <c r="H471" s="41"/>
      <c r="I471" s="41"/>
      <c r="J471" s="41"/>
      <c r="K471" s="41"/>
      <c r="L471" s="41"/>
      <c r="M471" s="41"/>
      <c r="N471" s="41"/>
      <c r="O471" s="41"/>
      <c r="P471" s="41"/>
      <c r="Q471" s="41"/>
      <c r="R471" s="41"/>
      <c r="S471" s="41"/>
      <c r="T471" s="41"/>
      <c r="U471" s="41"/>
      <c r="V471" s="41"/>
      <c r="W471" s="41"/>
    </row>
    <row r="472" spans="1:23" ht="19.5" hidden="1" customHeight="1" x14ac:dyDescent="0.25">
      <c r="A472" s="41"/>
      <c r="B472" s="41"/>
      <c r="C472" s="41"/>
      <c r="D472" s="41"/>
      <c r="E472" s="41"/>
      <c r="F472" s="41"/>
      <c r="G472" s="41"/>
      <c r="H472" s="41"/>
      <c r="I472" s="41"/>
      <c r="J472" s="41"/>
      <c r="K472" s="41"/>
      <c r="L472" s="41"/>
      <c r="M472" s="41"/>
      <c r="N472" s="41"/>
      <c r="O472" s="41"/>
      <c r="P472" s="41"/>
      <c r="Q472" s="41"/>
      <c r="R472" s="41"/>
      <c r="S472" s="41"/>
      <c r="T472" s="41"/>
      <c r="U472" s="41"/>
      <c r="V472" s="41"/>
      <c r="W472" s="41"/>
    </row>
    <row r="473" spans="1:23" ht="19.5" hidden="1" customHeight="1" x14ac:dyDescent="0.25">
      <c r="A473" s="41"/>
      <c r="B473" s="41"/>
      <c r="C473" s="41"/>
      <c r="D473" s="41"/>
      <c r="E473" s="41"/>
      <c r="F473" s="41"/>
      <c r="G473" s="41"/>
      <c r="H473" s="41"/>
      <c r="I473" s="41"/>
      <c r="J473" s="41"/>
      <c r="K473" s="41"/>
      <c r="L473" s="41"/>
      <c r="M473" s="41"/>
      <c r="N473" s="41"/>
      <c r="O473" s="41"/>
      <c r="P473" s="41"/>
      <c r="Q473" s="41"/>
      <c r="R473" s="41"/>
      <c r="S473" s="41"/>
      <c r="T473" s="41"/>
      <c r="U473" s="41"/>
      <c r="V473" s="41"/>
      <c r="W473" s="41"/>
    </row>
    <row r="474" spans="1:23" ht="19.5" hidden="1" customHeight="1" x14ac:dyDescent="0.25">
      <c r="A474" s="41"/>
      <c r="B474" s="41"/>
      <c r="C474" s="41"/>
      <c r="D474" s="41"/>
      <c r="E474" s="41"/>
      <c r="F474" s="41"/>
      <c r="G474" s="41"/>
      <c r="H474" s="41"/>
      <c r="I474" s="41"/>
      <c r="J474" s="41"/>
      <c r="K474" s="41"/>
      <c r="L474" s="41"/>
      <c r="M474" s="41"/>
      <c r="N474" s="41"/>
      <c r="O474" s="41"/>
      <c r="P474" s="41"/>
      <c r="Q474" s="41"/>
      <c r="R474" s="41"/>
      <c r="S474" s="41"/>
      <c r="T474" s="41"/>
      <c r="U474" s="41"/>
      <c r="V474" s="41"/>
      <c r="W474" s="41"/>
    </row>
    <row r="475" spans="1:23" ht="19.5" hidden="1" customHeight="1" x14ac:dyDescent="0.25">
      <c r="A475" s="41"/>
      <c r="B475" s="41"/>
      <c r="C475" s="41"/>
      <c r="D475" s="41"/>
      <c r="E475" s="41"/>
      <c r="F475" s="41"/>
      <c r="G475" s="41"/>
      <c r="H475" s="41"/>
      <c r="I475" s="41"/>
      <c r="J475" s="41"/>
      <c r="K475" s="41"/>
      <c r="L475" s="41"/>
      <c r="M475" s="41"/>
      <c r="N475" s="41"/>
      <c r="O475" s="41"/>
      <c r="P475" s="41"/>
      <c r="Q475" s="41"/>
      <c r="R475" s="41"/>
      <c r="S475" s="41"/>
      <c r="T475" s="41"/>
      <c r="U475" s="41"/>
      <c r="V475" s="41"/>
      <c r="W475" s="41"/>
    </row>
    <row r="476" spans="1:23" ht="19.5" hidden="1" customHeight="1" x14ac:dyDescent="0.25">
      <c r="A476" s="41"/>
      <c r="B476" s="41"/>
      <c r="C476" s="41"/>
      <c r="D476" s="41"/>
      <c r="E476" s="41"/>
      <c r="F476" s="41"/>
      <c r="G476" s="41"/>
      <c r="H476" s="41"/>
      <c r="I476" s="41"/>
      <c r="J476" s="41"/>
      <c r="K476" s="41"/>
      <c r="L476" s="41"/>
      <c r="M476" s="41"/>
      <c r="N476" s="41"/>
      <c r="O476" s="41"/>
      <c r="P476" s="41"/>
      <c r="Q476" s="41"/>
      <c r="R476" s="41"/>
      <c r="S476" s="41"/>
      <c r="T476" s="41"/>
      <c r="U476" s="41"/>
      <c r="V476" s="41"/>
      <c r="W476" s="41"/>
    </row>
    <row r="477" spans="1:23" ht="19.5" hidden="1" customHeight="1" x14ac:dyDescent="0.25">
      <c r="A477" s="41"/>
      <c r="B477" s="41"/>
      <c r="C477" s="41"/>
      <c r="D477" s="41"/>
      <c r="E477" s="41"/>
      <c r="F477" s="41"/>
      <c r="G477" s="41"/>
      <c r="H477" s="41"/>
      <c r="I477" s="41"/>
      <c r="J477" s="41"/>
      <c r="K477" s="41"/>
      <c r="L477" s="41"/>
      <c r="M477" s="41"/>
      <c r="N477" s="41"/>
      <c r="O477" s="41"/>
      <c r="P477" s="41"/>
      <c r="Q477" s="41"/>
      <c r="R477" s="41"/>
      <c r="S477" s="41"/>
      <c r="T477" s="41"/>
      <c r="U477" s="41"/>
      <c r="V477" s="41"/>
      <c r="W477" s="41"/>
    </row>
    <row r="478" spans="1:23" ht="19.5" hidden="1" customHeight="1" x14ac:dyDescent="0.25">
      <c r="A478" s="41"/>
      <c r="B478" s="41"/>
      <c r="C478" s="41"/>
      <c r="D478" s="41"/>
      <c r="E478" s="41"/>
      <c r="F478" s="41"/>
      <c r="G478" s="41"/>
      <c r="H478" s="41"/>
      <c r="I478" s="41"/>
      <c r="J478" s="41"/>
      <c r="K478" s="41"/>
      <c r="L478" s="41"/>
      <c r="M478" s="41"/>
      <c r="N478" s="41"/>
      <c r="O478" s="41"/>
      <c r="P478" s="41"/>
      <c r="Q478" s="41"/>
      <c r="R478" s="41"/>
      <c r="S478" s="41"/>
      <c r="T478" s="41"/>
      <c r="U478" s="41"/>
      <c r="V478" s="41"/>
      <c r="W478" s="41"/>
    </row>
    <row r="479" spans="1:23" ht="19.5" hidden="1" customHeight="1" x14ac:dyDescent="0.25">
      <c r="A479" s="41"/>
      <c r="B479" s="41"/>
      <c r="C479" s="41"/>
      <c r="D479" s="41"/>
      <c r="E479" s="41"/>
      <c r="F479" s="41"/>
      <c r="G479" s="41"/>
      <c r="H479" s="41"/>
      <c r="I479" s="41"/>
      <c r="J479" s="41"/>
      <c r="K479" s="41"/>
      <c r="L479" s="41"/>
      <c r="M479" s="41"/>
      <c r="N479" s="41"/>
      <c r="O479" s="41"/>
      <c r="P479" s="41"/>
      <c r="Q479" s="41"/>
      <c r="R479" s="41"/>
      <c r="S479" s="41"/>
      <c r="T479" s="41"/>
      <c r="U479" s="41"/>
      <c r="V479" s="41"/>
      <c r="W479" s="41"/>
    </row>
    <row r="480" spans="1:23" ht="19.5" hidden="1" customHeight="1" x14ac:dyDescent="0.25">
      <c r="A480" s="41"/>
      <c r="B480" s="41"/>
      <c r="C480" s="41"/>
      <c r="D480" s="41"/>
      <c r="E480" s="41"/>
      <c r="F480" s="41"/>
      <c r="G480" s="41"/>
      <c r="H480" s="41"/>
      <c r="I480" s="41"/>
      <c r="J480" s="41"/>
      <c r="K480" s="41"/>
      <c r="L480" s="41"/>
      <c r="M480" s="41"/>
      <c r="N480" s="41"/>
      <c r="O480" s="41"/>
      <c r="P480" s="41"/>
      <c r="Q480" s="41"/>
      <c r="R480" s="41"/>
      <c r="S480" s="41"/>
      <c r="T480" s="41"/>
      <c r="U480" s="41"/>
      <c r="V480" s="41"/>
      <c r="W480" s="41"/>
    </row>
    <row r="481" spans="1:23" ht="19.5" hidden="1" customHeight="1" x14ac:dyDescent="0.25">
      <c r="A481" s="41"/>
      <c r="B481" s="41"/>
      <c r="C481" s="41"/>
      <c r="D481" s="41"/>
      <c r="E481" s="41"/>
      <c r="F481" s="41"/>
      <c r="G481" s="41"/>
      <c r="H481" s="41"/>
      <c r="I481" s="41"/>
      <c r="J481" s="41"/>
      <c r="K481" s="41"/>
      <c r="L481" s="41"/>
      <c r="M481" s="41"/>
      <c r="N481" s="41"/>
      <c r="O481" s="41"/>
      <c r="P481" s="41"/>
      <c r="Q481" s="41"/>
      <c r="R481" s="41"/>
      <c r="S481" s="41"/>
      <c r="T481" s="41"/>
      <c r="U481" s="41"/>
      <c r="V481" s="41"/>
      <c r="W481" s="41"/>
    </row>
    <row r="482" spans="1:23" ht="19.5" hidden="1" customHeight="1" x14ac:dyDescent="0.25">
      <c r="A482" s="41"/>
      <c r="B482" s="41"/>
      <c r="C482" s="41"/>
      <c r="D482" s="41"/>
      <c r="E482" s="41"/>
      <c r="F482" s="41"/>
      <c r="G482" s="41"/>
      <c r="H482" s="41"/>
      <c r="I482" s="41"/>
      <c r="J482" s="41"/>
      <c r="K482" s="41"/>
      <c r="L482" s="41"/>
      <c r="M482" s="41"/>
      <c r="N482" s="41"/>
      <c r="O482" s="41"/>
      <c r="P482" s="41"/>
      <c r="Q482" s="41"/>
      <c r="R482" s="41"/>
      <c r="S482" s="41"/>
      <c r="T482" s="41"/>
      <c r="U482" s="41"/>
      <c r="V482" s="41"/>
      <c r="W482" s="41"/>
    </row>
    <row r="483" spans="1:23" ht="19.5" hidden="1" customHeight="1" x14ac:dyDescent="0.25">
      <c r="A483" s="41"/>
      <c r="B483" s="41"/>
      <c r="C483" s="41"/>
      <c r="D483" s="41"/>
      <c r="E483" s="41"/>
      <c r="F483" s="41"/>
      <c r="G483" s="41"/>
      <c r="H483" s="41"/>
      <c r="I483" s="41"/>
      <c r="J483" s="41"/>
      <c r="K483" s="41"/>
      <c r="L483" s="41"/>
      <c r="M483" s="41"/>
      <c r="N483" s="41"/>
      <c r="O483" s="41"/>
      <c r="P483" s="41"/>
      <c r="Q483" s="41"/>
      <c r="R483" s="41"/>
      <c r="S483" s="41"/>
      <c r="T483" s="41"/>
      <c r="U483" s="41"/>
      <c r="V483" s="41"/>
      <c r="W483" s="41"/>
    </row>
    <row r="484" spans="1:23" ht="19.5" hidden="1" customHeight="1" x14ac:dyDescent="0.25">
      <c r="A484" s="41"/>
      <c r="B484" s="41"/>
      <c r="C484" s="41"/>
      <c r="D484" s="41"/>
      <c r="E484" s="41"/>
      <c r="F484" s="41"/>
      <c r="G484" s="41"/>
      <c r="H484" s="41"/>
      <c r="I484" s="41"/>
      <c r="J484" s="41"/>
      <c r="K484" s="41"/>
      <c r="L484" s="41"/>
      <c r="M484" s="41"/>
      <c r="N484" s="41"/>
      <c r="O484" s="41"/>
      <c r="P484" s="41"/>
      <c r="Q484" s="41"/>
      <c r="R484" s="41"/>
      <c r="S484" s="41"/>
      <c r="T484" s="41"/>
      <c r="U484" s="41"/>
      <c r="V484" s="41"/>
      <c r="W484" s="41"/>
    </row>
    <row r="485" spans="1:23" ht="19.5" hidden="1" customHeight="1" x14ac:dyDescent="0.25">
      <c r="A485" s="41"/>
      <c r="B485" s="41"/>
      <c r="C485" s="41"/>
      <c r="D485" s="41"/>
      <c r="E485" s="41"/>
      <c r="F485" s="41"/>
      <c r="G485" s="41"/>
      <c r="H485" s="41"/>
      <c r="I485" s="41"/>
      <c r="J485" s="41"/>
      <c r="K485" s="41"/>
      <c r="L485" s="41"/>
      <c r="M485" s="41"/>
      <c r="N485" s="41"/>
      <c r="O485" s="41"/>
      <c r="P485" s="41"/>
      <c r="Q485" s="41"/>
      <c r="R485" s="41"/>
      <c r="S485" s="41"/>
      <c r="T485" s="41"/>
      <c r="U485" s="41"/>
      <c r="V485" s="41"/>
      <c r="W485" s="41"/>
    </row>
    <row r="486" spans="1:23" ht="19.5" hidden="1" customHeight="1" x14ac:dyDescent="0.25">
      <c r="A486" s="41"/>
      <c r="B486" s="41"/>
      <c r="C486" s="41"/>
      <c r="D486" s="41"/>
      <c r="E486" s="41"/>
      <c r="F486" s="41"/>
      <c r="G486" s="41"/>
      <c r="H486" s="41"/>
      <c r="I486" s="41"/>
      <c r="J486" s="41"/>
      <c r="K486" s="41"/>
      <c r="L486" s="41"/>
      <c r="M486" s="41"/>
      <c r="N486" s="41"/>
      <c r="O486" s="41"/>
      <c r="P486" s="41"/>
      <c r="Q486" s="41"/>
      <c r="R486" s="41"/>
      <c r="S486" s="41"/>
      <c r="T486" s="41"/>
      <c r="U486" s="41"/>
      <c r="V486" s="41"/>
      <c r="W486" s="41"/>
    </row>
    <row r="487" spans="1:23" ht="19.5" hidden="1" customHeight="1" x14ac:dyDescent="0.25">
      <c r="A487" s="41"/>
      <c r="B487" s="41"/>
      <c r="C487" s="41"/>
      <c r="D487" s="41"/>
      <c r="E487" s="41"/>
      <c r="F487" s="41"/>
      <c r="G487" s="41"/>
      <c r="H487" s="41"/>
      <c r="I487" s="41"/>
      <c r="J487" s="41"/>
      <c r="K487" s="41"/>
      <c r="L487" s="41"/>
      <c r="M487" s="41"/>
      <c r="N487" s="41"/>
      <c r="O487" s="41"/>
      <c r="P487" s="41"/>
      <c r="Q487" s="41"/>
      <c r="R487" s="41"/>
      <c r="S487" s="41"/>
      <c r="T487" s="41"/>
      <c r="U487" s="41"/>
      <c r="V487" s="41"/>
      <c r="W487" s="41"/>
    </row>
    <row r="488" spans="1:23" ht="19.5" hidden="1" customHeight="1" x14ac:dyDescent="0.25">
      <c r="A488" s="41"/>
      <c r="B488" s="41"/>
      <c r="C488" s="41"/>
      <c r="D488" s="41"/>
      <c r="E488" s="41"/>
      <c r="F488" s="41"/>
      <c r="G488" s="41"/>
      <c r="H488" s="41"/>
      <c r="I488" s="41"/>
      <c r="J488" s="41"/>
      <c r="K488" s="41"/>
      <c r="L488" s="41"/>
      <c r="M488" s="41"/>
      <c r="N488" s="41"/>
      <c r="O488" s="41"/>
      <c r="P488" s="41"/>
      <c r="Q488" s="41"/>
      <c r="R488" s="41"/>
      <c r="S488" s="41"/>
      <c r="T488" s="41"/>
      <c r="U488" s="41"/>
      <c r="V488" s="41"/>
      <c r="W488" s="41"/>
    </row>
    <row r="489" spans="1:23" ht="19.5" hidden="1" customHeight="1" x14ac:dyDescent="0.25">
      <c r="A489" s="41"/>
      <c r="B489" s="41"/>
      <c r="C489" s="41"/>
      <c r="D489" s="41"/>
      <c r="E489" s="41"/>
      <c r="F489" s="41"/>
      <c r="G489" s="41"/>
      <c r="H489" s="41"/>
      <c r="I489" s="41"/>
      <c r="J489" s="41"/>
      <c r="K489" s="41"/>
      <c r="L489" s="41"/>
      <c r="M489" s="41"/>
      <c r="N489" s="41"/>
      <c r="O489" s="41"/>
      <c r="P489" s="41"/>
      <c r="Q489" s="41"/>
      <c r="R489" s="41"/>
      <c r="S489" s="41"/>
      <c r="T489" s="41"/>
      <c r="U489" s="41"/>
      <c r="V489" s="41"/>
      <c r="W489" s="41"/>
    </row>
    <row r="490" spans="1:23" ht="19.5" hidden="1" customHeight="1" x14ac:dyDescent="0.25">
      <c r="A490" s="41"/>
      <c r="B490" s="41"/>
      <c r="C490" s="41"/>
      <c r="D490" s="41"/>
      <c r="E490" s="41"/>
      <c r="F490" s="41"/>
      <c r="G490" s="41"/>
      <c r="H490" s="41"/>
      <c r="I490" s="41"/>
      <c r="J490" s="41"/>
      <c r="K490" s="41"/>
      <c r="L490" s="41"/>
      <c r="M490" s="41"/>
      <c r="N490" s="41"/>
      <c r="O490" s="41"/>
      <c r="P490" s="41"/>
      <c r="Q490" s="41"/>
      <c r="R490" s="41"/>
      <c r="S490" s="41"/>
      <c r="T490" s="41"/>
      <c r="U490" s="41"/>
      <c r="V490" s="41"/>
      <c r="W490" s="41"/>
    </row>
    <row r="491" spans="1:23" ht="19.5" hidden="1" customHeight="1" x14ac:dyDescent="0.25">
      <c r="A491" s="41"/>
      <c r="B491" s="41"/>
      <c r="C491" s="41"/>
      <c r="D491" s="41"/>
      <c r="E491" s="41"/>
      <c r="F491" s="41"/>
      <c r="G491" s="41"/>
      <c r="H491" s="41"/>
      <c r="I491" s="41"/>
      <c r="J491" s="41"/>
      <c r="K491" s="41"/>
      <c r="L491" s="41"/>
      <c r="M491" s="41"/>
      <c r="N491" s="41"/>
      <c r="O491" s="41"/>
      <c r="P491" s="41"/>
      <c r="Q491" s="41"/>
      <c r="R491" s="41"/>
      <c r="S491" s="41"/>
      <c r="T491" s="41"/>
      <c r="U491" s="41"/>
      <c r="V491" s="41"/>
      <c r="W491" s="41"/>
    </row>
    <row r="492" spans="1:23" ht="19.5" hidden="1" customHeight="1" x14ac:dyDescent="0.25">
      <c r="A492" s="41"/>
      <c r="B492" s="41"/>
      <c r="C492" s="41"/>
      <c r="D492" s="41"/>
      <c r="E492" s="41"/>
      <c r="F492" s="41"/>
      <c r="G492" s="41"/>
      <c r="H492" s="41"/>
      <c r="I492" s="41"/>
      <c r="J492" s="41"/>
      <c r="K492" s="41"/>
      <c r="L492" s="41"/>
      <c r="M492" s="41"/>
      <c r="N492" s="41"/>
      <c r="O492" s="41"/>
      <c r="P492" s="41"/>
      <c r="Q492" s="41"/>
      <c r="R492" s="41"/>
      <c r="S492" s="41"/>
      <c r="T492" s="41"/>
      <c r="U492" s="41"/>
      <c r="V492" s="41"/>
      <c r="W492" s="41"/>
    </row>
    <row r="493" spans="1:23" ht="19.5" hidden="1" customHeight="1" x14ac:dyDescent="0.25">
      <c r="A493" s="41"/>
      <c r="B493" s="41"/>
      <c r="C493" s="41"/>
      <c r="D493" s="41"/>
      <c r="E493" s="41"/>
      <c r="F493" s="41"/>
      <c r="G493" s="41"/>
      <c r="H493" s="41"/>
      <c r="I493" s="41"/>
      <c r="J493" s="41"/>
      <c r="K493" s="41"/>
      <c r="L493" s="41"/>
      <c r="M493" s="41"/>
      <c r="N493" s="41"/>
      <c r="O493" s="41"/>
      <c r="P493" s="41"/>
      <c r="Q493" s="41"/>
      <c r="R493" s="41"/>
      <c r="S493" s="41"/>
      <c r="T493" s="41"/>
      <c r="U493" s="41"/>
      <c r="V493" s="41"/>
      <c r="W493" s="41"/>
    </row>
    <row r="494" spans="1:23" ht="19.5" hidden="1" customHeight="1" x14ac:dyDescent="0.25">
      <c r="A494" s="41"/>
      <c r="B494" s="41"/>
      <c r="C494" s="41"/>
      <c r="D494" s="41"/>
      <c r="E494" s="41"/>
      <c r="F494" s="41"/>
      <c r="G494" s="41"/>
      <c r="H494" s="41"/>
      <c r="I494" s="41"/>
      <c r="J494" s="41"/>
      <c r="K494" s="41"/>
      <c r="L494" s="41"/>
      <c r="M494" s="41"/>
      <c r="N494" s="41"/>
      <c r="O494" s="41"/>
      <c r="P494" s="41"/>
      <c r="Q494" s="41"/>
      <c r="R494" s="41"/>
      <c r="S494" s="41"/>
      <c r="T494" s="41"/>
      <c r="U494" s="41"/>
      <c r="V494" s="41"/>
      <c r="W494" s="41"/>
    </row>
    <row r="495" spans="1:23" ht="19.5" hidden="1" customHeight="1" x14ac:dyDescent="0.25">
      <c r="A495" s="41"/>
      <c r="B495" s="41"/>
      <c r="C495" s="41"/>
      <c r="D495" s="41"/>
      <c r="E495" s="41"/>
      <c r="F495" s="41"/>
      <c r="G495" s="41"/>
      <c r="H495" s="41"/>
      <c r="I495" s="41"/>
      <c r="J495" s="41"/>
      <c r="K495" s="41"/>
      <c r="L495" s="41"/>
      <c r="M495" s="41"/>
      <c r="N495" s="41"/>
      <c r="O495" s="41"/>
      <c r="P495" s="41"/>
      <c r="Q495" s="41"/>
      <c r="R495" s="41"/>
      <c r="S495" s="41"/>
      <c r="T495" s="41"/>
      <c r="U495" s="41"/>
      <c r="V495" s="41"/>
      <c r="W495" s="41"/>
    </row>
    <row r="496" spans="1:23" ht="19.5" hidden="1" customHeight="1" x14ac:dyDescent="0.25">
      <c r="A496" s="41"/>
      <c r="B496" s="41"/>
      <c r="C496" s="41"/>
      <c r="D496" s="41"/>
      <c r="E496" s="41"/>
      <c r="F496" s="41"/>
      <c r="G496" s="41"/>
      <c r="H496" s="41"/>
      <c r="I496" s="41"/>
      <c r="J496" s="41"/>
      <c r="K496" s="41"/>
      <c r="L496" s="41"/>
      <c r="M496" s="41"/>
      <c r="N496" s="41"/>
      <c r="O496" s="41"/>
      <c r="P496" s="41"/>
      <c r="Q496" s="41"/>
      <c r="R496" s="41"/>
      <c r="S496" s="41"/>
      <c r="T496" s="41"/>
      <c r="U496" s="41"/>
      <c r="V496" s="41"/>
      <c r="W496" s="41"/>
    </row>
    <row r="497" spans="1:23" ht="19.5" hidden="1" customHeight="1" x14ac:dyDescent="0.25">
      <c r="A497" s="41"/>
      <c r="B497" s="41"/>
      <c r="C497" s="41"/>
      <c r="D497" s="41"/>
      <c r="E497" s="41"/>
      <c r="F497" s="41"/>
      <c r="G497" s="41"/>
      <c r="H497" s="41"/>
      <c r="I497" s="41"/>
      <c r="J497" s="41"/>
      <c r="K497" s="41"/>
      <c r="L497" s="41"/>
      <c r="M497" s="41"/>
      <c r="N497" s="41"/>
      <c r="O497" s="41"/>
      <c r="P497" s="41"/>
      <c r="Q497" s="41"/>
      <c r="R497" s="41"/>
      <c r="S497" s="41"/>
      <c r="T497" s="41"/>
      <c r="U497" s="41"/>
      <c r="V497" s="41"/>
      <c r="W497" s="41"/>
    </row>
    <row r="498" spans="1:23" ht="19.5" hidden="1" customHeight="1" x14ac:dyDescent="0.25">
      <c r="A498" s="41"/>
      <c r="B498" s="41"/>
      <c r="C498" s="41"/>
      <c r="D498" s="41"/>
      <c r="E498" s="41"/>
      <c r="F498" s="41"/>
      <c r="G498" s="41"/>
      <c r="H498" s="41"/>
      <c r="I498" s="41"/>
      <c r="J498" s="41"/>
      <c r="K498" s="41"/>
      <c r="L498" s="41"/>
      <c r="M498" s="41"/>
      <c r="N498" s="41"/>
      <c r="O498" s="41"/>
      <c r="P498" s="41"/>
      <c r="Q498" s="41"/>
      <c r="R498" s="41"/>
      <c r="S498" s="41"/>
      <c r="T498" s="41"/>
      <c r="U498" s="41"/>
      <c r="V498" s="41"/>
      <c r="W498" s="41"/>
    </row>
    <row r="499" spans="1:23" ht="19.5" hidden="1" customHeight="1" x14ac:dyDescent="0.25">
      <c r="A499" s="41"/>
      <c r="B499" s="41"/>
      <c r="C499" s="41"/>
      <c r="D499" s="41"/>
      <c r="E499" s="41"/>
      <c r="F499" s="41"/>
      <c r="G499" s="41"/>
      <c r="H499" s="41"/>
      <c r="I499" s="41"/>
      <c r="J499" s="41"/>
      <c r="K499" s="41"/>
      <c r="L499" s="41"/>
      <c r="M499" s="41"/>
      <c r="N499" s="41"/>
      <c r="O499" s="41"/>
      <c r="P499" s="41"/>
      <c r="Q499" s="41"/>
      <c r="R499" s="41"/>
      <c r="S499" s="41"/>
      <c r="T499" s="41"/>
      <c r="U499" s="41"/>
      <c r="V499" s="41"/>
      <c r="W499" s="41"/>
    </row>
    <row r="500" spans="1:23" ht="19.5" hidden="1" customHeight="1" x14ac:dyDescent="0.25">
      <c r="A500" s="41"/>
      <c r="B500" s="41"/>
      <c r="C500" s="41"/>
      <c r="D500" s="41"/>
      <c r="E500" s="41"/>
      <c r="F500" s="41"/>
      <c r="G500" s="41"/>
      <c r="H500" s="41"/>
      <c r="I500" s="41"/>
      <c r="J500" s="41"/>
      <c r="K500" s="41"/>
      <c r="L500" s="41"/>
      <c r="M500" s="41"/>
      <c r="N500" s="41"/>
      <c r="O500" s="41"/>
      <c r="P500" s="41"/>
      <c r="Q500" s="41"/>
      <c r="R500" s="41"/>
      <c r="S500" s="41"/>
      <c r="T500" s="41"/>
      <c r="U500" s="41"/>
      <c r="V500" s="41"/>
      <c r="W500" s="41"/>
    </row>
    <row r="501" spans="1:23" ht="19.5" hidden="1" customHeight="1" x14ac:dyDescent="0.25">
      <c r="A501" s="41"/>
      <c r="B501" s="41"/>
      <c r="C501" s="41"/>
      <c r="D501" s="41"/>
      <c r="E501" s="41"/>
      <c r="F501" s="41"/>
      <c r="G501" s="41"/>
      <c r="H501" s="41"/>
      <c r="I501" s="41"/>
      <c r="J501" s="41"/>
      <c r="K501" s="41"/>
      <c r="L501" s="41"/>
      <c r="M501" s="41"/>
      <c r="N501" s="41"/>
      <c r="O501" s="41"/>
      <c r="P501" s="41"/>
      <c r="Q501" s="41"/>
      <c r="R501" s="41"/>
      <c r="S501" s="41"/>
      <c r="T501" s="41"/>
      <c r="U501" s="41"/>
      <c r="V501" s="41"/>
      <c r="W501" s="41"/>
    </row>
    <row r="502" spans="1:23" ht="19.5" hidden="1" customHeight="1" x14ac:dyDescent="0.25">
      <c r="A502" s="41"/>
      <c r="B502" s="41"/>
      <c r="C502" s="41"/>
      <c r="D502" s="41"/>
      <c r="E502" s="41"/>
      <c r="F502" s="41"/>
      <c r="G502" s="41"/>
      <c r="H502" s="41"/>
      <c r="I502" s="41"/>
      <c r="J502" s="41"/>
      <c r="K502" s="41"/>
      <c r="L502" s="41"/>
      <c r="M502" s="41"/>
      <c r="N502" s="41"/>
      <c r="O502" s="41"/>
      <c r="P502" s="41"/>
      <c r="Q502" s="41"/>
      <c r="R502" s="41"/>
      <c r="S502" s="41"/>
      <c r="T502" s="41"/>
      <c r="U502" s="41"/>
      <c r="V502" s="41"/>
      <c r="W502" s="41"/>
    </row>
    <row r="503" spans="1:23" ht="19.5" hidden="1" customHeight="1" x14ac:dyDescent="0.25">
      <c r="A503" s="41"/>
      <c r="B503" s="41"/>
      <c r="C503" s="41"/>
      <c r="D503" s="41"/>
      <c r="E503" s="41"/>
      <c r="F503" s="41"/>
      <c r="G503" s="41"/>
      <c r="H503" s="41"/>
      <c r="I503" s="41"/>
      <c r="J503" s="41"/>
      <c r="K503" s="41"/>
      <c r="L503" s="41"/>
      <c r="M503" s="41"/>
      <c r="N503" s="41"/>
      <c r="O503" s="41"/>
      <c r="P503" s="41"/>
      <c r="Q503" s="41"/>
      <c r="R503" s="41"/>
      <c r="S503" s="41"/>
      <c r="T503" s="41"/>
      <c r="U503" s="41"/>
      <c r="V503" s="41"/>
      <c r="W503" s="41"/>
    </row>
    <row r="504" spans="1:23" ht="19.5" hidden="1" customHeight="1" x14ac:dyDescent="0.25">
      <c r="A504" s="41"/>
      <c r="B504" s="41"/>
      <c r="C504" s="41"/>
      <c r="D504" s="41"/>
      <c r="E504" s="41"/>
      <c r="F504" s="41"/>
      <c r="G504" s="41"/>
      <c r="H504" s="41"/>
      <c r="I504" s="41"/>
      <c r="J504" s="41"/>
      <c r="K504" s="41"/>
      <c r="L504" s="41"/>
      <c r="M504" s="41"/>
      <c r="N504" s="41"/>
      <c r="O504" s="41"/>
      <c r="P504" s="41"/>
      <c r="Q504" s="41"/>
      <c r="R504" s="41"/>
      <c r="S504" s="41"/>
      <c r="T504" s="41"/>
      <c r="U504" s="41"/>
      <c r="V504" s="41"/>
      <c r="W504" s="41"/>
    </row>
    <row r="505" spans="1:23" ht="19.5" hidden="1" customHeight="1" x14ac:dyDescent="0.25">
      <c r="A505" s="41"/>
      <c r="B505" s="41"/>
      <c r="C505" s="41"/>
      <c r="D505" s="41"/>
      <c r="E505" s="41"/>
      <c r="F505" s="41"/>
      <c r="G505" s="41"/>
      <c r="H505" s="41"/>
      <c r="I505" s="41"/>
      <c r="J505" s="41"/>
      <c r="K505" s="41"/>
      <c r="L505" s="41"/>
      <c r="M505" s="41"/>
      <c r="N505" s="41"/>
      <c r="O505" s="41"/>
      <c r="P505" s="41"/>
      <c r="Q505" s="41"/>
      <c r="R505" s="41"/>
      <c r="S505" s="41"/>
      <c r="T505" s="41"/>
      <c r="U505" s="41"/>
      <c r="V505" s="41"/>
      <c r="W505" s="41"/>
    </row>
    <row r="506" spans="1:23" ht="19.5" hidden="1" customHeight="1" x14ac:dyDescent="0.25">
      <c r="A506" s="41"/>
      <c r="B506" s="41"/>
      <c r="C506" s="41"/>
      <c r="D506" s="41"/>
      <c r="E506" s="41"/>
      <c r="F506" s="41"/>
      <c r="G506" s="41"/>
      <c r="H506" s="41"/>
      <c r="I506" s="41"/>
      <c r="J506" s="41"/>
      <c r="K506" s="41"/>
      <c r="L506" s="41"/>
      <c r="M506" s="41"/>
      <c r="N506" s="41"/>
      <c r="O506" s="41"/>
      <c r="P506" s="41"/>
      <c r="Q506" s="41"/>
      <c r="R506" s="41"/>
      <c r="S506" s="41"/>
      <c r="T506" s="41"/>
      <c r="U506" s="41"/>
      <c r="V506" s="41"/>
      <c r="W506" s="41"/>
    </row>
    <row r="507" spans="1:23" ht="19.5" hidden="1" customHeight="1" x14ac:dyDescent="0.25">
      <c r="A507" s="41"/>
      <c r="B507" s="41"/>
      <c r="C507" s="41"/>
      <c r="D507" s="41"/>
      <c r="E507" s="41"/>
      <c r="F507" s="41"/>
      <c r="G507" s="41"/>
      <c r="H507" s="41"/>
      <c r="I507" s="41"/>
      <c r="J507" s="41"/>
      <c r="K507" s="41"/>
      <c r="L507" s="41"/>
      <c r="M507" s="41"/>
      <c r="N507" s="41"/>
      <c r="O507" s="41"/>
      <c r="P507" s="41"/>
      <c r="Q507" s="41"/>
      <c r="R507" s="41"/>
      <c r="S507" s="41"/>
      <c r="T507" s="41"/>
      <c r="U507" s="41"/>
      <c r="V507" s="41"/>
      <c r="W507" s="41"/>
    </row>
    <row r="508" spans="1:23" ht="19.5" hidden="1" customHeight="1" x14ac:dyDescent="0.25">
      <c r="A508" s="41"/>
      <c r="B508" s="41"/>
      <c r="C508" s="41"/>
      <c r="D508" s="41"/>
      <c r="E508" s="41"/>
      <c r="F508" s="41"/>
      <c r="G508" s="41"/>
      <c r="H508" s="41"/>
      <c r="I508" s="41"/>
      <c r="J508" s="41"/>
      <c r="K508" s="41"/>
      <c r="L508" s="41"/>
      <c r="M508" s="41"/>
      <c r="N508" s="41"/>
      <c r="O508" s="41"/>
      <c r="P508" s="41"/>
      <c r="Q508" s="41"/>
      <c r="R508" s="41"/>
      <c r="S508" s="41"/>
      <c r="T508" s="41"/>
      <c r="U508" s="41"/>
      <c r="V508" s="41"/>
      <c r="W508" s="41"/>
    </row>
    <row r="509" spans="1:23" ht="19.5" hidden="1" customHeight="1" x14ac:dyDescent="0.25">
      <c r="A509" s="41"/>
      <c r="B509" s="41"/>
      <c r="C509" s="41"/>
      <c r="D509" s="41"/>
      <c r="E509" s="41"/>
      <c r="F509" s="41"/>
      <c r="G509" s="41"/>
      <c r="H509" s="41"/>
      <c r="I509" s="41"/>
      <c r="J509" s="41"/>
      <c r="K509" s="41"/>
      <c r="L509" s="41"/>
      <c r="M509" s="41"/>
      <c r="N509" s="41"/>
      <c r="O509" s="41"/>
      <c r="P509" s="41"/>
      <c r="Q509" s="41"/>
      <c r="R509" s="41"/>
      <c r="S509" s="41"/>
      <c r="T509" s="41"/>
      <c r="U509" s="41"/>
      <c r="V509" s="41"/>
      <c r="W509" s="41"/>
    </row>
    <row r="510" spans="1:23" ht="19.5" hidden="1" customHeight="1" x14ac:dyDescent="0.25">
      <c r="A510" s="41"/>
      <c r="B510" s="41"/>
      <c r="C510" s="41"/>
      <c r="D510" s="41"/>
      <c r="E510" s="41"/>
      <c r="F510" s="41"/>
      <c r="G510" s="41"/>
      <c r="H510" s="41"/>
      <c r="I510" s="41"/>
      <c r="J510" s="41"/>
      <c r="K510" s="41"/>
      <c r="L510" s="41"/>
      <c r="M510" s="41"/>
      <c r="N510" s="41"/>
      <c r="O510" s="41"/>
      <c r="P510" s="41"/>
      <c r="Q510" s="41"/>
      <c r="R510" s="41"/>
      <c r="S510" s="41"/>
      <c r="T510" s="41"/>
      <c r="U510" s="41"/>
      <c r="V510" s="41"/>
      <c r="W510" s="41"/>
    </row>
    <row r="511" spans="1:23" ht="19.5" hidden="1" customHeight="1" x14ac:dyDescent="0.25">
      <c r="A511" s="41"/>
      <c r="B511" s="41"/>
      <c r="C511" s="41"/>
      <c r="D511" s="41"/>
      <c r="E511" s="41"/>
      <c r="F511" s="41"/>
      <c r="G511" s="41"/>
      <c r="H511" s="41"/>
      <c r="I511" s="41"/>
      <c r="J511" s="41"/>
      <c r="K511" s="41"/>
      <c r="L511" s="41"/>
      <c r="M511" s="41"/>
      <c r="N511" s="41"/>
      <c r="O511" s="41"/>
      <c r="P511" s="41"/>
      <c r="Q511" s="41"/>
      <c r="R511" s="41"/>
      <c r="S511" s="41"/>
      <c r="T511" s="41"/>
      <c r="U511" s="41"/>
      <c r="V511" s="41"/>
      <c r="W511" s="41"/>
    </row>
    <row r="512" spans="1:23" ht="19.5" hidden="1" customHeight="1" x14ac:dyDescent="0.25">
      <c r="A512" s="41"/>
      <c r="B512" s="41"/>
      <c r="C512" s="41"/>
      <c r="D512" s="41"/>
      <c r="E512" s="41"/>
      <c r="F512" s="41"/>
      <c r="G512" s="41"/>
      <c r="H512" s="41"/>
      <c r="I512" s="41"/>
      <c r="J512" s="41"/>
      <c r="K512" s="41"/>
      <c r="L512" s="41"/>
      <c r="M512" s="41"/>
      <c r="N512" s="41"/>
      <c r="O512" s="41"/>
      <c r="P512" s="41"/>
      <c r="Q512" s="41"/>
      <c r="R512" s="41"/>
      <c r="S512" s="41"/>
      <c r="T512" s="41"/>
      <c r="U512" s="41"/>
      <c r="V512" s="41"/>
      <c r="W512" s="41"/>
    </row>
    <row r="513" spans="1:23" ht="19.5" hidden="1" customHeight="1" x14ac:dyDescent="0.25">
      <c r="A513" s="41"/>
      <c r="B513" s="41"/>
      <c r="C513" s="41"/>
      <c r="D513" s="41"/>
      <c r="E513" s="41"/>
      <c r="F513" s="41"/>
      <c r="G513" s="41"/>
      <c r="H513" s="41"/>
      <c r="I513" s="41"/>
      <c r="J513" s="41"/>
      <c r="K513" s="41"/>
      <c r="L513" s="41"/>
      <c r="M513" s="41"/>
      <c r="N513" s="41"/>
      <c r="O513" s="41"/>
      <c r="P513" s="41"/>
      <c r="Q513" s="41"/>
      <c r="R513" s="41"/>
      <c r="S513" s="41"/>
      <c r="T513" s="41"/>
      <c r="U513" s="41"/>
      <c r="V513" s="41"/>
      <c r="W513" s="41"/>
    </row>
    <row r="514" spans="1:23" ht="19.5" hidden="1" customHeight="1" x14ac:dyDescent="0.25">
      <c r="A514" s="41"/>
      <c r="B514" s="41"/>
      <c r="C514" s="41"/>
      <c r="D514" s="41"/>
      <c r="E514" s="41"/>
      <c r="F514" s="41"/>
      <c r="G514" s="41"/>
      <c r="H514" s="41"/>
      <c r="I514" s="41"/>
      <c r="J514" s="41"/>
      <c r="K514" s="41"/>
      <c r="L514" s="41"/>
      <c r="M514" s="41"/>
      <c r="N514" s="41"/>
      <c r="O514" s="41"/>
      <c r="P514" s="41"/>
      <c r="Q514" s="41"/>
      <c r="R514" s="41"/>
      <c r="S514" s="41"/>
      <c r="T514" s="41"/>
      <c r="U514" s="41"/>
      <c r="V514" s="41"/>
      <c r="W514" s="41"/>
    </row>
    <row r="515" spans="1:23" ht="19.5" hidden="1" customHeight="1" x14ac:dyDescent="0.25">
      <c r="A515" s="41"/>
      <c r="B515" s="41"/>
      <c r="C515" s="41"/>
      <c r="D515" s="41"/>
      <c r="E515" s="41"/>
      <c r="F515" s="41"/>
      <c r="G515" s="41"/>
      <c r="H515" s="41"/>
      <c r="I515" s="41"/>
      <c r="J515" s="41"/>
      <c r="K515" s="41"/>
      <c r="L515" s="41"/>
      <c r="M515" s="41"/>
      <c r="N515" s="41"/>
      <c r="O515" s="41"/>
      <c r="P515" s="41"/>
      <c r="Q515" s="41"/>
      <c r="R515" s="41"/>
      <c r="S515" s="41"/>
      <c r="T515" s="41"/>
      <c r="U515" s="41"/>
      <c r="V515" s="41"/>
      <c r="W515" s="41"/>
    </row>
    <row r="516" spans="1:23" ht="19.5" hidden="1" customHeight="1" x14ac:dyDescent="0.25">
      <c r="A516" s="41"/>
      <c r="B516" s="41"/>
      <c r="C516" s="41"/>
      <c r="D516" s="41"/>
      <c r="E516" s="41"/>
      <c r="F516" s="41"/>
      <c r="G516" s="41"/>
      <c r="H516" s="41"/>
      <c r="I516" s="41"/>
      <c r="J516" s="41"/>
      <c r="K516" s="41"/>
      <c r="L516" s="41"/>
      <c r="M516" s="41"/>
      <c r="N516" s="41"/>
      <c r="O516" s="41"/>
      <c r="P516" s="41"/>
      <c r="Q516" s="41"/>
      <c r="R516" s="41"/>
      <c r="S516" s="41"/>
      <c r="T516" s="41"/>
      <c r="U516" s="41"/>
      <c r="V516" s="41"/>
      <c r="W516" s="41"/>
    </row>
    <row r="517" spans="1:23" ht="19.5" hidden="1" customHeight="1" x14ac:dyDescent="0.25">
      <c r="A517" s="41"/>
      <c r="B517" s="41"/>
      <c r="C517" s="41"/>
      <c r="D517" s="41"/>
      <c r="E517" s="41"/>
      <c r="F517" s="41"/>
      <c r="G517" s="41"/>
      <c r="H517" s="41"/>
      <c r="I517" s="41"/>
      <c r="J517" s="41"/>
      <c r="K517" s="41"/>
      <c r="L517" s="41"/>
      <c r="M517" s="41"/>
      <c r="N517" s="41"/>
      <c r="O517" s="41"/>
      <c r="P517" s="41"/>
      <c r="Q517" s="41"/>
      <c r="R517" s="41"/>
      <c r="S517" s="41"/>
      <c r="T517" s="41"/>
      <c r="U517" s="41"/>
      <c r="V517" s="41"/>
      <c r="W517" s="41"/>
    </row>
    <row r="518" spans="1:23" ht="19.5" hidden="1" customHeight="1" x14ac:dyDescent="0.25">
      <c r="A518" s="41"/>
      <c r="B518" s="41"/>
      <c r="C518" s="41"/>
      <c r="D518" s="41"/>
      <c r="E518" s="41"/>
      <c r="F518" s="41"/>
      <c r="G518" s="41"/>
      <c r="H518" s="41"/>
      <c r="I518" s="41"/>
      <c r="J518" s="41"/>
      <c r="K518" s="41"/>
      <c r="L518" s="41"/>
      <c r="M518" s="41"/>
      <c r="N518" s="41"/>
      <c r="O518" s="41"/>
      <c r="P518" s="41"/>
      <c r="Q518" s="41"/>
      <c r="R518" s="41"/>
      <c r="S518" s="41"/>
      <c r="T518" s="41"/>
      <c r="U518" s="41"/>
      <c r="V518" s="41"/>
      <c r="W518" s="41"/>
    </row>
    <row r="519" spans="1:23" ht="19.5" hidden="1" customHeight="1" x14ac:dyDescent="0.25">
      <c r="A519" s="41"/>
      <c r="B519" s="41"/>
      <c r="C519" s="41"/>
      <c r="D519" s="41"/>
      <c r="E519" s="41"/>
      <c r="F519" s="41"/>
      <c r="G519" s="41"/>
      <c r="H519" s="41"/>
      <c r="I519" s="41"/>
      <c r="J519" s="41"/>
      <c r="K519" s="41"/>
      <c r="L519" s="41"/>
      <c r="M519" s="41"/>
      <c r="N519" s="41"/>
      <c r="O519" s="41"/>
      <c r="P519" s="41"/>
      <c r="Q519" s="41"/>
      <c r="R519" s="41"/>
      <c r="S519" s="41"/>
      <c r="T519" s="41"/>
      <c r="U519" s="41"/>
      <c r="V519" s="41"/>
      <c r="W519" s="41"/>
    </row>
    <row r="520" spans="1:23" ht="19.5" hidden="1" customHeight="1" x14ac:dyDescent="0.25">
      <c r="A520" s="41"/>
      <c r="B520" s="41"/>
      <c r="C520" s="41"/>
      <c r="D520" s="41"/>
      <c r="E520" s="41"/>
      <c r="F520" s="41"/>
      <c r="G520" s="41"/>
      <c r="H520" s="41"/>
      <c r="I520" s="41"/>
      <c r="J520" s="41"/>
      <c r="K520" s="41"/>
      <c r="L520" s="41"/>
      <c r="M520" s="41"/>
      <c r="N520" s="41"/>
      <c r="O520" s="41"/>
      <c r="P520" s="41"/>
      <c r="Q520" s="41"/>
      <c r="R520" s="41"/>
      <c r="S520" s="41"/>
      <c r="T520" s="41"/>
      <c r="U520" s="41"/>
      <c r="V520" s="41"/>
      <c r="W520" s="41"/>
    </row>
    <row r="521" spans="1:23" ht="19.5" hidden="1" customHeight="1" x14ac:dyDescent="0.25">
      <c r="A521" s="41"/>
      <c r="B521" s="41"/>
      <c r="C521" s="41"/>
      <c r="D521" s="41"/>
      <c r="E521" s="41"/>
      <c r="F521" s="41"/>
      <c r="G521" s="41"/>
      <c r="H521" s="41"/>
      <c r="I521" s="41"/>
      <c r="J521" s="41"/>
      <c r="K521" s="41"/>
      <c r="L521" s="41"/>
      <c r="M521" s="41"/>
      <c r="N521" s="41"/>
      <c r="O521" s="41"/>
      <c r="P521" s="41"/>
      <c r="Q521" s="41"/>
      <c r="R521" s="41"/>
      <c r="S521" s="41"/>
      <c r="T521" s="41"/>
      <c r="U521" s="41"/>
      <c r="V521" s="41"/>
      <c r="W521" s="41"/>
    </row>
    <row r="522" spans="1:23" ht="19.5" hidden="1" customHeight="1" x14ac:dyDescent="0.25">
      <c r="A522" s="41"/>
      <c r="B522" s="41"/>
      <c r="C522" s="41"/>
      <c r="D522" s="41"/>
      <c r="E522" s="41"/>
      <c r="F522" s="41"/>
      <c r="G522" s="41"/>
      <c r="H522" s="41"/>
      <c r="I522" s="41"/>
      <c r="J522" s="41"/>
      <c r="K522" s="41"/>
      <c r="L522" s="41"/>
      <c r="M522" s="41"/>
      <c r="N522" s="41"/>
      <c r="O522" s="41"/>
      <c r="P522" s="41"/>
      <c r="Q522" s="41"/>
      <c r="R522" s="41"/>
      <c r="S522" s="41"/>
      <c r="T522" s="41"/>
      <c r="U522" s="41"/>
      <c r="V522" s="41"/>
      <c r="W522" s="41"/>
    </row>
    <row r="523" spans="1:23" ht="19.5" hidden="1" customHeight="1" x14ac:dyDescent="0.25">
      <c r="A523" s="41"/>
      <c r="B523" s="41"/>
      <c r="C523" s="41"/>
      <c r="D523" s="41"/>
      <c r="E523" s="41"/>
      <c r="F523" s="41"/>
      <c r="G523" s="41"/>
      <c r="H523" s="41"/>
      <c r="I523" s="41"/>
      <c r="J523" s="41"/>
      <c r="K523" s="41"/>
      <c r="L523" s="41"/>
      <c r="M523" s="41"/>
      <c r="N523" s="41"/>
      <c r="O523" s="41"/>
      <c r="P523" s="41"/>
      <c r="Q523" s="41"/>
      <c r="R523" s="41"/>
      <c r="S523" s="41"/>
      <c r="T523" s="41"/>
      <c r="U523" s="41"/>
      <c r="V523" s="41"/>
      <c r="W523" s="41"/>
    </row>
    <row r="524" spans="1:23" ht="19.5" hidden="1" customHeight="1" x14ac:dyDescent="0.25">
      <c r="A524" s="41"/>
      <c r="B524" s="41"/>
      <c r="C524" s="41"/>
      <c r="D524" s="41"/>
      <c r="E524" s="41"/>
      <c r="F524" s="41"/>
      <c r="G524" s="41"/>
      <c r="H524" s="41"/>
      <c r="I524" s="41"/>
      <c r="J524" s="41"/>
      <c r="K524" s="41"/>
      <c r="L524" s="41"/>
      <c r="M524" s="41"/>
      <c r="N524" s="41"/>
      <c r="O524" s="41"/>
      <c r="P524" s="41"/>
      <c r="Q524" s="41"/>
      <c r="R524" s="41"/>
      <c r="S524" s="41"/>
      <c r="T524" s="41"/>
      <c r="U524" s="41"/>
      <c r="V524" s="41"/>
      <c r="W524" s="41"/>
    </row>
    <row r="525" spans="1:23" ht="19.5" hidden="1" customHeight="1" x14ac:dyDescent="0.25">
      <c r="A525" s="41"/>
      <c r="B525" s="41"/>
      <c r="C525" s="41"/>
      <c r="D525" s="41"/>
      <c r="E525" s="41"/>
      <c r="F525" s="41"/>
      <c r="G525" s="41"/>
      <c r="H525" s="41"/>
      <c r="I525" s="41"/>
      <c r="J525" s="41"/>
      <c r="K525" s="41"/>
      <c r="L525" s="41"/>
      <c r="M525" s="41"/>
      <c r="N525" s="41"/>
      <c r="O525" s="41"/>
      <c r="P525" s="41"/>
      <c r="Q525" s="41"/>
      <c r="R525" s="41"/>
      <c r="S525" s="41"/>
      <c r="T525" s="41"/>
      <c r="U525" s="41"/>
      <c r="V525" s="41"/>
      <c r="W525" s="41"/>
    </row>
    <row r="526" spans="1:23" ht="19.5" hidden="1" customHeight="1" x14ac:dyDescent="0.25">
      <c r="A526" s="41"/>
      <c r="B526" s="41"/>
      <c r="C526" s="41"/>
      <c r="D526" s="41"/>
      <c r="E526" s="41"/>
      <c r="F526" s="41"/>
      <c r="G526" s="41"/>
      <c r="H526" s="41"/>
      <c r="I526" s="41"/>
      <c r="J526" s="41"/>
      <c r="K526" s="41"/>
      <c r="L526" s="41"/>
      <c r="M526" s="41"/>
      <c r="N526" s="41"/>
      <c r="O526" s="41"/>
      <c r="P526" s="41"/>
      <c r="Q526" s="41"/>
      <c r="R526" s="41"/>
      <c r="S526" s="41"/>
      <c r="T526" s="41"/>
      <c r="U526" s="41"/>
      <c r="V526" s="41"/>
      <c r="W526" s="41"/>
    </row>
    <row r="527" spans="1:23" ht="19.5" hidden="1" customHeight="1" x14ac:dyDescent="0.25">
      <c r="A527" s="41"/>
      <c r="B527" s="41"/>
      <c r="C527" s="41"/>
      <c r="D527" s="41"/>
      <c r="E527" s="41"/>
      <c r="F527" s="41"/>
      <c r="G527" s="41"/>
      <c r="H527" s="41"/>
      <c r="I527" s="41"/>
      <c r="J527" s="41"/>
      <c r="K527" s="41"/>
      <c r="L527" s="41"/>
      <c r="M527" s="41"/>
      <c r="N527" s="41"/>
      <c r="O527" s="41"/>
      <c r="P527" s="41"/>
      <c r="Q527" s="41"/>
      <c r="R527" s="41"/>
      <c r="S527" s="41"/>
      <c r="T527" s="41"/>
      <c r="U527" s="41"/>
      <c r="V527" s="41"/>
      <c r="W527" s="41"/>
    </row>
    <row r="528" spans="1:23" ht="19.5" hidden="1" customHeight="1" x14ac:dyDescent="0.25">
      <c r="A528" s="41"/>
      <c r="B528" s="41"/>
      <c r="C528" s="41"/>
      <c r="D528" s="41"/>
      <c r="E528" s="41"/>
      <c r="F528" s="41"/>
      <c r="G528" s="41"/>
      <c r="H528" s="41"/>
      <c r="I528" s="41"/>
      <c r="J528" s="41"/>
      <c r="K528" s="41"/>
      <c r="L528" s="41"/>
      <c r="M528" s="41"/>
      <c r="N528" s="41"/>
      <c r="O528" s="41"/>
      <c r="P528" s="41"/>
      <c r="Q528" s="41"/>
      <c r="R528" s="41"/>
      <c r="S528" s="41"/>
      <c r="T528" s="41"/>
      <c r="U528" s="41"/>
      <c r="V528" s="41"/>
      <c r="W528" s="41"/>
    </row>
    <row r="529" spans="1:23" ht="19.5" hidden="1" customHeight="1" x14ac:dyDescent="0.25">
      <c r="A529" s="41"/>
      <c r="B529" s="41"/>
      <c r="C529" s="41"/>
      <c r="D529" s="41"/>
      <c r="E529" s="41"/>
      <c r="F529" s="41"/>
      <c r="G529" s="41"/>
      <c r="H529" s="41"/>
      <c r="I529" s="41"/>
      <c r="J529" s="41"/>
      <c r="K529" s="41"/>
      <c r="L529" s="41"/>
      <c r="M529" s="41"/>
      <c r="N529" s="41"/>
      <c r="O529" s="41"/>
      <c r="P529" s="41"/>
      <c r="Q529" s="41"/>
      <c r="R529" s="41"/>
      <c r="S529" s="41"/>
      <c r="T529" s="41"/>
      <c r="U529" s="41"/>
      <c r="V529" s="41"/>
      <c r="W529" s="41"/>
    </row>
    <row r="530" spans="1:23" ht="19.5" hidden="1" customHeight="1" x14ac:dyDescent="0.25">
      <c r="A530" s="41"/>
      <c r="B530" s="41"/>
      <c r="C530" s="41"/>
      <c r="D530" s="41"/>
      <c r="E530" s="41"/>
      <c r="F530" s="41"/>
      <c r="G530" s="41"/>
      <c r="H530" s="41"/>
      <c r="I530" s="41"/>
      <c r="J530" s="41"/>
      <c r="K530" s="41"/>
      <c r="L530" s="41"/>
      <c r="M530" s="41"/>
      <c r="N530" s="41"/>
      <c r="O530" s="41"/>
      <c r="P530" s="41"/>
      <c r="Q530" s="41"/>
      <c r="R530" s="41"/>
      <c r="S530" s="41"/>
      <c r="T530" s="41"/>
      <c r="U530" s="41"/>
      <c r="V530" s="41"/>
      <c r="W530" s="41"/>
    </row>
    <row r="531" spans="1:23" ht="19.5" hidden="1" customHeight="1" x14ac:dyDescent="0.25">
      <c r="A531" s="41"/>
      <c r="B531" s="41"/>
      <c r="C531" s="41"/>
      <c r="D531" s="41"/>
      <c r="E531" s="41"/>
      <c r="F531" s="41"/>
      <c r="G531" s="41"/>
      <c r="H531" s="41"/>
      <c r="I531" s="41"/>
      <c r="J531" s="41"/>
      <c r="K531" s="41"/>
      <c r="L531" s="41"/>
      <c r="M531" s="41"/>
      <c r="N531" s="41"/>
      <c r="O531" s="41"/>
      <c r="P531" s="41"/>
      <c r="Q531" s="41"/>
      <c r="R531" s="41"/>
      <c r="S531" s="41"/>
      <c r="T531" s="41"/>
      <c r="U531" s="41"/>
      <c r="V531" s="41"/>
      <c r="W531" s="41"/>
    </row>
    <row r="532" spans="1:23" ht="19.5" hidden="1" customHeight="1" x14ac:dyDescent="0.25">
      <c r="A532" s="41"/>
      <c r="B532" s="41"/>
      <c r="C532" s="41"/>
      <c r="D532" s="41"/>
      <c r="E532" s="41"/>
      <c r="F532" s="41"/>
      <c r="G532" s="41"/>
      <c r="H532" s="41"/>
      <c r="I532" s="41"/>
      <c r="J532" s="41"/>
      <c r="K532" s="41"/>
      <c r="L532" s="41"/>
      <c r="M532" s="41"/>
      <c r="N532" s="41"/>
      <c r="O532" s="41"/>
      <c r="P532" s="41"/>
      <c r="Q532" s="41"/>
      <c r="R532" s="41"/>
      <c r="S532" s="41"/>
      <c r="T532" s="41"/>
      <c r="U532" s="41"/>
      <c r="V532" s="41"/>
      <c r="W532" s="41"/>
    </row>
    <row r="533" spans="1:23" ht="19.5" hidden="1" customHeight="1" x14ac:dyDescent="0.25">
      <c r="A533" s="41"/>
      <c r="B533" s="41"/>
      <c r="C533" s="41"/>
      <c r="D533" s="41"/>
      <c r="E533" s="41"/>
      <c r="F533" s="41"/>
      <c r="G533" s="41"/>
      <c r="H533" s="41"/>
      <c r="I533" s="41"/>
      <c r="J533" s="41"/>
      <c r="K533" s="41"/>
      <c r="L533" s="41"/>
      <c r="M533" s="41"/>
      <c r="N533" s="41"/>
      <c r="O533" s="41"/>
      <c r="P533" s="41"/>
      <c r="Q533" s="41"/>
      <c r="R533" s="41"/>
      <c r="S533" s="41"/>
      <c r="T533" s="41"/>
      <c r="U533" s="41"/>
      <c r="V533" s="41"/>
      <c r="W533" s="41"/>
    </row>
    <row r="534" spans="1:23" ht="19.5" hidden="1" customHeight="1" x14ac:dyDescent="0.25">
      <c r="A534" s="41"/>
      <c r="B534" s="41"/>
      <c r="C534" s="41"/>
      <c r="D534" s="41"/>
      <c r="E534" s="41"/>
      <c r="F534" s="41"/>
      <c r="G534" s="41"/>
      <c r="H534" s="41"/>
      <c r="I534" s="41"/>
      <c r="J534" s="41"/>
      <c r="K534" s="41"/>
      <c r="L534" s="41"/>
      <c r="M534" s="41"/>
      <c r="N534" s="41"/>
      <c r="O534" s="41"/>
      <c r="P534" s="41"/>
      <c r="Q534" s="41"/>
      <c r="R534" s="41"/>
      <c r="S534" s="41"/>
      <c r="T534" s="41"/>
      <c r="U534" s="41"/>
      <c r="V534" s="41"/>
      <c r="W534" s="41"/>
    </row>
    <row r="535" spans="1:23" ht="19.5" hidden="1" customHeight="1" x14ac:dyDescent="0.25">
      <c r="A535" s="41"/>
      <c r="B535" s="41"/>
      <c r="C535" s="41"/>
      <c r="D535" s="41"/>
      <c r="E535" s="41"/>
      <c r="F535" s="41"/>
      <c r="G535" s="41"/>
      <c r="H535" s="41"/>
      <c r="I535" s="41"/>
      <c r="J535" s="41"/>
      <c r="K535" s="41"/>
      <c r="L535" s="41"/>
      <c r="M535" s="41"/>
      <c r="N535" s="41"/>
      <c r="O535" s="41"/>
      <c r="P535" s="41"/>
      <c r="Q535" s="41"/>
      <c r="R535" s="41"/>
      <c r="S535" s="41"/>
      <c r="T535" s="41"/>
      <c r="U535" s="41"/>
      <c r="V535" s="41"/>
      <c r="W535" s="41"/>
    </row>
    <row r="536" spans="1:23" ht="19.5" hidden="1" customHeight="1" x14ac:dyDescent="0.25">
      <c r="A536" s="41"/>
      <c r="B536" s="41"/>
      <c r="C536" s="41"/>
      <c r="D536" s="41"/>
      <c r="E536" s="41"/>
      <c r="F536" s="41"/>
      <c r="G536" s="41"/>
      <c r="H536" s="41"/>
      <c r="I536" s="41"/>
      <c r="J536" s="41"/>
      <c r="K536" s="41"/>
      <c r="L536" s="41"/>
      <c r="M536" s="41"/>
      <c r="N536" s="41"/>
      <c r="O536" s="41"/>
      <c r="P536" s="41"/>
      <c r="Q536" s="41"/>
      <c r="R536" s="41"/>
      <c r="S536" s="41"/>
      <c r="T536" s="41"/>
      <c r="U536" s="41"/>
      <c r="V536" s="41"/>
      <c r="W536" s="41"/>
    </row>
    <row r="537" spans="1:23" ht="19.5" hidden="1" customHeight="1" x14ac:dyDescent="0.25">
      <c r="A537" s="41"/>
      <c r="B537" s="41"/>
      <c r="C537" s="41"/>
      <c r="D537" s="41"/>
      <c r="E537" s="41"/>
      <c r="F537" s="41"/>
      <c r="G537" s="41"/>
      <c r="H537" s="41"/>
      <c r="I537" s="41"/>
      <c r="J537" s="41"/>
      <c r="K537" s="41"/>
      <c r="L537" s="41"/>
      <c r="M537" s="41"/>
      <c r="N537" s="41"/>
      <c r="O537" s="41"/>
      <c r="P537" s="41"/>
      <c r="Q537" s="41"/>
      <c r="R537" s="41"/>
      <c r="S537" s="41"/>
      <c r="T537" s="41"/>
      <c r="U537" s="41"/>
      <c r="V537" s="41"/>
      <c r="W537" s="41"/>
    </row>
    <row r="538" spans="1:23" ht="19.5" hidden="1" customHeight="1" x14ac:dyDescent="0.25">
      <c r="A538" s="41"/>
      <c r="B538" s="41"/>
      <c r="C538" s="41"/>
      <c r="D538" s="41"/>
      <c r="E538" s="41"/>
      <c r="F538" s="41"/>
      <c r="G538" s="41"/>
      <c r="H538" s="41"/>
      <c r="I538" s="41"/>
      <c r="J538" s="41"/>
      <c r="K538" s="41"/>
      <c r="L538" s="41"/>
      <c r="M538" s="41"/>
      <c r="N538" s="41"/>
      <c r="O538" s="41"/>
      <c r="P538" s="41"/>
      <c r="Q538" s="41"/>
      <c r="R538" s="41"/>
      <c r="S538" s="41"/>
      <c r="T538" s="41"/>
      <c r="U538" s="41"/>
      <c r="V538" s="41"/>
      <c r="W538" s="41"/>
    </row>
    <row r="539" spans="1:23" ht="19.5" hidden="1" customHeight="1" x14ac:dyDescent="0.25">
      <c r="A539" s="41"/>
      <c r="B539" s="41"/>
      <c r="C539" s="41"/>
      <c r="D539" s="41"/>
      <c r="E539" s="41"/>
      <c r="F539" s="41"/>
      <c r="G539" s="41"/>
      <c r="H539" s="41"/>
      <c r="I539" s="41"/>
      <c r="J539" s="41"/>
      <c r="K539" s="41"/>
      <c r="L539" s="41"/>
      <c r="M539" s="41"/>
      <c r="N539" s="41"/>
      <c r="O539" s="41"/>
      <c r="P539" s="41"/>
      <c r="Q539" s="41"/>
      <c r="R539" s="41"/>
      <c r="S539" s="41"/>
      <c r="T539" s="41"/>
      <c r="U539" s="41"/>
      <c r="V539" s="41"/>
      <c r="W539" s="41"/>
    </row>
    <row r="540" spans="1:23" ht="19.5" hidden="1" customHeight="1" x14ac:dyDescent="0.25">
      <c r="A540" s="41"/>
      <c r="B540" s="41"/>
      <c r="C540" s="41"/>
      <c r="D540" s="41"/>
      <c r="E540" s="41"/>
      <c r="F540" s="41"/>
      <c r="G540" s="41"/>
      <c r="H540" s="41"/>
      <c r="I540" s="41"/>
      <c r="J540" s="41"/>
      <c r="K540" s="41"/>
      <c r="L540" s="41"/>
      <c r="M540" s="41"/>
      <c r="N540" s="41"/>
      <c r="O540" s="41"/>
      <c r="P540" s="41"/>
      <c r="Q540" s="41"/>
      <c r="R540" s="41"/>
      <c r="S540" s="41"/>
      <c r="T540" s="41"/>
      <c r="U540" s="41"/>
      <c r="V540" s="41"/>
      <c r="W540" s="41"/>
    </row>
    <row r="541" spans="1:23" ht="19.5" hidden="1" customHeight="1" x14ac:dyDescent="0.25">
      <c r="A541" s="41"/>
      <c r="B541" s="41"/>
      <c r="C541" s="41"/>
      <c r="D541" s="41"/>
      <c r="E541" s="41"/>
      <c r="F541" s="41"/>
      <c r="G541" s="41"/>
      <c r="H541" s="41"/>
      <c r="I541" s="41"/>
      <c r="J541" s="41"/>
      <c r="K541" s="41"/>
      <c r="L541" s="41"/>
      <c r="M541" s="41"/>
      <c r="N541" s="41"/>
      <c r="O541" s="41"/>
      <c r="P541" s="41"/>
      <c r="Q541" s="41"/>
      <c r="R541" s="41"/>
      <c r="S541" s="41"/>
      <c r="T541" s="41"/>
      <c r="U541" s="41"/>
      <c r="V541" s="41"/>
      <c r="W541" s="41"/>
    </row>
    <row r="542" spans="1:23" ht="19.5" hidden="1" customHeight="1" x14ac:dyDescent="0.25">
      <c r="A542" s="41"/>
      <c r="B542" s="41"/>
      <c r="C542" s="41"/>
      <c r="D542" s="41"/>
      <c r="E542" s="41"/>
      <c r="F542" s="41"/>
      <c r="G542" s="41"/>
      <c r="H542" s="41"/>
      <c r="I542" s="41"/>
      <c r="J542" s="41"/>
      <c r="K542" s="41"/>
      <c r="L542" s="41"/>
      <c r="M542" s="41"/>
      <c r="N542" s="41"/>
      <c r="O542" s="41"/>
      <c r="P542" s="41"/>
      <c r="Q542" s="41"/>
      <c r="R542" s="41"/>
      <c r="S542" s="41"/>
      <c r="T542" s="41"/>
      <c r="U542" s="41"/>
      <c r="V542" s="41"/>
      <c r="W542" s="41"/>
    </row>
    <row r="543" spans="1:23" ht="19.5" hidden="1" customHeight="1" x14ac:dyDescent="0.25">
      <c r="A543" s="41"/>
      <c r="B543" s="41"/>
      <c r="C543" s="41"/>
      <c r="D543" s="41"/>
      <c r="E543" s="41"/>
      <c r="F543" s="41"/>
      <c r="G543" s="41"/>
      <c r="H543" s="41"/>
      <c r="I543" s="41"/>
      <c r="J543" s="41"/>
      <c r="K543" s="41"/>
      <c r="L543" s="41"/>
      <c r="M543" s="41"/>
      <c r="N543" s="41"/>
      <c r="O543" s="41"/>
      <c r="P543" s="41"/>
      <c r="Q543" s="41"/>
      <c r="R543" s="41"/>
      <c r="S543" s="41"/>
      <c r="T543" s="41"/>
      <c r="U543" s="41"/>
      <c r="V543" s="41"/>
      <c r="W543" s="41"/>
    </row>
    <row r="544" spans="1:23" ht="19.5" hidden="1" customHeight="1" x14ac:dyDescent="0.25">
      <c r="A544" s="41"/>
      <c r="B544" s="41"/>
      <c r="C544" s="41"/>
      <c r="D544" s="41"/>
      <c r="E544" s="41"/>
      <c r="F544" s="41"/>
      <c r="G544" s="41"/>
      <c r="H544" s="41"/>
      <c r="I544" s="41"/>
      <c r="J544" s="41"/>
      <c r="K544" s="41"/>
      <c r="L544" s="41"/>
      <c r="M544" s="41"/>
      <c r="N544" s="41"/>
      <c r="O544" s="41"/>
      <c r="P544" s="41"/>
      <c r="Q544" s="41"/>
      <c r="R544" s="41"/>
      <c r="S544" s="41"/>
      <c r="T544" s="41"/>
      <c r="U544" s="41"/>
      <c r="V544" s="41"/>
      <c r="W544" s="41"/>
    </row>
    <row r="545" spans="1:23" ht="19.5" hidden="1" customHeight="1" x14ac:dyDescent="0.25">
      <c r="A545" s="41"/>
      <c r="B545" s="41"/>
      <c r="C545" s="41"/>
      <c r="D545" s="41"/>
      <c r="E545" s="41"/>
      <c r="F545" s="41"/>
      <c r="G545" s="41"/>
      <c r="H545" s="41"/>
      <c r="I545" s="41"/>
      <c r="J545" s="41"/>
      <c r="K545" s="41"/>
      <c r="L545" s="41"/>
      <c r="M545" s="41"/>
      <c r="N545" s="41"/>
      <c r="O545" s="41"/>
      <c r="P545" s="41"/>
      <c r="Q545" s="41"/>
      <c r="R545" s="41"/>
      <c r="S545" s="41"/>
      <c r="T545" s="41"/>
      <c r="U545" s="41"/>
      <c r="V545" s="41"/>
      <c r="W545" s="41"/>
    </row>
    <row r="546" spans="1:23" ht="19.5" hidden="1" customHeight="1" x14ac:dyDescent="0.25">
      <c r="A546" s="41"/>
      <c r="B546" s="41"/>
      <c r="C546" s="41"/>
      <c r="D546" s="41"/>
      <c r="E546" s="41"/>
      <c r="F546" s="41"/>
      <c r="G546" s="41"/>
      <c r="H546" s="41"/>
      <c r="I546" s="41"/>
      <c r="J546" s="41"/>
      <c r="K546" s="41"/>
      <c r="L546" s="41"/>
      <c r="M546" s="41"/>
      <c r="N546" s="41"/>
      <c r="O546" s="41"/>
      <c r="P546" s="41"/>
      <c r="Q546" s="41"/>
      <c r="R546" s="41"/>
      <c r="S546" s="41"/>
      <c r="T546" s="41"/>
      <c r="U546" s="41"/>
      <c r="V546" s="41"/>
      <c r="W546" s="41"/>
    </row>
    <row r="547" spans="1:23" ht="19.5" hidden="1" customHeight="1" x14ac:dyDescent="0.25">
      <c r="A547" s="41"/>
      <c r="B547" s="41"/>
      <c r="C547" s="41"/>
      <c r="D547" s="41"/>
      <c r="E547" s="41"/>
      <c r="F547" s="41"/>
      <c r="G547" s="41"/>
      <c r="H547" s="41"/>
      <c r="I547" s="41"/>
      <c r="J547" s="41"/>
      <c r="K547" s="41"/>
      <c r="L547" s="41"/>
      <c r="M547" s="41"/>
      <c r="N547" s="41"/>
      <c r="O547" s="41"/>
      <c r="P547" s="41"/>
      <c r="Q547" s="41"/>
      <c r="R547" s="41"/>
      <c r="S547" s="41"/>
      <c r="T547" s="41"/>
      <c r="U547" s="41"/>
      <c r="V547" s="41"/>
      <c r="W547" s="41"/>
    </row>
    <row r="548" spans="1:23" ht="19.5" hidden="1" customHeight="1" x14ac:dyDescent="0.25">
      <c r="A548" s="41"/>
      <c r="B548" s="41"/>
      <c r="C548" s="41"/>
      <c r="D548" s="41"/>
      <c r="E548" s="41"/>
      <c r="F548" s="41"/>
      <c r="G548" s="41"/>
      <c r="H548" s="41"/>
      <c r="I548" s="41"/>
      <c r="J548" s="41"/>
      <c r="K548" s="41"/>
      <c r="L548" s="41"/>
      <c r="M548" s="41"/>
      <c r="N548" s="41"/>
      <c r="O548" s="41"/>
      <c r="P548" s="41"/>
      <c r="Q548" s="41"/>
      <c r="R548" s="41"/>
      <c r="S548" s="41"/>
      <c r="T548" s="41"/>
      <c r="U548" s="41"/>
      <c r="V548" s="41"/>
      <c r="W548" s="41"/>
    </row>
    <row r="549" spans="1:23" ht="19.5" hidden="1" customHeight="1" x14ac:dyDescent="0.25">
      <c r="A549" s="41"/>
      <c r="B549" s="41"/>
      <c r="C549" s="41"/>
      <c r="D549" s="41"/>
      <c r="E549" s="41"/>
      <c r="F549" s="41"/>
      <c r="G549" s="41"/>
      <c r="H549" s="41"/>
      <c r="I549" s="41"/>
      <c r="J549" s="41"/>
      <c r="K549" s="41"/>
      <c r="L549" s="41"/>
      <c r="M549" s="41"/>
      <c r="N549" s="41"/>
      <c r="O549" s="41"/>
      <c r="P549" s="41"/>
      <c r="Q549" s="41"/>
      <c r="R549" s="41"/>
      <c r="S549" s="41"/>
      <c r="T549" s="41"/>
      <c r="U549" s="41"/>
      <c r="V549" s="41"/>
      <c r="W549" s="41"/>
    </row>
    <row r="550" spans="1:23" ht="19.5" hidden="1" customHeight="1" x14ac:dyDescent="0.25">
      <c r="A550" s="41"/>
      <c r="B550" s="41"/>
      <c r="C550" s="41"/>
      <c r="D550" s="41"/>
      <c r="E550" s="41"/>
      <c r="F550" s="41"/>
      <c r="G550" s="41"/>
      <c r="H550" s="41"/>
      <c r="I550" s="41"/>
      <c r="J550" s="41"/>
      <c r="K550" s="41"/>
      <c r="L550" s="41"/>
      <c r="M550" s="41"/>
      <c r="N550" s="41"/>
      <c r="O550" s="41"/>
      <c r="P550" s="41"/>
      <c r="Q550" s="41"/>
      <c r="R550" s="41"/>
      <c r="S550" s="41"/>
      <c r="T550" s="41"/>
      <c r="U550" s="41"/>
      <c r="V550" s="41"/>
      <c r="W550" s="41"/>
    </row>
    <row r="551" spans="1:23" ht="19.5" hidden="1" customHeight="1" x14ac:dyDescent="0.25">
      <c r="A551" s="41"/>
      <c r="B551" s="41"/>
      <c r="C551" s="41"/>
      <c r="D551" s="41"/>
      <c r="E551" s="41"/>
      <c r="F551" s="41"/>
      <c r="G551" s="41"/>
      <c r="H551" s="41"/>
      <c r="I551" s="41"/>
      <c r="J551" s="41"/>
      <c r="K551" s="41"/>
      <c r="L551" s="41"/>
      <c r="M551" s="41"/>
      <c r="N551" s="41"/>
      <c r="O551" s="41"/>
      <c r="P551" s="41"/>
      <c r="Q551" s="41"/>
      <c r="R551" s="41"/>
      <c r="S551" s="41"/>
      <c r="T551" s="41"/>
      <c r="U551" s="41"/>
      <c r="V551" s="41"/>
      <c r="W551" s="41"/>
    </row>
    <row r="552" spans="1:23" ht="19.5" hidden="1" customHeight="1" x14ac:dyDescent="0.25">
      <c r="A552" s="41"/>
      <c r="B552" s="41"/>
      <c r="C552" s="41"/>
      <c r="D552" s="41"/>
      <c r="E552" s="41"/>
      <c r="F552" s="41"/>
      <c r="G552" s="41"/>
      <c r="H552" s="41"/>
      <c r="I552" s="41"/>
      <c r="J552" s="41"/>
      <c r="K552" s="41"/>
      <c r="L552" s="41"/>
      <c r="M552" s="41"/>
      <c r="N552" s="41"/>
      <c r="O552" s="41"/>
      <c r="P552" s="41"/>
      <c r="Q552" s="41"/>
      <c r="R552" s="41"/>
      <c r="S552" s="41"/>
      <c r="T552" s="41"/>
      <c r="U552" s="41"/>
      <c r="V552" s="41"/>
      <c r="W552" s="41"/>
    </row>
    <row r="553" spans="1:23" ht="19.5" hidden="1" customHeight="1" x14ac:dyDescent="0.25">
      <c r="A553" s="41"/>
      <c r="B553" s="41"/>
      <c r="C553" s="41"/>
      <c r="D553" s="41"/>
      <c r="E553" s="41"/>
      <c r="F553" s="41"/>
      <c r="G553" s="41"/>
      <c r="H553" s="41"/>
      <c r="I553" s="41"/>
      <c r="J553" s="41"/>
      <c r="K553" s="41"/>
      <c r="L553" s="41"/>
      <c r="M553" s="41"/>
      <c r="N553" s="41"/>
      <c r="O553" s="41"/>
      <c r="P553" s="41"/>
      <c r="Q553" s="41"/>
      <c r="R553" s="41"/>
      <c r="S553" s="41"/>
      <c r="T553" s="41"/>
      <c r="U553" s="41"/>
      <c r="V553" s="41"/>
      <c r="W553" s="41"/>
    </row>
    <row r="554" spans="1:23" ht="19.5" hidden="1" customHeight="1" x14ac:dyDescent="0.25">
      <c r="A554" s="41"/>
      <c r="B554" s="41"/>
      <c r="C554" s="41"/>
      <c r="D554" s="41"/>
      <c r="E554" s="41"/>
      <c r="F554" s="41"/>
      <c r="G554" s="41"/>
      <c r="H554" s="41"/>
      <c r="I554" s="41"/>
      <c r="J554" s="41"/>
      <c r="K554" s="41"/>
      <c r="L554" s="41"/>
      <c r="M554" s="41"/>
      <c r="N554" s="41"/>
      <c r="O554" s="41"/>
      <c r="P554" s="41"/>
      <c r="Q554" s="41"/>
      <c r="R554" s="41"/>
      <c r="S554" s="41"/>
      <c r="T554" s="41"/>
      <c r="U554" s="41"/>
      <c r="V554" s="41"/>
      <c r="W554" s="41"/>
    </row>
    <row r="555" spans="1:23" ht="19.5" hidden="1" customHeight="1" x14ac:dyDescent="0.25">
      <c r="A555" s="41"/>
      <c r="B555" s="41"/>
      <c r="C555" s="41"/>
      <c r="D555" s="41"/>
      <c r="E555" s="41"/>
      <c r="F555" s="41"/>
      <c r="G555" s="41"/>
      <c r="H555" s="41"/>
      <c r="I555" s="41"/>
      <c r="J555" s="41"/>
      <c r="K555" s="41"/>
      <c r="L555" s="41"/>
      <c r="M555" s="41"/>
      <c r="N555" s="41"/>
      <c r="O555" s="41"/>
      <c r="P555" s="41"/>
      <c r="Q555" s="41"/>
      <c r="R555" s="41"/>
      <c r="S555" s="41"/>
      <c r="T555" s="41"/>
      <c r="U555" s="41"/>
      <c r="V555" s="41"/>
      <c r="W555" s="41"/>
    </row>
    <row r="556" spans="1:23" ht="19.5" hidden="1" customHeight="1" x14ac:dyDescent="0.25">
      <c r="A556" s="41"/>
      <c r="B556" s="41"/>
      <c r="C556" s="41"/>
      <c r="D556" s="41"/>
      <c r="E556" s="41"/>
      <c r="F556" s="41"/>
      <c r="G556" s="41"/>
      <c r="H556" s="41"/>
      <c r="I556" s="41"/>
      <c r="J556" s="41"/>
      <c r="K556" s="41"/>
      <c r="L556" s="41"/>
      <c r="M556" s="41"/>
      <c r="N556" s="41"/>
      <c r="O556" s="41"/>
      <c r="P556" s="41"/>
      <c r="Q556" s="41"/>
      <c r="R556" s="41"/>
      <c r="S556" s="41"/>
      <c r="T556" s="41"/>
      <c r="U556" s="41"/>
      <c r="V556" s="41"/>
      <c r="W556" s="41"/>
    </row>
    <row r="557" spans="1:23" ht="19.5" hidden="1" customHeight="1" x14ac:dyDescent="0.25">
      <c r="A557" s="41"/>
      <c r="B557" s="41"/>
      <c r="C557" s="41"/>
      <c r="D557" s="41"/>
      <c r="E557" s="41"/>
      <c r="F557" s="41"/>
      <c r="G557" s="41"/>
      <c r="H557" s="41"/>
      <c r="I557" s="41"/>
      <c r="J557" s="41"/>
      <c r="K557" s="41"/>
      <c r="L557" s="41"/>
      <c r="M557" s="41"/>
      <c r="N557" s="41"/>
      <c r="O557" s="41"/>
      <c r="P557" s="41"/>
      <c r="Q557" s="41"/>
      <c r="R557" s="41"/>
      <c r="S557" s="41"/>
      <c r="T557" s="41"/>
      <c r="U557" s="41"/>
      <c r="V557" s="41"/>
      <c r="W557" s="41"/>
    </row>
    <row r="558" spans="1:23" ht="19.5" hidden="1" customHeight="1" x14ac:dyDescent="0.25">
      <c r="A558" s="41"/>
      <c r="B558" s="41"/>
      <c r="C558" s="41"/>
      <c r="D558" s="41"/>
      <c r="E558" s="41"/>
      <c r="F558" s="41"/>
      <c r="G558" s="41"/>
      <c r="H558" s="41"/>
      <c r="I558" s="41"/>
      <c r="J558" s="41"/>
      <c r="K558" s="41"/>
      <c r="L558" s="41"/>
      <c r="M558" s="41"/>
      <c r="N558" s="41"/>
      <c r="O558" s="41"/>
      <c r="P558" s="41"/>
      <c r="Q558" s="41"/>
      <c r="R558" s="41"/>
      <c r="S558" s="41"/>
      <c r="T558" s="41"/>
      <c r="U558" s="41"/>
      <c r="V558" s="41"/>
      <c r="W558" s="41"/>
    </row>
    <row r="559" spans="1:23" ht="19.5" hidden="1" customHeight="1" x14ac:dyDescent="0.25">
      <c r="A559" s="41"/>
      <c r="B559" s="41"/>
      <c r="C559" s="41"/>
      <c r="D559" s="41"/>
      <c r="E559" s="41"/>
      <c r="F559" s="41"/>
      <c r="G559" s="41"/>
      <c r="H559" s="41"/>
      <c r="I559" s="41"/>
      <c r="J559" s="41"/>
      <c r="K559" s="41"/>
      <c r="L559" s="41"/>
      <c r="M559" s="41"/>
      <c r="N559" s="41"/>
      <c r="O559" s="41"/>
      <c r="P559" s="41"/>
      <c r="Q559" s="41"/>
      <c r="R559" s="41"/>
      <c r="S559" s="41"/>
      <c r="T559" s="41"/>
      <c r="U559" s="41"/>
      <c r="V559" s="41"/>
      <c r="W559" s="41"/>
    </row>
    <row r="560" spans="1:23" ht="19.5" hidden="1" customHeight="1" x14ac:dyDescent="0.25">
      <c r="A560" s="41"/>
      <c r="B560" s="41"/>
      <c r="C560" s="41"/>
      <c r="D560" s="41"/>
      <c r="E560" s="41"/>
      <c r="F560" s="41"/>
      <c r="G560" s="41"/>
      <c r="H560" s="41"/>
      <c r="I560" s="41"/>
      <c r="J560" s="41"/>
      <c r="K560" s="41"/>
      <c r="L560" s="41"/>
      <c r="M560" s="41"/>
      <c r="N560" s="41"/>
      <c r="O560" s="41"/>
      <c r="P560" s="41"/>
      <c r="Q560" s="41"/>
      <c r="R560" s="41"/>
      <c r="S560" s="41"/>
      <c r="T560" s="41"/>
      <c r="U560" s="41"/>
      <c r="V560" s="41"/>
      <c r="W560" s="41"/>
    </row>
    <row r="561" spans="1:23" ht="19.5" hidden="1" customHeight="1" x14ac:dyDescent="0.25">
      <c r="A561" s="41"/>
      <c r="B561" s="41"/>
      <c r="C561" s="41"/>
      <c r="D561" s="41"/>
      <c r="E561" s="41"/>
      <c r="F561" s="41"/>
      <c r="G561" s="41"/>
      <c r="H561" s="41"/>
      <c r="I561" s="41"/>
      <c r="J561" s="41"/>
      <c r="K561" s="41"/>
      <c r="L561" s="41"/>
      <c r="M561" s="41"/>
      <c r="N561" s="41"/>
      <c r="O561" s="41"/>
      <c r="P561" s="41"/>
      <c r="Q561" s="41"/>
      <c r="R561" s="41"/>
      <c r="S561" s="41"/>
      <c r="T561" s="41"/>
      <c r="U561" s="41"/>
      <c r="V561" s="41"/>
      <c r="W561" s="41"/>
    </row>
    <row r="562" spans="1:23" ht="19.5" hidden="1" customHeight="1" x14ac:dyDescent="0.25">
      <c r="A562" s="41"/>
      <c r="B562" s="41"/>
      <c r="C562" s="41"/>
      <c r="D562" s="41"/>
      <c r="E562" s="41"/>
      <c r="F562" s="41"/>
      <c r="G562" s="41"/>
      <c r="H562" s="41"/>
      <c r="I562" s="41"/>
      <c r="J562" s="41"/>
      <c r="K562" s="41"/>
      <c r="L562" s="41"/>
      <c r="M562" s="41"/>
      <c r="N562" s="41"/>
      <c r="O562" s="41"/>
      <c r="P562" s="41"/>
      <c r="Q562" s="41"/>
      <c r="R562" s="41"/>
      <c r="S562" s="41"/>
      <c r="T562" s="41"/>
      <c r="U562" s="41"/>
      <c r="V562" s="41"/>
      <c r="W562" s="41"/>
    </row>
    <row r="563" spans="1:23" ht="19.5" hidden="1" customHeight="1" x14ac:dyDescent="0.25">
      <c r="A563" s="41"/>
      <c r="B563" s="41"/>
      <c r="C563" s="41"/>
      <c r="D563" s="41"/>
      <c r="E563" s="41"/>
      <c r="F563" s="41"/>
      <c r="G563" s="41"/>
      <c r="H563" s="41"/>
      <c r="I563" s="41"/>
      <c r="J563" s="41"/>
      <c r="K563" s="41"/>
      <c r="L563" s="41"/>
      <c r="M563" s="41"/>
      <c r="N563" s="41"/>
      <c r="O563" s="41"/>
      <c r="P563" s="41"/>
      <c r="Q563" s="41"/>
      <c r="R563" s="41"/>
      <c r="S563" s="41"/>
      <c r="T563" s="41"/>
      <c r="U563" s="41"/>
      <c r="V563" s="41"/>
      <c r="W563" s="41"/>
    </row>
    <row r="564" spans="1:23" ht="19.5" hidden="1" customHeight="1" x14ac:dyDescent="0.25">
      <c r="A564" s="41"/>
      <c r="B564" s="41"/>
      <c r="C564" s="41"/>
      <c r="D564" s="41"/>
      <c r="E564" s="41"/>
      <c r="F564" s="41"/>
      <c r="G564" s="41"/>
      <c r="H564" s="41"/>
      <c r="I564" s="41"/>
      <c r="J564" s="41"/>
      <c r="K564" s="41"/>
      <c r="L564" s="41"/>
      <c r="M564" s="41"/>
      <c r="N564" s="41"/>
      <c r="O564" s="41"/>
      <c r="P564" s="41"/>
      <c r="Q564" s="41"/>
      <c r="R564" s="41"/>
      <c r="S564" s="41"/>
      <c r="T564" s="41"/>
      <c r="U564" s="41"/>
      <c r="V564" s="41"/>
      <c r="W564" s="41"/>
    </row>
    <row r="565" spans="1:23" ht="19.5" hidden="1" customHeight="1" x14ac:dyDescent="0.25">
      <c r="A565" s="41"/>
      <c r="B565" s="41"/>
      <c r="C565" s="41"/>
      <c r="D565" s="41"/>
      <c r="E565" s="41"/>
      <c r="F565" s="41"/>
      <c r="G565" s="41"/>
      <c r="H565" s="41"/>
      <c r="I565" s="41"/>
      <c r="J565" s="41"/>
      <c r="K565" s="41"/>
      <c r="L565" s="41"/>
      <c r="M565" s="41"/>
      <c r="N565" s="41"/>
      <c r="O565" s="41"/>
      <c r="P565" s="41"/>
      <c r="Q565" s="41"/>
      <c r="R565" s="41"/>
      <c r="S565" s="41"/>
      <c r="T565" s="41"/>
      <c r="U565" s="41"/>
      <c r="V565" s="41"/>
      <c r="W565" s="41"/>
    </row>
    <row r="566" spans="1:23" ht="19.5" hidden="1" customHeight="1" x14ac:dyDescent="0.25">
      <c r="A566" s="41"/>
      <c r="B566" s="41"/>
      <c r="C566" s="41"/>
      <c r="D566" s="41"/>
      <c r="E566" s="41"/>
      <c r="F566" s="41"/>
      <c r="G566" s="41"/>
      <c r="H566" s="41"/>
      <c r="I566" s="41"/>
      <c r="J566" s="41"/>
      <c r="K566" s="41"/>
      <c r="L566" s="41"/>
      <c r="M566" s="41"/>
      <c r="N566" s="41"/>
      <c r="O566" s="41"/>
      <c r="P566" s="41"/>
      <c r="Q566" s="41"/>
      <c r="R566" s="41"/>
      <c r="S566" s="41"/>
      <c r="T566" s="41"/>
      <c r="U566" s="41"/>
      <c r="V566" s="41"/>
      <c r="W566" s="41"/>
    </row>
    <row r="567" spans="1:23" ht="19.5" hidden="1" customHeight="1" x14ac:dyDescent="0.25">
      <c r="A567" s="41"/>
      <c r="B567" s="41"/>
      <c r="C567" s="41"/>
      <c r="D567" s="41"/>
      <c r="E567" s="41"/>
      <c r="F567" s="41"/>
      <c r="G567" s="41"/>
      <c r="H567" s="41"/>
      <c r="I567" s="41"/>
      <c r="J567" s="41"/>
      <c r="K567" s="41"/>
      <c r="L567" s="41"/>
      <c r="M567" s="41"/>
      <c r="N567" s="41"/>
      <c r="O567" s="41"/>
      <c r="P567" s="41"/>
      <c r="Q567" s="41"/>
      <c r="R567" s="41"/>
      <c r="S567" s="41"/>
      <c r="T567" s="41"/>
      <c r="U567" s="41"/>
      <c r="V567" s="41"/>
      <c r="W567" s="41"/>
    </row>
    <row r="568" spans="1:23" ht="19.5" hidden="1" customHeight="1" x14ac:dyDescent="0.25">
      <c r="A568" s="41"/>
      <c r="B568" s="41"/>
      <c r="C568" s="41"/>
      <c r="D568" s="41"/>
      <c r="E568" s="41"/>
      <c r="F568" s="41"/>
      <c r="G568" s="41"/>
      <c r="H568" s="41"/>
      <c r="I568" s="41"/>
      <c r="J568" s="41"/>
      <c r="K568" s="41"/>
      <c r="L568" s="41"/>
      <c r="M568" s="41"/>
      <c r="N568" s="41"/>
      <c r="O568" s="41"/>
      <c r="P568" s="41"/>
      <c r="Q568" s="41"/>
      <c r="R568" s="41"/>
      <c r="S568" s="41"/>
      <c r="T568" s="41"/>
      <c r="U568" s="41"/>
      <c r="V568" s="41"/>
      <c r="W568" s="41"/>
    </row>
    <row r="569" spans="1:23" ht="19.5" hidden="1" customHeight="1" x14ac:dyDescent="0.25">
      <c r="A569" s="41"/>
      <c r="B569" s="41"/>
      <c r="C569" s="41"/>
      <c r="D569" s="41"/>
      <c r="E569" s="41"/>
      <c r="F569" s="41"/>
      <c r="G569" s="41"/>
      <c r="H569" s="41"/>
      <c r="I569" s="41"/>
      <c r="J569" s="41"/>
      <c r="K569" s="41"/>
      <c r="L569" s="41"/>
      <c r="M569" s="41"/>
      <c r="N569" s="41"/>
      <c r="O569" s="41"/>
      <c r="P569" s="41"/>
      <c r="Q569" s="41"/>
      <c r="R569" s="41"/>
      <c r="S569" s="41"/>
      <c r="T569" s="41"/>
      <c r="U569" s="41"/>
      <c r="V569" s="41"/>
      <c r="W569" s="41"/>
    </row>
    <row r="570" spans="1:23" ht="19.5" hidden="1" customHeight="1" x14ac:dyDescent="0.25">
      <c r="A570" s="41"/>
      <c r="B570" s="41"/>
      <c r="C570" s="41"/>
      <c r="D570" s="41"/>
      <c r="E570" s="41"/>
      <c r="F570" s="41"/>
      <c r="G570" s="41"/>
      <c r="H570" s="41"/>
      <c r="I570" s="41"/>
      <c r="J570" s="41"/>
      <c r="K570" s="41"/>
      <c r="L570" s="41"/>
      <c r="M570" s="41"/>
      <c r="N570" s="41"/>
      <c r="O570" s="41"/>
      <c r="P570" s="41"/>
      <c r="Q570" s="41"/>
      <c r="R570" s="41"/>
      <c r="S570" s="41"/>
      <c r="T570" s="41"/>
      <c r="U570" s="41"/>
      <c r="V570" s="41"/>
      <c r="W570" s="41"/>
    </row>
    <row r="571" spans="1:23" ht="19.5" hidden="1" customHeight="1" x14ac:dyDescent="0.25">
      <c r="A571" s="41"/>
      <c r="B571" s="41"/>
      <c r="C571" s="41"/>
      <c r="D571" s="41"/>
      <c r="E571" s="41"/>
      <c r="F571" s="41"/>
      <c r="G571" s="41"/>
      <c r="H571" s="41"/>
      <c r="I571" s="41"/>
      <c r="J571" s="41"/>
      <c r="K571" s="41"/>
      <c r="L571" s="41"/>
      <c r="M571" s="41"/>
      <c r="N571" s="41"/>
      <c r="O571" s="41"/>
      <c r="P571" s="41"/>
      <c r="Q571" s="41"/>
      <c r="R571" s="41"/>
      <c r="S571" s="41"/>
      <c r="T571" s="41"/>
      <c r="U571" s="41"/>
      <c r="V571" s="41"/>
      <c r="W571" s="41"/>
    </row>
    <row r="572" spans="1:23" ht="19.5" hidden="1" customHeight="1" x14ac:dyDescent="0.25">
      <c r="A572" s="41"/>
      <c r="B572" s="41"/>
      <c r="C572" s="41"/>
      <c r="D572" s="41"/>
      <c r="E572" s="41"/>
      <c r="F572" s="41"/>
      <c r="G572" s="41"/>
      <c r="H572" s="41"/>
      <c r="I572" s="41"/>
      <c r="J572" s="41"/>
      <c r="K572" s="41"/>
      <c r="L572" s="41"/>
      <c r="M572" s="41"/>
      <c r="N572" s="41"/>
      <c r="O572" s="41"/>
      <c r="P572" s="41"/>
      <c r="Q572" s="41"/>
      <c r="R572" s="41"/>
      <c r="S572" s="41"/>
      <c r="T572" s="41"/>
      <c r="U572" s="41"/>
      <c r="V572" s="41"/>
      <c r="W572" s="41"/>
    </row>
    <row r="573" spans="1:23" ht="19.5" hidden="1" customHeight="1" x14ac:dyDescent="0.25">
      <c r="A573" s="41"/>
      <c r="B573" s="41"/>
      <c r="C573" s="41"/>
      <c r="D573" s="41"/>
      <c r="E573" s="41"/>
      <c r="F573" s="41"/>
      <c r="G573" s="41"/>
      <c r="H573" s="41"/>
      <c r="I573" s="41"/>
      <c r="J573" s="41"/>
      <c r="K573" s="41"/>
      <c r="L573" s="41"/>
      <c r="M573" s="41"/>
      <c r="N573" s="41"/>
      <c r="O573" s="41"/>
      <c r="P573" s="41"/>
      <c r="Q573" s="41"/>
      <c r="R573" s="41"/>
      <c r="S573" s="41"/>
      <c r="T573" s="41"/>
      <c r="U573" s="41"/>
      <c r="V573" s="41"/>
      <c r="W573" s="41"/>
    </row>
    <row r="574" spans="1:23" ht="19.5" hidden="1" customHeight="1" x14ac:dyDescent="0.25">
      <c r="A574" s="41"/>
      <c r="B574" s="41"/>
      <c r="C574" s="41"/>
      <c r="D574" s="41"/>
      <c r="E574" s="41"/>
      <c r="F574" s="41"/>
      <c r="G574" s="41"/>
      <c r="H574" s="41"/>
      <c r="I574" s="41"/>
      <c r="J574" s="41"/>
      <c r="K574" s="41"/>
      <c r="L574" s="41"/>
      <c r="M574" s="41"/>
      <c r="N574" s="41"/>
      <c r="O574" s="41"/>
      <c r="P574" s="41"/>
      <c r="Q574" s="41"/>
      <c r="R574" s="41"/>
      <c r="S574" s="41"/>
      <c r="T574" s="41"/>
      <c r="U574" s="41"/>
      <c r="V574" s="41"/>
      <c r="W574" s="41"/>
    </row>
    <row r="575" spans="1:23" ht="19.5" hidden="1" customHeight="1" x14ac:dyDescent="0.25">
      <c r="A575" s="41"/>
      <c r="B575" s="41"/>
      <c r="C575" s="41"/>
      <c r="D575" s="41"/>
      <c r="E575" s="41"/>
      <c r="F575" s="41"/>
      <c r="G575" s="41"/>
      <c r="H575" s="41"/>
      <c r="I575" s="41"/>
      <c r="J575" s="41"/>
      <c r="K575" s="41"/>
      <c r="L575" s="41"/>
      <c r="M575" s="41"/>
      <c r="N575" s="41"/>
      <c r="O575" s="41"/>
      <c r="P575" s="41"/>
      <c r="Q575" s="41"/>
      <c r="R575" s="41"/>
      <c r="S575" s="41"/>
      <c r="T575" s="41"/>
      <c r="U575" s="41"/>
      <c r="V575" s="41"/>
      <c r="W575" s="41"/>
    </row>
    <row r="576" spans="1:23" ht="19.5" hidden="1" customHeight="1" x14ac:dyDescent="0.25">
      <c r="A576" s="41"/>
      <c r="B576" s="41"/>
      <c r="C576" s="41"/>
      <c r="D576" s="41"/>
      <c r="E576" s="41"/>
      <c r="F576" s="41"/>
      <c r="G576" s="41"/>
      <c r="H576" s="41"/>
      <c r="I576" s="41"/>
      <c r="J576" s="41"/>
      <c r="K576" s="41"/>
      <c r="L576" s="41"/>
      <c r="M576" s="41"/>
      <c r="N576" s="41"/>
      <c r="O576" s="41"/>
      <c r="P576" s="41"/>
      <c r="Q576" s="41"/>
      <c r="R576" s="41"/>
      <c r="S576" s="41"/>
      <c r="T576" s="41"/>
      <c r="U576" s="41"/>
      <c r="V576" s="41"/>
      <c r="W576" s="41"/>
    </row>
    <row r="577" spans="1:23" ht="19.5" hidden="1" customHeight="1" x14ac:dyDescent="0.25">
      <c r="A577" s="41"/>
      <c r="B577" s="41"/>
      <c r="C577" s="41"/>
      <c r="D577" s="41"/>
      <c r="E577" s="41"/>
      <c r="F577" s="41"/>
      <c r="G577" s="41"/>
      <c r="H577" s="41"/>
      <c r="I577" s="41"/>
      <c r="J577" s="41"/>
      <c r="K577" s="41"/>
      <c r="L577" s="41"/>
      <c r="M577" s="41"/>
      <c r="N577" s="41"/>
      <c r="O577" s="41"/>
      <c r="P577" s="41"/>
      <c r="Q577" s="41"/>
      <c r="R577" s="41"/>
      <c r="S577" s="41"/>
      <c r="T577" s="41"/>
      <c r="U577" s="41"/>
      <c r="V577" s="41"/>
      <c r="W577" s="41"/>
    </row>
    <row r="578" spans="1:23" ht="19.5" hidden="1" customHeight="1" x14ac:dyDescent="0.25">
      <c r="A578" s="41"/>
      <c r="B578" s="41"/>
      <c r="C578" s="41"/>
      <c r="D578" s="41"/>
      <c r="E578" s="41"/>
      <c r="F578" s="41"/>
      <c r="G578" s="41"/>
      <c r="H578" s="41"/>
      <c r="I578" s="41"/>
      <c r="J578" s="41"/>
      <c r="K578" s="41"/>
      <c r="L578" s="41"/>
      <c r="M578" s="41"/>
      <c r="N578" s="41"/>
      <c r="O578" s="41"/>
      <c r="P578" s="41"/>
      <c r="Q578" s="41"/>
      <c r="R578" s="41"/>
      <c r="S578" s="41"/>
      <c r="T578" s="41"/>
      <c r="U578" s="41"/>
      <c r="V578" s="41"/>
      <c r="W578" s="41"/>
    </row>
    <row r="579" spans="1:23" ht="19.5" hidden="1" customHeight="1" x14ac:dyDescent="0.25">
      <c r="A579" s="41"/>
      <c r="B579" s="41"/>
      <c r="C579" s="41"/>
      <c r="D579" s="41"/>
      <c r="E579" s="41"/>
      <c r="F579" s="41"/>
      <c r="G579" s="41"/>
      <c r="H579" s="41"/>
      <c r="I579" s="41"/>
      <c r="J579" s="41"/>
      <c r="K579" s="41"/>
      <c r="L579" s="41"/>
      <c r="M579" s="41"/>
      <c r="N579" s="41"/>
      <c r="O579" s="41"/>
      <c r="P579" s="41"/>
      <c r="Q579" s="41"/>
      <c r="R579" s="41"/>
      <c r="S579" s="41"/>
      <c r="T579" s="41"/>
      <c r="U579" s="41"/>
      <c r="V579" s="41"/>
      <c r="W579" s="41"/>
    </row>
    <row r="580" spans="1:23" ht="19.5" hidden="1" customHeight="1" x14ac:dyDescent="0.25">
      <c r="A580" s="41"/>
      <c r="B580" s="41"/>
      <c r="C580" s="41"/>
      <c r="D580" s="41"/>
      <c r="E580" s="41"/>
      <c r="F580" s="41"/>
      <c r="G580" s="41"/>
      <c r="H580" s="41"/>
      <c r="I580" s="41"/>
      <c r="J580" s="41"/>
      <c r="K580" s="41"/>
      <c r="L580" s="41"/>
      <c r="M580" s="41"/>
      <c r="N580" s="41"/>
      <c r="O580" s="41"/>
      <c r="P580" s="41"/>
      <c r="Q580" s="41"/>
      <c r="R580" s="41"/>
      <c r="S580" s="41"/>
      <c r="T580" s="41"/>
      <c r="U580" s="41"/>
      <c r="V580" s="41"/>
      <c r="W580" s="41"/>
    </row>
    <row r="581" spans="1:23" ht="19.5" hidden="1" customHeight="1" x14ac:dyDescent="0.25">
      <c r="A581" s="41"/>
      <c r="B581" s="41"/>
      <c r="C581" s="41"/>
      <c r="D581" s="41"/>
      <c r="E581" s="41"/>
      <c r="F581" s="41"/>
      <c r="G581" s="41"/>
      <c r="H581" s="41"/>
      <c r="I581" s="41"/>
      <c r="J581" s="41"/>
      <c r="K581" s="41"/>
      <c r="L581" s="41"/>
      <c r="M581" s="41"/>
      <c r="N581" s="41"/>
      <c r="O581" s="41"/>
      <c r="P581" s="41"/>
      <c r="Q581" s="41"/>
      <c r="R581" s="41"/>
      <c r="S581" s="41"/>
      <c r="T581" s="41"/>
      <c r="U581" s="41"/>
      <c r="V581" s="41"/>
      <c r="W581" s="41"/>
    </row>
    <row r="582" spans="1:23" ht="19.5" hidden="1" customHeight="1" x14ac:dyDescent="0.25">
      <c r="A582" s="41"/>
      <c r="B582" s="41"/>
      <c r="C582" s="41"/>
      <c r="D582" s="41"/>
      <c r="E582" s="41"/>
      <c r="F582" s="41"/>
      <c r="G582" s="41"/>
      <c r="H582" s="41"/>
      <c r="I582" s="41"/>
      <c r="J582" s="41"/>
      <c r="K582" s="41"/>
      <c r="L582" s="41"/>
      <c r="M582" s="41"/>
      <c r="N582" s="41"/>
      <c r="O582" s="41"/>
      <c r="P582" s="41"/>
      <c r="Q582" s="41"/>
      <c r="R582" s="41"/>
      <c r="S582" s="41"/>
      <c r="T582" s="41"/>
      <c r="U582" s="41"/>
      <c r="V582" s="41"/>
      <c r="W582" s="41"/>
    </row>
    <row r="583" spans="1:23" ht="19.5" hidden="1" customHeight="1" x14ac:dyDescent="0.25">
      <c r="A583" s="41"/>
      <c r="B583" s="41"/>
      <c r="C583" s="41"/>
      <c r="D583" s="41"/>
      <c r="E583" s="41"/>
      <c r="F583" s="41"/>
      <c r="G583" s="41"/>
      <c r="H583" s="41"/>
      <c r="I583" s="41"/>
      <c r="J583" s="41"/>
      <c r="K583" s="41"/>
      <c r="L583" s="41"/>
      <c r="M583" s="41"/>
      <c r="N583" s="41"/>
      <c r="O583" s="41"/>
      <c r="P583" s="41"/>
      <c r="Q583" s="41"/>
      <c r="R583" s="41"/>
      <c r="S583" s="41"/>
      <c r="T583" s="41"/>
      <c r="U583" s="41"/>
      <c r="V583" s="41"/>
      <c r="W583" s="41"/>
    </row>
    <row r="584" spans="1:23" ht="19.5" hidden="1" customHeight="1" x14ac:dyDescent="0.25">
      <c r="A584" s="41"/>
      <c r="B584" s="41"/>
      <c r="C584" s="41"/>
      <c r="D584" s="41"/>
      <c r="E584" s="41"/>
      <c r="F584" s="41"/>
      <c r="G584" s="41"/>
      <c r="H584" s="41"/>
      <c r="I584" s="41"/>
      <c r="J584" s="41"/>
      <c r="K584" s="41"/>
      <c r="L584" s="41"/>
      <c r="M584" s="41"/>
      <c r="N584" s="41"/>
      <c r="O584" s="41"/>
      <c r="P584" s="41"/>
      <c r="Q584" s="41"/>
      <c r="R584" s="41"/>
      <c r="S584" s="41"/>
      <c r="T584" s="41"/>
      <c r="U584" s="41"/>
      <c r="V584" s="41"/>
      <c r="W584" s="41"/>
    </row>
    <row r="585" spans="1:23" ht="19.5" hidden="1" customHeight="1" x14ac:dyDescent="0.25">
      <c r="A585" s="41"/>
      <c r="B585" s="41"/>
      <c r="C585" s="41"/>
      <c r="D585" s="41"/>
      <c r="E585" s="41"/>
      <c r="F585" s="41"/>
      <c r="G585" s="41"/>
      <c r="H585" s="41"/>
      <c r="I585" s="41"/>
      <c r="J585" s="41"/>
      <c r="K585" s="41"/>
      <c r="L585" s="41"/>
      <c r="M585" s="41"/>
      <c r="N585" s="41"/>
      <c r="O585" s="41"/>
      <c r="P585" s="41"/>
      <c r="Q585" s="41"/>
      <c r="R585" s="41"/>
      <c r="S585" s="41"/>
      <c r="T585" s="41"/>
      <c r="U585" s="41"/>
      <c r="V585" s="41"/>
      <c r="W585" s="41"/>
    </row>
    <row r="586" spans="1:23" ht="19.5" hidden="1" customHeight="1" x14ac:dyDescent="0.25">
      <c r="A586" s="41"/>
      <c r="B586" s="41"/>
      <c r="C586" s="41"/>
      <c r="D586" s="41"/>
      <c r="E586" s="41"/>
      <c r="F586" s="41"/>
      <c r="G586" s="41"/>
      <c r="H586" s="41"/>
      <c r="I586" s="41"/>
      <c r="J586" s="41"/>
      <c r="K586" s="41"/>
      <c r="L586" s="41"/>
      <c r="M586" s="41"/>
      <c r="N586" s="41"/>
      <c r="O586" s="41"/>
      <c r="P586" s="41"/>
      <c r="Q586" s="41"/>
      <c r="R586" s="41"/>
      <c r="S586" s="41"/>
      <c r="T586" s="41"/>
      <c r="U586" s="41"/>
      <c r="V586" s="41"/>
      <c r="W586" s="41"/>
    </row>
    <row r="587" spans="1:23" ht="19.5" hidden="1" customHeight="1" x14ac:dyDescent="0.25">
      <c r="A587" s="41"/>
      <c r="B587" s="41"/>
      <c r="C587" s="41"/>
      <c r="D587" s="41"/>
      <c r="E587" s="41"/>
      <c r="F587" s="41"/>
      <c r="G587" s="41"/>
      <c r="H587" s="41"/>
      <c r="I587" s="41"/>
      <c r="J587" s="41"/>
      <c r="K587" s="41"/>
      <c r="L587" s="41"/>
      <c r="M587" s="41"/>
      <c r="N587" s="41"/>
      <c r="O587" s="41"/>
      <c r="P587" s="41"/>
      <c r="Q587" s="41"/>
      <c r="R587" s="41"/>
      <c r="S587" s="41"/>
      <c r="T587" s="41"/>
      <c r="U587" s="41"/>
      <c r="V587" s="41"/>
      <c r="W587" s="41"/>
    </row>
    <row r="588" spans="1:23" ht="19.5" hidden="1" customHeight="1" x14ac:dyDescent="0.25">
      <c r="A588" s="41"/>
      <c r="B588" s="41"/>
      <c r="C588" s="41"/>
      <c r="D588" s="41"/>
      <c r="E588" s="41"/>
      <c r="F588" s="41"/>
      <c r="G588" s="41"/>
      <c r="H588" s="41"/>
      <c r="I588" s="41"/>
      <c r="J588" s="41"/>
      <c r="K588" s="41"/>
      <c r="L588" s="41"/>
      <c r="M588" s="41"/>
      <c r="N588" s="41"/>
      <c r="O588" s="41"/>
      <c r="P588" s="41"/>
      <c r="Q588" s="41"/>
      <c r="R588" s="41"/>
      <c r="S588" s="41"/>
      <c r="T588" s="41"/>
      <c r="U588" s="41"/>
      <c r="V588" s="41"/>
      <c r="W588" s="41"/>
    </row>
    <row r="589" spans="1:23" ht="19.5" hidden="1" customHeight="1" x14ac:dyDescent="0.25">
      <c r="A589" s="41"/>
      <c r="B589" s="41"/>
      <c r="C589" s="41"/>
      <c r="D589" s="41"/>
      <c r="E589" s="41"/>
      <c r="F589" s="41"/>
      <c r="G589" s="41"/>
      <c r="H589" s="41"/>
      <c r="I589" s="41"/>
      <c r="J589" s="41"/>
      <c r="K589" s="41"/>
      <c r="L589" s="41"/>
      <c r="M589" s="41"/>
      <c r="N589" s="41"/>
      <c r="O589" s="41"/>
      <c r="P589" s="41"/>
      <c r="Q589" s="41"/>
      <c r="R589" s="41"/>
      <c r="S589" s="41"/>
      <c r="T589" s="41"/>
      <c r="U589" s="41"/>
      <c r="V589" s="41"/>
      <c r="W589" s="41"/>
    </row>
    <row r="590" spans="1:23" ht="19.5" hidden="1" customHeight="1" x14ac:dyDescent="0.25">
      <c r="A590" s="41"/>
      <c r="B590" s="41"/>
      <c r="C590" s="41"/>
      <c r="D590" s="41"/>
      <c r="E590" s="41"/>
      <c r="F590" s="41"/>
      <c r="G590" s="41"/>
      <c r="H590" s="41"/>
      <c r="I590" s="41"/>
      <c r="J590" s="41"/>
      <c r="K590" s="41"/>
      <c r="L590" s="41"/>
      <c r="M590" s="41"/>
      <c r="N590" s="41"/>
      <c r="O590" s="41"/>
      <c r="P590" s="41"/>
      <c r="Q590" s="41"/>
      <c r="R590" s="41"/>
      <c r="S590" s="41"/>
      <c r="T590" s="41"/>
      <c r="U590" s="41"/>
      <c r="V590" s="41"/>
      <c r="W590" s="41"/>
    </row>
    <row r="591" spans="1:23" ht="19.5" hidden="1" customHeight="1" x14ac:dyDescent="0.25">
      <c r="A591" s="41"/>
      <c r="B591" s="41"/>
      <c r="C591" s="41"/>
      <c r="D591" s="41"/>
      <c r="E591" s="41"/>
      <c r="F591" s="41"/>
      <c r="G591" s="41"/>
      <c r="H591" s="41"/>
      <c r="I591" s="41"/>
      <c r="J591" s="41"/>
      <c r="K591" s="41"/>
      <c r="L591" s="41"/>
      <c r="M591" s="41"/>
      <c r="N591" s="41"/>
      <c r="O591" s="41"/>
      <c r="P591" s="41"/>
      <c r="Q591" s="41"/>
      <c r="R591" s="41"/>
      <c r="S591" s="41"/>
      <c r="T591" s="41"/>
      <c r="U591" s="41"/>
      <c r="V591" s="41"/>
      <c r="W591" s="41"/>
    </row>
    <row r="592" spans="1:23" ht="19.5" hidden="1" customHeight="1" x14ac:dyDescent="0.25">
      <c r="A592" s="41"/>
      <c r="B592" s="41"/>
      <c r="C592" s="41"/>
      <c r="D592" s="41"/>
      <c r="E592" s="41"/>
      <c r="F592" s="41"/>
      <c r="G592" s="41"/>
      <c r="H592" s="41"/>
      <c r="I592" s="41"/>
      <c r="J592" s="41"/>
      <c r="K592" s="41"/>
      <c r="L592" s="41"/>
      <c r="M592" s="41"/>
      <c r="N592" s="41"/>
      <c r="O592" s="41"/>
      <c r="P592" s="41"/>
      <c r="Q592" s="41"/>
      <c r="R592" s="41"/>
      <c r="S592" s="41"/>
      <c r="T592" s="41"/>
      <c r="U592" s="41"/>
      <c r="V592" s="41"/>
      <c r="W592" s="41"/>
    </row>
    <row r="593" spans="1:23" ht="19.5" hidden="1" customHeight="1" x14ac:dyDescent="0.25">
      <c r="A593" s="41"/>
      <c r="B593" s="41"/>
      <c r="C593" s="41"/>
      <c r="D593" s="41"/>
      <c r="E593" s="41"/>
      <c r="F593" s="41"/>
      <c r="G593" s="41"/>
      <c r="H593" s="41"/>
      <c r="I593" s="41"/>
      <c r="J593" s="41"/>
      <c r="K593" s="41"/>
      <c r="L593" s="41"/>
      <c r="M593" s="41"/>
      <c r="N593" s="41"/>
      <c r="O593" s="41"/>
      <c r="P593" s="41"/>
      <c r="Q593" s="41"/>
      <c r="R593" s="41"/>
      <c r="S593" s="41"/>
      <c r="T593" s="41"/>
      <c r="U593" s="41"/>
      <c r="V593" s="41"/>
      <c r="W593" s="41"/>
    </row>
    <row r="594" spans="1:23" ht="19.5" hidden="1" customHeight="1" x14ac:dyDescent="0.25">
      <c r="A594" s="41"/>
      <c r="B594" s="41"/>
      <c r="C594" s="41"/>
      <c r="D594" s="41"/>
      <c r="E594" s="41"/>
      <c r="F594" s="41"/>
      <c r="G594" s="41"/>
      <c r="H594" s="41"/>
      <c r="I594" s="41"/>
      <c r="J594" s="41"/>
      <c r="K594" s="41"/>
      <c r="L594" s="41"/>
      <c r="M594" s="41"/>
      <c r="N594" s="41"/>
      <c r="O594" s="41"/>
      <c r="P594" s="41"/>
      <c r="Q594" s="41"/>
      <c r="R594" s="41"/>
      <c r="S594" s="41"/>
      <c r="T594" s="41"/>
      <c r="U594" s="41"/>
      <c r="V594" s="41"/>
      <c r="W594" s="41"/>
    </row>
    <row r="595" spans="1:23" ht="19.5" hidden="1" customHeight="1" x14ac:dyDescent="0.25">
      <c r="A595" s="41"/>
      <c r="B595" s="41"/>
      <c r="C595" s="41"/>
      <c r="D595" s="41"/>
      <c r="E595" s="41"/>
      <c r="F595" s="41"/>
      <c r="G595" s="41"/>
      <c r="H595" s="41"/>
      <c r="I595" s="41"/>
      <c r="J595" s="41"/>
      <c r="K595" s="41"/>
      <c r="L595" s="41"/>
      <c r="M595" s="41"/>
      <c r="N595" s="41"/>
      <c r="O595" s="41"/>
      <c r="P595" s="41"/>
      <c r="Q595" s="41"/>
      <c r="R595" s="41"/>
      <c r="S595" s="41"/>
      <c r="T595" s="41"/>
      <c r="U595" s="41"/>
      <c r="V595" s="41"/>
      <c r="W595" s="41"/>
    </row>
    <row r="596" spans="1:23" ht="19.5" hidden="1" customHeight="1" x14ac:dyDescent="0.25">
      <c r="A596" s="41"/>
      <c r="B596" s="41"/>
      <c r="C596" s="41"/>
      <c r="D596" s="41"/>
      <c r="E596" s="41"/>
      <c r="F596" s="41"/>
      <c r="G596" s="41"/>
      <c r="H596" s="41"/>
      <c r="I596" s="41"/>
      <c r="J596" s="41"/>
      <c r="K596" s="41"/>
      <c r="L596" s="41"/>
      <c r="M596" s="41"/>
      <c r="N596" s="41"/>
      <c r="O596" s="41"/>
      <c r="P596" s="41"/>
      <c r="Q596" s="41"/>
      <c r="R596" s="41"/>
      <c r="S596" s="41"/>
      <c r="T596" s="41"/>
      <c r="U596" s="41"/>
      <c r="V596" s="41"/>
      <c r="W596" s="41"/>
    </row>
    <row r="597" spans="1:23" ht="19.5" hidden="1" customHeight="1" x14ac:dyDescent="0.25">
      <c r="A597" s="41"/>
      <c r="B597" s="41"/>
      <c r="C597" s="41"/>
      <c r="D597" s="41"/>
      <c r="E597" s="41"/>
      <c r="F597" s="41"/>
      <c r="G597" s="41"/>
      <c r="H597" s="41"/>
      <c r="I597" s="41"/>
      <c r="J597" s="41"/>
      <c r="K597" s="41"/>
      <c r="L597" s="41"/>
      <c r="M597" s="41"/>
      <c r="N597" s="41"/>
      <c r="O597" s="41"/>
      <c r="P597" s="41"/>
      <c r="Q597" s="41"/>
      <c r="R597" s="41"/>
      <c r="S597" s="41"/>
      <c r="T597" s="41"/>
      <c r="U597" s="41"/>
      <c r="V597" s="41"/>
      <c r="W597" s="41"/>
    </row>
    <row r="598" spans="1:23" ht="19.5" hidden="1" customHeight="1" x14ac:dyDescent="0.25">
      <c r="A598" s="41"/>
      <c r="B598" s="41"/>
      <c r="C598" s="41"/>
      <c r="D598" s="41"/>
      <c r="E598" s="41"/>
      <c r="F598" s="41"/>
      <c r="G598" s="41"/>
      <c r="H598" s="41"/>
      <c r="I598" s="41"/>
      <c r="J598" s="41"/>
      <c r="K598" s="41"/>
      <c r="L598" s="41"/>
      <c r="M598" s="41"/>
      <c r="N598" s="41"/>
      <c r="O598" s="41"/>
      <c r="P598" s="41"/>
      <c r="Q598" s="41"/>
      <c r="R598" s="41"/>
      <c r="S598" s="41"/>
      <c r="T598" s="41"/>
      <c r="U598" s="41"/>
      <c r="V598" s="41"/>
      <c r="W598" s="41"/>
    </row>
    <row r="599" spans="1:23" ht="19.5" hidden="1" customHeight="1" x14ac:dyDescent="0.25">
      <c r="A599" s="41"/>
      <c r="B599" s="41"/>
      <c r="C599" s="41"/>
      <c r="D599" s="41"/>
      <c r="E599" s="41"/>
      <c r="F599" s="41"/>
      <c r="G599" s="41"/>
      <c r="H599" s="41"/>
      <c r="I599" s="41"/>
      <c r="J599" s="41"/>
      <c r="K599" s="41"/>
      <c r="L599" s="41"/>
      <c r="M599" s="41"/>
      <c r="N599" s="41"/>
      <c r="O599" s="41"/>
      <c r="P599" s="41"/>
      <c r="Q599" s="41"/>
      <c r="R599" s="41"/>
      <c r="S599" s="41"/>
      <c r="T599" s="41"/>
      <c r="U599" s="41"/>
      <c r="V599" s="41"/>
      <c r="W599" s="41"/>
    </row>
    <row r="600" spans="1:23" ht="19.5" hidden="1" customHeight="1" x14ac:dyDescent="0.25">
      <c r="A600" s="41"/>
      <c r="B600" s="41"/>
      <c r="C600" s="41"/>
      <c r="D600" s="41"/>
      <c r="E600" s="41"/>
      <c r="F600" s="41"/>
      <c r="G600" s="41"/>
      <c r="H600" s="41"/>
      <c r="I600" s="41"/>
      <c r="J600" s="41"/>
      <c r="K600" s="41"/>
      <c r="L600" s="41"/>
      <c r="M600" s="41"/>
      <c r="N600" s="41"/>
      <c r="O600" s="41"/>
      <c r="P600" s="41"/>
      <c r="Q600" s="41"/>
      <c r="R600" s="41"/>
      <c r="S600" s="41"/>
      <c r="T600" s="41"/>
      <c r="U600" s="41"/>
      <c r="V600" s="41"/>
      <c r="W600" s="41"/>
    </row>
    <row r="601" spans="1:23" ht="19.5" hidden="1" customHeight="1" x14ac:dyDescent="0.25">
      <c r="A601" s="41"/>
      <c r="B601" s="41"/>
      <c r="C601" s="41"/>
      <c r="D601" s="41"/>
      <c r="E601" s="41"/>
      <c r="F601" s="41"/>
      <c r="G601" s="41"/>
      <c r="H601" s="41"/>
      <c r="I601" s="41"/>
      <c r="J601" s="41"/>
      <c r="K601" s="41"/>
      <c r="L601" s="41"/>
      <c r="M601" s="41"/>
      <c r="N601" s="41"/>
      <c r="O601" s="41"/>
      <c r="P601" s="41"/>
      <c r="Q601" s="41"/>
      <c r="R601" s="41"/>
      <c r="S601" s="41"/>
      <c r="T601" s="41"/>
      <c r="U601" s="41"/>
      <c r="V601" s="41"/>
      <c r="W601" s="41"/>
    </row>
    <row r="602" spans="1:23" ht="19.5" hidden="1" customHeight="1" x14ac:dyDescent="0.25">
      <c r="A602" s="41"/>
      <c r="B602" s="41"/>
      <c r="C602" s="41"/>
      <c r="D602" s="41"/>
      <c r="E602" s="41"/>
      <c r="F602" s="41"/>
      <c r="G602" s="41"/>
      <c r="H602" s="41"/>
      <c r="I602" s="41"/>
      <c r="J602" s="41"/>
      <c r="K602" s="41"/>
      <c r="L602" s="41"/>
      <c r="M602" s="41"/>
      <c r="N602" s="41"/>
      <c r="O602" s="41"/>
      <c r="P602" s="41"/>
      <c r="Q602" s="41"/>
      <c r="R602" s="41"/>
      <c r="S602" s="41"/>
      <c r="T602" s="41"/>
      <c r="U602" s="41"/>
      <c r="V602" s="41"/>
      <c r="W602" s="41"/>
    </row>
    <row r="603" spans="1:23" ht="19.5" hidden="1" customHeight="1" x14ac:dyDescent="0.25">
      <c r="A603" s="41"/>
      <c r="B603" s="41"/>
      <c r="C603" s="41"/>
      <c r="D603" s="41"/>
      <c r="E603" s="41"/>
      <c r="F603" s="41"/>
      <c r="G603" s="41"/>
      <c r="H603" s="41"/>
      <c r="I603" s="41"/>
      <c r="J603" s="41"/>
      <c r="K603" s="41"/>
      <c r="L603" s="41"/>
      <c r="M603" s="41"/>
      <c r="N603" s="41"/>
      <c r="O603" s="41"/>
      <c r="P603" s="41"/>
      <c r="Q603" s="41"/>
      <c r="R603" s="41"/>
      <c r="S603" s="41"/>
      <c r="T603" s="41"/>
      <c r="U603" s="41"/>
      <c r="V603" s="41"/>
      <c r="W603" s="41"/>
    </row>
    <row r="604" spans="1:23" ht="19.5" hidden="1" customHeight="1" x14ac:dyDescent="0.25">
      <c r="A604" s="41"/>
      <c r="B604" s="41"/>
      <c r="C604" s="41"/>
      <c r="D604" s="41"/>
      <c r="E604" s="41"/>
      <c r="F604" s="41"/>
      <c r="G604" s="41"/>
      <c r="H604" s="41"/>
      <c r="I604" s="41"/>
      <c r="J604" s="41"/>
      <c r="K604" s="41"/>
      <c r="L604" s="41"/>
      <c r="M604" s="41"/>
      <c r="N604" s="41"/>
      <c r="O604" s="41"/>
      <c r="P604" s="41"/>
      <c r="Q604" s="41"/>
      <c r="R604" s="41"/>
      <c r="S604" s="41"/>
      <c r="T604" s="41"/>
      <c r="U604" s="41"/>
      <c r="V604" s="41"/>
      <c r="W604" s="41"/>
    </row>
    <row r="605" spans="1:23" ht="19.5" hidden="1" customHeight="1" x14ac:dyDescent="0.25">
      <c r="A605" s="41"/>
      <c r="B605" s="41"/>
      <c r="C605" s="41"/>
      <c r="D605" s="41"/>
      <c r="E605" s="41"/>
      <c r="F605" s="41"/>
      <c r="G605" s="41"/>
      <c r="H605" s="41"/>
      <c r="I605" s="41"/>
      <c r="J605" s="41"/>
      <c r="K605" s="41"/>
      <c r="L605" s="41"/>
      <c r="M605" s="41"/>
      <c r="N605" s="41"/>
      <c r="O605" s="41"/>
      <c r="P605" s="41"/>
      <c r="Q605" s="41"/>
      <c r="R605" s="41"/>
      <c r="S605" s="41"/>
      <c r="T605" s="41"/>
      <c r="U605" s="41"/>
      <c r="V605" s="41"/>
      <c r="W605" s="41"/>
    </row>
    <row r="606" spans="1:23" ht="19.5" hidden="1" customHeight="1" x14ac:dyDescent="0.25">
      <c r="A606" s="41"/>
      <c r="B606" s="41"/>
      <c r="C606" s="41"/>
      <c r="D606" s="41"/>
      <c r="E606" s="41"/>
      <c r="F606" s="41"/>
      <c r="G606" s="41"/>
      <c r="H606" s="41"/>
      <c r="I606" s="41"/>
      <c r="J606" s="41"/>
      <c r="K606" s="41"/>
      <c r="L606" s="41"/>
      <c r="M606" s="41"/>
      <c r="N606" s="41"/>
      <c r="O606" s="41"/>
      <c r="P606" s="41"/>
      <c r="Q606" s="41"/>
      <c r="R606" s="41"/>
      <c r="S606" s="41"/>
      <c r="T606" s="41"/>
      <c r="U606" s="41"/>
      <c r="V606" s="41"/>
      <c r="W606" s="41"/>
    </row>
    <row r="607" spans="1:23" ht="19.5" hidden="1" customHeight="1" x14ac:dyDescent="0.25">
      <c r="A607" s="41"/>
      <c r="B607" s="41"/>
      <c r="C607" s="41"/>
      <c r="D607" s="41"/>
      <c r="E607" s="41"/>
      <c r="F607" s="41"/>
      <c r="G607" s="41"/>
      <c r="H607" s="41"/>
      <c r="I607" s="41"/>
      <c r="J607" s="41"/>
      <c r="K607" s="41"/>
      <c r="L607" s="41"/>
      <c r="M607" s="41"/>
      <c r="N607" s="41"/>
      <c r="O607" s="41"/>
      <c r="P607" s="41"/>
      <c r="Q607" s="41"/>
      <c r="R607" s="41"/>
      <c r="S607" s="41"/>
      <c r="T607" s="41"/>
      <c r="U607" s="41"/>
      <c r="V607" s="41"/>
      <c r="W607" s="41"/>
    </row>
    <row r="608" spans="1:23" ht="19.5" hidden="1" customHeight="1" x14ac:dyDescent="0.25">
      <c r="A608" s="41"/>
      <c r="B608" s="41"/>
      <c r="C608" s="41"/>
      <c r="D608" s="41"/>
      <c r="E608" s="41"/>
      <c r="F608" s="41"/>
      <c r="G608" s="41"/>
      <c r="H608" s="41"/>
      <c r="I608" s="41"/>
      <c r="J608" s="41"/>
      <c r="K608" s="41"/>
      <c r="L608" s="41"/>
      <c r="M608" s="41"/>
      <c r="N608" s="41"/>
      <c r="O608" s="41"/>
      <c r="P608" s="41"/>
      <c r="Q608" s="41"/>
      <c r="R608" s="41"/>
      <c r="S608" s="41"/>
      <c r="T608" s="41"/>
      <c r="U608" s="41"/>
      <c r="V608" s="41"/>
      <c r="W608" s="41"/>
    </row>
    <row r="609" spans="1:23" ht="19.5" hidden="1" customHeight="1" x14ac:dyDescent="0.25">
      <c r="A609" s="41"/>
      <c r="B609" s="41"/>
      <c r="C609" s="41"/>
      <c r="D609" s="41"/>
      <c r="E609" s="41"/>
      <c r="F609" s="41"/>
      <c r="G609" s="41"/>
      <c r="H609" s="41"/>
      <c r="I609" s="41"/>
      <c r="J609" s="41"/>
      <c r="K609" s="41"/>
      <c r="L609" s="41"/>
      <c r="M609" s="41"/>
      <c r="N609" s="41"/>
      <c r="O609" s="41"/>
      <c r="P609" s="41"/>
      <c r="Q609" s="41"/>
      <c r="R609" s="41"/>
      <c r="S609" s="41"/>
      <c r="T609" s="41"/>
      <c r="U609" s="41"/>
      <c r="V609" s="41"/>
      <c r="W609" s="41"/>
    </row>
    <row r="610" spans="1:23" ht="19.5" hidden="1" customHeight="1" x14ac:dyDescent="0.25">
      <c r="A610" s="41"/>
      <c r="B610" s="41"/>
      <c r="C610" s="41"/>
      <c r="D610" s="41"/>
      <c r="E610" s="41"/>
      <c r="F610" s="41"/>
      <c r="G610" s="41"/>
      <c r="H610" s="41"/>
      <c r="I610" s="41"/>
      <c r="J610" s="41"/>
      <c r="K610" s="41"/>
      <c r="L610" s="41"/>
      <c r="M610" s="41"/>
      <c r="N610" s="41"/>
      <c r="O610" s="41"/>
      <c r="P610" s="41"/>
      <c r="Q610" s="41"/>
      <c r="R610" s="41"/>
      <c r="S610" s="41"/>
      <c r="T610" s="41"/>
      <c r="U610" s="41"/>
      <c r="V610" s="41"/>
      <c r="W610" s="41"/>
    </row>
    <row r="611" spans="1:23" ht="19.5" hidden="1" customHeight="1" x14ac:dyDescent="0.25">
      <c r="A611" s="41"/>
      <c r="B611" s="41"/>
      <c r="C611" s="41"/>
      <c r="D611" s="41"/>
      <c r="E611" s="41"/>
      <c r="F611" s="41"/>
      <c r="G611" s="41"/>
      <c r="H611" s="41"/>
      <c r="I611" s="41"/>
      <c r="J611" s="41"/>
      <c r="K611" s="41"/>
      <c r="L611" s="41"/>
      <c r="M611" s="41"/>
      <c r="N611" s="41"/>
      <c r="O611" s="41"/>
      <c r="P611" s="41"/>
      <c r="Q611" s="41"/>
      <c r="R611" s="41"/>
      <c r="S611" s="41"/>
      <c r="T611" s="41"/>
      <c r="U611" s="41"/>
      <c r="V611" s="41"/>
      <c r="W611" s="41"/>
    </row>
    <row r="612" spans="1:23" ht="19.5" hidden="1" customHeight="1" x14ac:dyDescent="0.25">
      <c r="A612" s="41"/>
      <c r="B612" s="41"/>
      <c r="C612" s="41"/>
      <c r="D612" s="41"/>
      <c r="E612" s="41"/>
      <c r="F612" s="41"/>
      <c r="G612" s="41"/>
      <c r="H612" s="41"/>
      <c r="I612" s="41"/>
      <c r="J612" s="41"/>
      <c r="K612" s="41"/>
      <c r="L612" s="41"/>
      <c r="M612" s="41"/>
      <c r="N612" s="41"/>
      <c r="O612" s="41"/>
      <c r="P612" s="41"/>
      <c r="Q612" s="41"/>
      <c r="R612" s="41"/>
      <c r="S612" s="41"/>
      <c r="T612" s="41"/>
      <c r="U612" s="41"/>
      <c r="V612" s="41"/>
      <c r="W612" s="41"/>
    </row>
    <row r="613" spans="1:23" ht="19.5" hidden="1" customHeight="1" x14ac:dyDescent="0.25">
      <c r="A613" s="41"/>
      <c r="B613" s="41"/>
      <c r="C613" s="41"/>
      <c r="D613" s="41"/>
      <c r="E613" s="41"/>
      <c r="F613" s="41"/>
      <c r="G613" s="41"/>
      <c r="H613" s="41"/>
      <c r="I613" s="41"/>
      <c r="J613" s="41"/>
      <c r="K613" s="41"/>
      <c r="L613" s="41"/>
      <c r="M613" s="41"/>
      <c r="N613" s="41"/>
      <c r="O613" s="41"/>
      <c r="P613" s="41"/>
      <c r="Q613" s="41"/>
      <c r="R613" s="41"/>
      <c r="S613" s="41"/>
      <c r="T613" s="41"/>
      <c r="U613" s="41"/>
      <c r="V613" s="41"/>
      <c r="W613" s="41"/>
    </row>
    <row r="614" spans="1:23" ht="19.5" hidden="1" customHeight="1" x14ac:dyDescent="0.25">
      <c r="A614" s="41"/>
      <c r="B614" s="41"/>
      <c r="C614" s="41"/>
      <c r="D614" s="41"/>
      <c r="E614" s="41"/>
      <c r="F614" s="41"/>
      <c r="G614" s="41"/>
      <c r="H614" s="41"/>
      <c r="I614" s="41"/>
      <c r="J614" s="41"/>
      <c r="K614" s="41"/>
      <c r="L614" s="41"/>
      <c r="M614" s="41"/>
      <c r="N614" s="41"/>
      <c r="O614" s="41"/>
      <c r="P614" s="41"/>
      <c r="Q614" s="41"/>
      <c r="R614" s="41"/>
      <c r="S614" s="41"/>
      <c r="T614" s="41"/>
      <c r="U614" s="41"/>
      <c r="V614" s="41"/>
      <c r="W614" s="41"/>
    </row>
    <row r="615" spans="1:23" ht="19.5" hidden="1" customHeight="1" x14ac:dyDescent="0.25">
      <c r="A615" s="41"/>
      <c r="B615" s="41"/>
      <c r="C615" s="41"/>
      <c r="D615" s="41"/>
      <c r="E615" s="41"/>
      <c r="F615" s="41"/>
      <c r="G615" s="41"/>
      <c r="H615" s="41"/>
      <c r="I615" s="41"/>
      <c r="J615" s="41"/>
      <c r="K615" s="41"/>
      <c r="L615" s="41"/>
      <c r="M615" s="41"/>
      <c r="N615" s="41"/>
      <c r="O615" s="41"/>
      <c r="P615" s="41"/>
      <c r="Q615" s="41"/>
      <c r="R615" s="41"/>
      <c r="S615" s="41"/>
      <c r="T615" s="41"/>
      <c r="U615" s="41"/>
      <c r="V615" s="41"/>
      <c r="W615" s="41"/>
    </row>
    <row r="616" spans="1:23" ht="19.5" hidden="1" customHeight="1" x14ac:dyDescent="0.25">
      <c r="A616" s="41"/>
      <c r="B616" s="41"/>
      <c r="C616" s="41"/>
      <c r="D616" s="41"/>
      <c r="E616" s="41"/>
      <c r="F616" s="41"/>
      <c r="G616" s="41"/>
      <c r="H616" s="41"/>
      <c r="I616" s="41"/>
      <c r="J616" s="41"/>
      <c r="K616" s="41"/>
      <c r="L616" s="41"/>
      <c r="M616" s="41"/>
      <c r="N616" s="41"/>
      <c r="O616" s="41"/>
      <c r="P616" s="41"/>
      <c r="Q616" s="41"/>
      <c r="R616" s="41"/>
      <c r="S616" s="41"/>
      <c r="T616" s="41"/>
      <c r="U616" s="41"/>
      <c r="V616" s="41"/>
      <c r="W616" s="41"/>
    </row>
    <row r="617" spans="1:23" ht="19.5" hidden="1" customHeight="1" x14ac:dyDescent="0.25">
      <c r="A617" s="41"/>
      <c r="B617" s="41"/>
      <c r="C617" s="41"/>
      <c r="D617" s="41"/>
      <c r="E617" s="41"/>
      <c r="F617" s="41"/>
      <c r="G617" s="41"/>
      <c r="H617" s="41"/>
      <c r="I617" s="41"/>
      <c r="J617" s="41"/>
      <c r="K617" s="41"/>
      <c r="L617" s="41"/>
      <c r="M617" s="41"/>
      <c r="N617" s="41"/>
      <c r="O617" s="41"/>
      <c r="P617" s="41"/>
      <c r="Q617" s="41"/>
      <c r="R617" s="41"/>
      <c r="S617" s="41"/>
      <c r="T617" s="41"/>
      <c r="U617" s="41"/>
      <c r="V617" s="41"/>
      <c r="W617" s="41"/>
    </row>
    <row r="618" spans="1:23" ht="19.5" hidden="1" customHeight="1" x14ac:dyDescent="0.25">
      <c r="A618" s="41"/>
      <c r="B618" s="41"/>
      <c r="C618" s="41"/>
      <c r="D618" s="41"/>
      <c r="E618" s="41"/>
      <c r="F618" s="41"/>
      <c r="G618" s="41"/>
      <c r="H618" s="41"/>
      <c r="I618" s="41"/>
      <c r="J618" s="41"/>
      <c r="K618" s="41"/>
      <c r="L618" s="41"/>
      <c r="M618" s="41"/>
      <c r="N618" s="41"/>
      <c r="O618" s="41"/>
      <c r="P618" s="41"/>
      <c r="Q618" s="41"/>
      <c r="R618" s="41"/>
      <c r="S618" s="41"/>
      <c r="T618" s="41"/>
      <c r="U618" s="41"/>
      <c r="V618" s="41"/>
      <c r="W618" s="41"/>
    </row>
    <row r="619" spans="1:23" ht="19.5" hidden="1" customHeight="1" x14ac:dyDescent="0.25">
      <c r="A619" s="41"/>
      <c r="B619" s="41"/>
      <c r="C619" s="41"/>
      <c r="D619" s="41"/>
      <c r="E619" s="41"/>
      <c r="F619" s="41"/>
      <c r="G619" s="41"/>
      <c r="H619" s="41"/>
      <c r="I619" s="41"/>
      <c r="J619" s="41"/>
      <c r="K619" s="41"/>
      <c r="L619" s="41"/>
      <c r="M619" s="41"/>
      <c r="N619" s="41"/>
      <c r="O619" s="41"/>
      <c r="P619" s="41"/>
      <c r="Q619" s="41"/>
      <c r="R619" s="41"/>
      <c r="S619" s="41"/>
      <c r="T619" s="41"/>
      <c r="U619" s="41"/>
      <c r="V619" s="41"/>
      <c r="W619" s="41"/>
    </row>
    <row r="620" spans="1:23" ht="19.5" hidden="1" customHeight="1" x14ac:dyDescent="0.25">
      <c r="A620" s="41"/>
      <c r="B620" s="41"/>
      <c r="C620" s="41"/>
      <c r="D620" s="41"/>
      <c r="E620" s="41"/>
      <c r="F620" s="41"/>
      <c r="G620" s="41"/>
      <c r="H620" s="41"/>
      <c r="I620" s="41"/>
      <c r="J620" s="41"/>
      <c r="K620" s="41"/>
      <c r="L620" s="41"/>
      <c r="M620" s="41"/>
      <c r="N620" s="41"/>
      <c r="O620" s="41"/>
      <c r="P620" s="41"/>
      <c r="Q620" s="41"/>
      <c r="R620" s="41"/>
      <c r="S620" s="41"/>
      <c r="T620" s="41"/>
      <c r="U620" s="41"/>
      <c r="V620" s="41"/>
      <c r="W620" s="41"/>
    </row>
    <row r="621" spans="1:23" ht="19.5" hidden="1" customHeight="1" x14ac:dyDescent="0.25">
      <c r="A621" s="41"/>
      <c r="B621" s="41"/>
      <c r="C621" s="41"/>
      <c r="D621" s="41"/>
      <c r="E621" s="41"/>
      <c r="F621" s="41"/>
      <c r="G621" s="41"/>
      <c r="H621" s="41"/>
      <c r="I621" s="41"/>
      <c r="J621" s="41"/>
      <c r="K621" s="41"/>
      <c r="L621" s="41"/>
      <c r="M621" s="41"/>
      <c r="N621" s="41"/>
      <c r="O621" s="41"/>
      <c r="P621" s="41"/>
      <c r="Q621" s="41"/>
      <c r="R621" s="41"/>
      <c r="S621" s="41"/>
      <c r="T621" s="41"/>
      <c r="U621" s="41"/>
      <c r="V621" s="41"/>
      <c r="W621" s="41"/>
    </row>
    <row r="622" spans="1:23" ht="19.5" hidden="1" customHeight="1" x14ac:dyDescent="0.25">
      <c r="A622" s="41"/>
      <c r="B622" s="41"/>
      <c r="C622" s="41"/>
      <c r="D622" s="41"/>
      <c r="E622" s="41"/>
      <c r="F622" s="41"/>
      <c r="G622" s="41"/>
      <c r="H622" s="41"/>
      <c r="I622" s="41"/>
      <c r="J622" s="41"/>
      <c r="K622" s="41"/>
      <c r="L622" s="41"/>
      <c r="M622" s="41"/>
      <c r="N622" s="41"/>
      <c r="O622" s="41"/>
      <c r="P622" s="41"/>
      <c r="Q622" s="41"/>
      <c r="R622" s="41"/>
      <c r="S622" s="41"/>
      <c r="T622" s="41"/>
      <c r="U622" s="41"/>
      <c r="V622" s="41"/>
      <c r="W622" s="41"/>
    </row>
    <row r="623" spans="1:23" ht="19.5" hidden="1" customHeight="1" x14ac:dyDescent="0.25">
      <c r="A623" s="41"/>
      <c r="B623" s="41"/>
      <c r="C623" s="41"/>
      <c r="D623" s="41"/>
      <c r="E623" s="41"/>
      <c r="F623" s="41"/>
      <c r="G623" s="41"/>
      <c r="H623" s="41"/>
      <c r="I623" s="41"/>
      <c r="J623" s="41"/>
      <c r="K623" s="41"/>
      <c r="L623" s="41"/>
      <c r="M623" s="41"/>
      <c r="N623" s="41"/>
      <c r="O623" s="41"/>
      <c r="P623" s="41"/>
      <c r="Q623" s="41"/>
      <c r="R623" s="41"/>
      <c r="S623" s="41"/>
      <c r="T623" s="41"/>
      <c r="U623" s="41"/>
      <c r="V623" s="41"/>
      <c r="W623" s="41"/>
    </row>
    <row r="624" spans="1:23" ht="19.5" hidden="1" customHeight="1" x14ac:dyDescent="0.25">
      <c r="A624" s="41"/>
      <c r="B624" s="41"/>
      <c r="C624" s="41"/>
      <c r="D624" s="41"/>
      <c r="E624" s="41"/>
      <c r="F624" s="41"/>
      <c r="G624" s="41"/>
      <c r="H624" s="41"/>
      <c r="I624" s="41"/>
      <c r="J624" s="41"/>
      <c r="K624" s="41"/>
      <c r="L624" s="41"/>
      <c r="M624" s="41"/>
      <c r="N624" s="41"/>
      <c r="O624" s="41"/>
      <c r="P624" s="41"/>
      <c r="Q624" s="41"/>
      <c r="R624" s="41"/>
      <c r="S624" s="41"/>
      <c r="T624" s="41"/>
      <c r="U624" s="41"/>
      <c r="V624" s="41"/>
      <c r="W624" s="41"/>
    </row>
    <row r="625" spans="1:23" ht="19.5" hidden="1" customHeight="1" x14ac:dyDescent="0.25">
      <c r="A625" s="41"/>
      <c r="B625" s="41"/>
      <c r="C625" s="41"/>
      <c r="D625" s="41"/>
      <c r="E625" s="41"/>
      <c r="F625" s="41"/>
      <c r="G625" s="41"/>
      <c r="H625" s="41"/>
      <c r="I625" s="41"/>
      <c r="J625" s="41"/>
      <c r="K625" s="41"/>
      <c r="L625" s="41"/>
      <c r="M625" s="41"/>
      <c r="N625" s="41"/>
      <c r="O625" s="41"/>
      <c r="P625" s="41"/>
      <c r="Q625" s="41"/>
      <c r="R625" s="41"/>
      <c r="S625" s="41"/>
      <c r="T625" s="41"/>
      <c r="U625" s="41"/>
      <c r="V625" s="41"/>
      <c r="W625" s="41"/>
    </row>
    <row r="626" spans="1:23" ht="19.5" hidden="1" customHeight="1" x14ac:dyDescent="0.25">
      <c r="A626" s="41"/>
      <c r="B626" s="41"/>
      <c r="C626" s="41"/>
      <c r="D626" s="41"/>
      <c r="E626" s="41"/>
      <c r="F626" s="41"/>
      <c r="G626" s="41"/>
      <c r="H626" s="41"/>
      <c r="I626" s="41"/>
      <c r="J626" s="41"/>
      <c r="K626" s="41"/>
      <c r="L626" s="41"/>
      <c r="M626" s="41"/>
      <c r="N626" s="41"/>
      <c r="O626" s="41"/>
      <c r="P626" s="41"/>
      <c r="Q626" s="41"/>
      <c r="R626" s="41"/>
      <c r="S626" s="41"/>
      <c r="T626" s="41"/>
      <c r="U626" s="41"/>
      <c r="V626" s="41"/>
      <c r="W626" s="41"/>
    </row>
    <row r="627" spans="1:23" ht="19.5" hidden="1" customHeight="1" x14ac:dyDescent="0.25">
      <c r="A627" s="41"/>
      <c r="B627" s="41"/>
      <c r="C627" s="41"/>
      <c r="D627" s="41"/>
      <c r="E627" s="41"/>
      <c r="F627" s="41"/>
      <c r="G627" s="41"/>
      <c r="H627" s="41"/>
      <c r="I627" s="41"/>
      <c r="J627" s="41"/>
      <c r="K627" s="41"/>
      <c r="L627" s="41"/>
      <c r="M627" s="41"/>
      <c r="N627" s="41"/>
      <c r="O627" s="41"/>
      <c r="P627" s="41"/>
      <c r="Q627" s="41"/>
      <c r="R627" s="41"/>
      <c r="S627" s="41"/>
      <c r="T627" s="41"/>
      <c r="U627" s="41"/>
      <c r="V627" s="41"/>
      <c r="W627" s="41"/>
    </row>
    <row r="628" spans="1:23" ht="19.5" hidden="1" customHeight="1" x14ac:dyDescent="0.25">
      <c r="A628" s="41"/>
      <c r="B628" s="41"/>
      <c r="C628" s="41"/>
      <c r="D628" s="41"/>
      <c r="E628" s="41"/>
      <c r="F628" s="41"/>
      <c r="G628" s="41"/>
      <c r="H628" s="41"/>
      <c r="I628" s="41"/>
      <c r="J628" s="41"/>
      <c r="K628" s="41"/>
      <c r="L628" s="41"/>
      <c r="M628" s="41"/>
      <c r="N628" s="41"/>
      <c r="O628" s="41"/>
      <c r="P628" s="41"/>
      <c r="Q628" s="41"/>
      <c r="R628" s="41"/>
      <c r="S628" s="41"/>
      <c r="T628" s="41"/>
      <c r="U628" s="41"/>
      <c r="V628" s="41"/>
      <c r="W628" s="41"/>
    </row>
    <row r="629" spans="1:23" ht="19.5" hidden="1" customHeight="1" x14ac:dyDescent="0.25">
      <c r="A629" s="41"/>
      <c r="B629" s="41"/>
      <c r="C629" s="41"/>
      <c r="D629" s="41"/>
      <c r="E629" s="41"/>
      <c r="F629" s="41"/>
      <c r="G629" s="41"/>
      <c r="H629" s="41"/>
      <c r="I629" s="41"/>
      <c r="J629" s="41"/>
      <c r="K629" s="41"/>
      <c r="L629" s="41"/>
      <c r="M629" s="41"/>
      <c r="N629" s="41"/>
      <c r="O629" s="41"/>
      <c r="P629" s="41"/>
      <c r="Q629" s="41"/>
      <c r="R629" s="41"/>
      <c r="S629" s="41"/>
      <c r="T629" s="41"/>
      <c r="U629" s="41"/>
      <c r="V629" s="41"/>
      <c r="W629" s="41"/>
    </row>
    <row r="630" spans="1:23" ht="19.5" hidden="1" customHeight="1" x14ac:dyDescent="0.25">
      <c r="A630" s="41"/>
      <c r="B630" s="41"/>
      <c r="C630" s="41"/>
      <c r="D630" s="41"/>
      <c r="E630" s="41"/>
      <c r="F630" s="41"/>
      <c r="G630" s="41"/>
      <c r="H630" s="41"/>
      <c r="I630" s="41"/>
      <c r="J630" s="41"/>
      <c r="K630" s="41"/>
      <c r="L630" s="41"/>
      <c r="M630" s="41"/>
      <c r="N630" s="41"/>
      <c r="O630" s="41"/>
      <c r="P630" s="41"/>
      <c r="Q630" s="41"/>
      <c r="R630" s="41"/>
      <c r="S630" s="41"/>
      <c r="T630" s="41"/>
      <c r="U630" s="41"/>
      <c r="V630" s="41"/>
      <c r="W630" s="41"/>
    </row>
    <row r="631" spans="1:23" ht="19.5" hidden="1" customHeight="1" x14ac:dyDescent="0.25">
      <c r="A631" s="41"/>
      <c r="B631" s="41"/>
      <c r="C631" s="41"/>
      <c r="D631" s="41"/>
      <c r="E631" s="41"/>
      <c r="F631" s="41"/>
      <c r="G631" s="41"/>
      <c r="H631" s="41"/>
      <c r="I631" s="41"/>
      <c r="J631" s="41"/>
      <c r="K631" s="41"/>
      <c r="L631" s="41"/>
      <c r="M631" s="41"/>
      <c r="N631" s="41"/>
      <c r="O631" s="41"/>
      <c r="P631" s="41"/>
      <c r="Q631" s="41"/>
      <c r="R631" s="41"/>
      <c r="S631" s="41"/>
      <c r="T631" s="41"/>
      <c r="U631" s="41"/>
      <c r="V631" s="41"/>
      <c r="W631" s="41"/>
    </row>
    <row r="632" spans="1:23" ht="19.5" hidden="1" customHeight="1" x14ac:dyDescent="0.25">
      <c r="A632" s="41"/>
      <c r="B632" s="41"/>
      <c r="C632" s="41"/>
      <c r="D632" s="41"/>
      <c r="E632" s="41"/>
      <c r="F632" s="41"/>
      <c r="G632" s="41"/>
      <c r="H632" s="41"/>
      <c r="I632" s="41"/>
      <c r="J632" s="41"/>
      <c r="K632" s="41"/>
      <c r="L632" s="41"/>
      <c r="M632" s="41"/>
      <c r="N632" s="41"/>
      <c r="O632" s="41"/>
      <c r="P632" s="41"/>
      <c r="Q632" s="41"/>
      <c r="R632" s="41"/>
      <c r="S632" s="41"/>
      <c r="T632" s="41"/>
      <c r="U632" s="41"/>
      <c r="V632" s="41"/>
      <c r="W632" s="41"/>
    </row>
    <row r="633" spans="1:23" ht="19.5" hidden="1" customHeight="1" x14ac:dyDescent="0.25">
      <c r="A633" s="41"/>
      <c r="B633" s="41"/>
      <c r="C633" s="41"/>
      <c r="D633" s="41"/>
      <c r="E633" s="41"/>
      <c r="F633" s="41"/>
      <c r="G633" s="41"/>
      <c r="H633" s="41"/>
      <c r="I633" s="41"/>
      <c r="J633" s="41"/>
      <c r="K633" s="41"/>
      <c r="L633" s="41"/>
      <c r="M633" s="41"/>
      <c r="N633" s="41"/>
      <c r="O633" s="41"/>
      <c r="P633" s="41"/>
      <c r="Q633" s="41"/>
      <c r="R633" s="41"/>
      <c r="S633" s="41"/>
      <c r="T633" s="41"/>
      <c r="U633" s="41"/>
      <c r="V633" s="41"/>
      <c r="W633" s="41"/>
    </row>
    <row r="634" spans="1:23" ht="19.5" hidden="1" customHeight="1" x14ac:dyDescent="0.25">
      <c r="A634" s="41"/>
      <c r="B634" s="41"/>
      <c r="C634" s="41"/>
      <c r="D634" s="41"/>
      <c r="E634" s="41"/>
      <c r="F634" s="41"/>
      <c r="G634" s="41"/>
      <c r="H634" s="41"/>
      <c r="I634" s="41"/>
      <c r="J634" s="41"/>
      <c r="K634" s="41"/>
      <c r="L634" s="41"/>
      <c r="M634" s="41"/>
      <c r="N634" s="41"/>
      <c r="O634" s="41"/>
      <c r="P634" s="41"/>
      <c r="Q634" s="41"/>
      <c r="R634" s="41"/>
      <c r="S634" s="41"/>
      <c r="T634" s="41"/>
      <c r="U634" s="41"/>
      <c r="V634" s="41"/>
      <c r="W634" s="41"/>
    </row>
    <row r="635" spans="1:23" ht="19.5" hidden="1" customHeight="1" x14ac:dyDescent="0.25">
      <c r="A635" s="41"/>
      <c r="B635" s="41"/>
      <c r="C635" s="41"/>
      <c r="D635" s="41"/>
      <c r="E635" s="41"/>
      <c r="F635" s="41"/>
      <c r="G635" s="41"/>
      <c r="H635" s="41"/>
      <c r="I635" s="41"/>
      <c r="J635" s="41"/>
      <c r="K635" s="41"/>
      <c r="L635" s="41"/>
      <c r="M635" s="41"/>
      <c r="N635" s="41"/>
      <c r="O635" s="41"/>
      <c r="P635" s="41"/>
      <c r="Q635" s="41"/>
      <c r="R635" s="41"/>
      <c r="S635" s="41"/>
      <c r="T635" s="41"/>
      <c r="U635" s="41"/>
      <c r="V635" s="41"/>
      <c r="W635" s="41"/>
    </row>
    <row r="636" spans="1:23" ht="19.5" hidden="1" customHeight="1" x14ac:dyDescent="0.25">
      <c r="A636" s="41"/>
      <c r="B636" s="41"/>
      <c r="C636" s="41"/>
      <c r="D636" s="41"/>
      <c r="E636" s="41"/>
      <c r="F636" s="41"/>
      <c r="G636" s="41"/>
      <c r="H636" s="41"/>
      <c r="I636" s="41"/>
      <c r="J636" s="41"/>
      <c r="K636" s="41"/>
      <c r="L636" s="41"/>
      <c r="M636" s="41"/>
      <c r="N636" s="41"/>
      <c r="O636" s="41"/>
      <c r="P636" s="41"/>
      <c r="Q636" s="41"/>
      <c r="R636" s="41"/>
      <c r="S636" s="41"/>
      <c r="T636" s="41"/>
      <c r="U636" s="41"/>
      <c r="V636" s="41"/>
      <c r="W636" s="41"/>
    </row>
    <row r="637" spans="1:23" ht="19.5" hidden="1" customHeight="1" x14ac:dyDescent="0.25">
      <c r="A637" s="41"/>
      <c r="B637" s="41"/>
      <c r="C637" s="41"/>
      <c r="D637" s="41"/>
      <c r="E637" s="41"/>
      <c r="F637" s="41"/>
      <c r="G637" s="41"/>
      <c r="H637" s="41"/>
      <c r="I637" s="41"/>
      <c r="J637" s="41"/>
      <c r="K637" s="41"/>
      <c r="L637" s="41"/>
      <c r="M637" s="41"/>
      <c r="N637" s="41"/>
      <c r="O637" s="41"/>
      <c r="P637" s="41"/>
      <c r="Q637" s="41"/>
      <c r="R637" s="41"/>
      <c r="S637" s="41"/>
      <c r="T637" s="41"/>
      <c r="U637" s="41"/>
      <c r="V637" s="41"/>
      <c r="W637" s="41"/>
    </row>
    <row r="638" spans="1:23" ht="19.5" hidden="1" customHeight="1" x14ac:dyDescent="0.25">
      <c r="A638" s="41"/>
      <c r="B638" s="41"/>
      <c r="C638" s="41"/>
      <c r="D638" s="41"/>
      <c r="E638" s="41"/>
      <c r="F638" s="41"/>
      <c r="G638" s="41"/>
      <c r="H638" s="41"/>
      <c r="I638" s="41"/>
      <c r="J638" s="41"/>
      <c r="K638" s="41"/>
      <c r="L638" s="41"/>
      <c r="M638" s="41"/>
      <c r="N638" s="41"/>
      <c r="O638" s="41"/>
      <c r="P638" s="41"/>
      <c r="Q638" s="41"/>
      <c r="R638" s="41"/>
      <c r="S638" s="41"/>
      <c r="T638" s="41"/>
      <c r="U638" s="41"/>
      <c r="V638" s="41"/>
      <c r="W638" s="41"/>
    </row>
    <row r="639" spans="1:23" ht="19.5" hidden="1" customHeight="1" x14ac:dyDescent="0.25">
      <c r="A639" s="41"/>
      <c r="B639" s="41"/>
      <c r="C639" s="41"/>
      <c r="D639" s="41"/>
      <c r="E639" s="41"/>
      <c r="F639" s="41"/>
      <c r="G639" s="41"/>
      <c r="H639" s="41"/>
      <c r="I639" s="41"/>
      <c r="J639" s="41"/>
      <c r="K639" s="41"/>
      <c r="L639" s="41"/>
      <c r="M639" s="41"/>
      <c r="N639" s="41"/>
      <c r="O639" s="41"/>
      <c r="P639" s="41"/>
      <c r="Q639" s="41"/>
      <c r="R639" s="41"/>
      <c r="S639" s="41"/>
      <c r="T639" s="41"/>
      <c r="U639" s="41"/>
      <c r="V639" s="41"/>
      <c r="W639" s="41"/>
    </row>
    <row r="640" spans="1:23" ht="19.5" hidden="1" customHeight="1" x14ac:dyDescent="0.25">
      <c r="A640" s="41"/>
      <c r="B640" s="41"/>
      <c r="C640" s="41"/>
      <c r="D640" s="41"/>
      <c r="E640" s="41"/>
      <c r="F640" s="41"/>
      <c r="G640" s="41"/>
      <c r="H640" s="41"/>
      <c r="I640" s="41"/>
      <c r="J640" s="41"/>
      <c r="K640" s="41"/>
      <c r="L640" s="41"/>
      <c r="M640" s="41"/>
      <c r="N640" s="41"/>
      <c r="O640" s="41"/>
      <c r="P640" s="41"/>
      <c r="Q640" s="41"/>
      <c r="R640" s="41"/>
      <c r="S640" s="41"/>
      <c r="T640" s="41"/>
      <c r="U640" s="41"/>
      <c r="V640" s="41"/>
      <c r="W640" s="41"/>
    </row>
    <row r="641" spans="1:23" ht="19.5" hidden="1" customHeight="1" x14ac:dyDescent="0.25">
      <c r="A641" s="41"/>
      <c r="B641" s="41"/>
      <c r="C641" s="41"/>
      <c r="D641" s="41"/>
      <c r="E641" s="41"/>
      <c r="F641" s="41"/>
      <c r="G641" s="41"/>
      <c r="H641" s="41"/>
      <c r="I641" s="41"/>
      <c r="J641" s="41"/>
      <c r="K641" s="41"/>
      <c r="L641" s="41"/>
      <c r="M641" s="41"/>
      <c r="N641" s="41"/>
      <c r="O641" s="41"/>
      <c r="P641" s="41"/>
      <c r="Q641" s="41"/>
      <c r="R641" s="41"/>
      <c r="S641" s="41"/>
      <c r="T641" s="41"/>
      <c r="U641" s="41"/>
      <c r="V641" s="41"/>
      <c r="W641" s="41"/>
    </row>
    <row r="642" spans="1:23" ht="19.5" hidden="1" customHeight="1" x14ac:dyDescent="0.25">
      <c r="A642" s="41"/>
      <c r="B642" s="41"/>
      <c r="C642" s="41"/>
      <c r="D642" s="41"/>
      <c r="E642" s="41"/>
      <c r="F642" s="41"/>
      <c r="G642" s="41"/>
      <c r="H642" s="41"/>
      <c r="I642" s="41"/>
      <c r="J642" s="41"/>
      <c r="K642" s="41"/>
      <c r="L642" s="41"/>
      <c r="M642" s="41"/>
      <c r="N642" s="41"/>
      <c r="O642" s="41"/>
      <c r="P642" s="41"/>
      <c r="Q642" s="41"/>
      <c r="R642" s="41"/>
      <c r="S642" s="41"/>
      <c r="T642" s="41"/>
      <c r="U642" s="41"/>
      <c r="V642" s="41"/>
      <c r="W642" s="41"/>
    </row>
    <row r="643" spans="1:23" ht="19.5" hidden="1" customHeight="1" x14ac:dyDescent="0.25">
      <c r="A643" s="41"/>
      <c r="B643" s="41"/>
      <c r="C643" s="41"/>
      <c r="D643" s="41"/>
      <c r="E643" s="41"/>
      <c r="F643" s="41"/>
      <c r="G643" s="41"/>
      <c r="H643" s="41"/>
      <c r="I643" s="41"/>
      <c r="J643" s="41"/>
      <c r="K643" s="41"/>
      <c r="L643" s="41"/>
      <c r="M643" s="41"/>
      <c r="N643" s="41"/>
      <c r="O643" s="41"/>
      <c r="P643" s="41"/>
      <c r="Q643" s="41"/>
      <c r="R643" s="41"/>
      <c r="S643" s="41"/>
      <c r="T643" s="41"/>
      <c r="U643" s="41"/>
      <c r="V643" s="41"/>
      <c r="W643" s="41"/>
    </row>
    <row r="644" spans="1:23" ht="19.5" hidden="1" customHeight="1" x14ac:dyDescent="0.25">
      <c r="A644" s="41"/>
      <c r="B644" s="41"/>
      <c r="C644" s="41"/>
      <c r="D644" s="41"/>
      <c r="E644" s="41"/>
      <c r="F644" s="41"/>
      <c r="G644" s="41"/>
      <c r="H644" s="41"/>
      <c r="I644" s="41"/>
      <c r="J644" s="41"/>
      <c r="K644" s="41"/>
      <c r="L644" s="41"/>
      <c r="M644" s="41"/>
      <c r="N644" s="41"/>
      <c r="O644" s="41"/>
      <c r="P644" s="41"/>
      <c r="Q644" s="41"/>
      <c r="R644" s="41"/>
      <c r="S644" s="41"/>
      <c r="T644" s="41"/>
      <c r="U644" s="41"/>
      <c r="V644" s="41"/>
      <c r="W644" s="41"/>
    </row>
    <row r="645" spans="1:23" ht="19.5" hidden="1" customHeight="1" x14ac:dyDescent="0.25">
      <c r="A645" s="41"/>
      <c r="B645" s="41"/>
      <c r="C645" s="41"/>
      <c r="D645" s="41"/>
      <c r="E645" s="41"/>
      <c r="F645" s="41"/>
      <c r="G645" s="41"/>
      <c r="H645" s="41"/>
      <c r="I645" s="41"/>
      <c r="J645" s="41"/>
      <c r="K645" s="41"/>
      <c r="L645" s="41"/>
      <c r="M645" s="41"/>
      <c r="N645" s="41"/>
      <c r="O645" s="41"/>
      <c r="P645" s="41"/>
      <c r="Q645" s="41"/>
      <c r="R645" s="41"/>
      <c r="S645" s="41"/>
      <c r="T645" s="41"/>
      <c r="U645" s="41"/>
      <c r="V645" s="41"/>
      <c r="W645" s="41"/>
    </row>
    <row r="646" spans="1:23" ht="19.5" hidden="1" customHeight="1" x14ac:dyDescent="0.25">
      <c r="A646" s="41"/>
      <c r="B646" s="41"/>
      <c r="C646" s="41"/>
      <c r="D646" s="41"/>
      <c r="E646" s="41"/>
      <c r="F646" s="41"/>
      <c r="G646" s="41"/>
      <c r="H646" s="41"/>
      <c r="I646" s="41"/>
      <c r="J646" s="41"/>
      <c r="K646" s="41"/>
      <c r="L646" s="41"/>
      <c r="M646" s="41"/>
      <c r="N646" s="41"/>
      <c r="O646" s="41"/>
      <c r="P646" s="41"/>
      <c r="Q646" s="41"/>
      <c r="R646" s="41"/>
      <c r="S646" s="41"/>
      <c r="T646" s="41"/>
      <c r="U646" s="41"/>
      <c r="V646" s="41"/>
      <c r="W646" s="41"/>
    </row>
    <row r="647" spans="1:23" ht="19.5" hidden="1" customHeight="1" x14ac:dyDescent="0.25">
      <c r="A647" s="41"/>
      <c r="B647" s="41"/>
      <c r="C647" s="41"/>
      <c r="D647" s="41"/>
      <c r="E647" s="41"/>
      <c r="F647" s="41"/>
      <c r="G647" s="41"/>
      <c r="H647" s="41"/>
      <c r="I647" s="41"/>
      <c r="J647" s="41"/>
      <c r="K647" s="41"/>
      <c r="L647" s="41"/>
      <c r="M647" s="41"/>
      <c r="N647" s="41"/>
      <c r="O647" s="41"/>
      <c r="P647" s="41"/>
      <c r="Q647" s="41"/>
      <c r="R647" s="41"/>
      <c r="S647" s="41"/>
      <c r="T647" s="41"/>
      <c r="U647" s="41"/>
      <c r="V647" s="41"/>
      <c r="W647" s="41"/>
    </row>
    <row r="648" spans="1:23" ht="19.5" hidden="1" customHeight="1" x14ac:dyDescent="0.25">
      <c r="A648" s="41"/>
      <c r="B648" s="41"/>
      <c r="C648" s="41"/>
      <c r="D648" s="41"/>
      <c r="E648" s="41"/>
      <c r="F648" s="41"/>
      <c r="G648" s="41"/>
      <c r="H648" s="41"/>
      <c r="I648" s="41"/>
      <c r="J648" s="41"/>
      <c r="K648" s="41"/>
      <c r="L648" s="41"/>
      <c r="M648" s="41"/>
      <c r="N648" s="41"/>
      <c r="O648" s="41"/>
      <c r="P648" s="41"/>
      <c r="Q648" s="41"/>
      <c r="R648" s="41"/>
      <c r="S648" s="41"/>
      <c r="T648" s="41"/>
      <c r="U648" s="41"/>
      <c r="V648" s="41"/>
      <c r="W648" s="41"/>
    </row>
    <row r="649" spans="1:23" ht="19.5" hidden="1" customHeight="1" x14ac:dyDescent="0.25">
      <c r="A649" s="41"/>
      <c r="B649" s="41"/>
      <c r="C649" s="41"/>
      <c r="D649" s="41"/>
      <c r="E649" s="41"/>
      <c r="F649" s="41"/>
      <c r="G649" s="41"/>
      <c r="H649" s="41"/>
      <c r="I649" s="41"/>
      <c r="J649" s="41"/>
      <c r="K649" s="41"/>
      <c r="L649" s="41"/>
      <c r="M649" s="41"/>
      <c r="N649" s="41"/>
      <c r="O649" s="41"/>
      <c r="P649" s="41"/>
      <c r="Q649" s="41"/>
      <c r="R649" s="41"/>
      <c r="S649" s="41"/>
      <c r="T649" s="41"/>
      <c r="U649" s="41"/>
      <c r="V649" s="41"/>
      <c r="W649" s="41"/>
    </row>
    <row r="650" spans="1:23" ht="19.5" hidden="1" customHeight="1" x14ac:dyDescent="0.25">
      <c r="A650" s="41"/>
      <c r="B650" s="41"/>
      <c r="C650" s="41"/>
      <c r="D650" s="41"/>
      <c r="E650" s="41"/>
      <c r="F650" s="41"/>
      <c r="G650" s="41"/>
      <c r="H650" s="41"/>
      <c r="I650" s="41"/>
      <c r="J650" s="41"/>
      <c r="K650" s="41"/>
      <c r="L650" s="41"/>
      <c r="M650" s="41"/>
      <c r="N650" s="41"/>
      <c r="O650" s="41"/>
      <c r="P650" s="41"/>
      <c r="Q650" s="41"/>
      <c r="R650" s="41"/>
      <c r="S650" s="41"/>
      <c r="T650" s="41"/>
      <c r="U650" s="41"/>
      <c r="V650" s="41"/>
      <c r="W650" s="41"/>
    </row>
    <row r="651" spans="1:23" ht="19.5" hidden="1" customHeight="1" x14ac:dyDescent="0.25">
      <c r="A651" s="41"/>
      <c r="B651" s="41"/>
      <c r="C651" s="41"/>
      <c r="D651" s="41"/>
      <c r="E651" s="41"/>
      <c r="F651" s="41"/>
      <c r="G651" s="41"/>
      <c r="H651" s="41"/>
      <c r="I651" s="41"/>
      <c r="J651" s="41"/>
      <c r="K651" s="41"/>
      <c r="L651" s="41"/>
      <c r="M651" s="41"/>
      <c r="N651" s="41"/>
      <c r="O651" s="41"/>
      <c r="P651" s="41"/>
      <c r="Q651" s="41"/>
      <c r="R651" s="41"/>
      <c r="S651" s="41"/>
      <c r="T651" s="41"/>
      <c r="U651" s="41"/>
      <c r="V651" s="41"/>
      <c r="W651" s="41"/>
    </row>
    <row r="652" spans="1:23" ht="19.5" hidden="1" customHeight="1" x14ac:dyDescent="0.25">
      <c r="A652" s="41"/>
      <c r="B652" s="41"/>
      <c r="C652" s="41"/>
      <c r="D652" s="41"/>
      <c r="E652" s="41"/>
      <c r="F652" s="41"/>
      <c r="G652" s="41"/>
      <c r="H652" s="41"/>
      <c r="I652" s="41"/>
      <c r="J652" s="41"/>
      <c r="K652" s="41"/>
      <c r="L652" s="41"/>
      <c r="M652" s="41"/>
      <c r="N652" s="41"/>
      <c r="O652" s="41"/>
      <c r="P652" s="41"/>
      <c r="Q652" s="41"/>
      <c r="R652" s="41"/>
      <c r="S652" s="41"/>
      <c r="T652" s="41"/>
      <c r="U652" s="41"/>
      <c r="V652" s="41"/>
      <c r="W652" s="41"/>
    </row>
    <row r="653" spans="1:23" ht="19.5" hidden="1" customHeight="1" x14ac:dyDescent="0.25">
      <c r="A653" s="41"/>
      <c r="B653" s="41"/>
      <c r="C653" s="41"/>
      <c r="D653" s="41"/>
      <c r="E653" s="41"/>
      <c r="F653" s="41"/>
      <c r="G653" s="41"/>
      <c r="H653" s="41"/>
      <c r="I653" s="41"/>
      <c r="J653" s="41"/>
      <c r="K653" s="41"/>
      <c r="L653" s="41"/>
      <c r="M653" s="41"/>
      <c r="N653" s="41"/>
      <c r="O653" s="41"/>
      <c r="P653" s="41"/>
      <c r="Q653" s="41"/>
      <c r="R653" s="41"/>
      <c r="S653" s="41"/>
      <c r="T653" s="41"/>
      <c r="U653" s="41"/>
      <c r="V653" s="41"/>
      <c r="W653" s="41"/>
    </row>
    <row r="654" spans="1:23" ht="19.5" hidden="1" customHeight="1" x14ac:dyDescent="0.25">
      <c r="A654" s="41"/>
      <c r="B654" s="41"/>
      <c r="C654" s="41"/>
      <c r="D654" s="41"/>
      <c r="E654" s="41"/>
      <c r="F654" s="41"/>
      <c r="G654" s="41"/>
      <c r="H654" s="41"/>
      <c r="I654" s="41"/>
      <c r="J654" s="41"/>
      <c r="K654" s="41"/>
      <c r="L654" s="41"/>
      <c r="M654" s="41"/>
      <c r="N654" s="41"/>
      <c r="O654" s="41"/>
      <c r="P654" s="41"/>
      <c r="Q654" s="41"/>
      <c r="R654" s="41"/>
      <c r="S654" s="41"/>
      <c r="T654" s="41"/>
      <c r="U654" s="41"/>
      <c r="V654" s="41"/>
      <c r="W654" s="41"/>
    </row>
    <row r="655" spans="1:23" ht="19.5" hidden="1" customHeight="1" x14ac:dyDescent="0.25">
      <c r="A655" s="41"/>
      <c r="B655" s="41"/>
      <c r="C655" s="41"/>
      <c r="D655" s="41"/>
      <c r="E655" s="41"/>
      <c r="F655" s="41"/>
      <c r="G655" s="41"/>
      <c r="H655" s="41"/>
      <c r="I655" s="41"/>
      <c r="J655" s="41"/>
      <c r="K655" s="41"/>
      <c r="L655" s="41"/>
      <c r="M655" s="41"/>
      <c r="N655" s="41"/>
      <c r="O655" s="41"/>
      <c r="P655" s="41"/>
      <c r="Q655" s="41"/>
      <c r="R655" s="41"/>
      <c r="S655" s="41"/>
      <c r="T655" s="41"/>
      <c r="U655" s="41"/>
      <c r="V655" s="41"/>
      <c r="W655" s="41"/>
    </row>
    <row r="656" spans="1:23" ht="19.5" hidden="1" customHeight="1" x14ac:dyDescent="0.25">
      <c r="A656" s="41"/>
      <c r="B656" s="41"/>
      <c r="C656" s="41"/>
      <c r="D656" s="41"/>
      <c r="E656" s="41"/>
      <c r="F656" s="41"/>
      <c r="G656" s="41"/>
      <c r="H656" s="41"/>
      <c r="I656" s="41"/>
      <c r="J656" s="41"/>
      <c r="K656" s="41"/>
      <c r="L656" s="41"/>
      <c r="M656" s="41"/>
      <c r="N656" s="41"/>
      <c r="O656" s="41"/>
      <c r="P656" s="41"/>
      <c r="Q656" s="41"/>
      <c r="R656" s="41"/>
      <c r="S656" s="41"/>
      <c r="T656" s="41"/>
      <c r="U656" s="41"/>
      <c r="V656" s="41"/>
      <c r="W656" s="41"/>
    </row>
    <row r="657" spans="1:23" ht="19.5" hidden="1" customHeight="1" x14ac:dyDescent="0.25">
      <c r="A657" s="41"/>
      <c r="B657" s="41"/>
      <c r="C657" s="41"/>
      <c r="D657" s="41"/>
      <c r="E657" s="41"/>
      <c r="F657" s="41"/>
      <c r="G657" s="41"/>
      <c r="H657" s="41"/>
      <c r="I657" s="41"/>
      <c r="J657" s="41"/>
      <c r="K657" s="41"/>
      <c r="L657" s="41"/>
      <c r="M657" s="41"/>
      <c r="N657" s="41"/>
      <c r="O657" s="41"/>
      <c r="P657" s="41"/>
      <c r="Q657" s="41"/>
      <c r="R657" s="41"/>
      <c r="S657" s="41"/>
      <c r="T657" s="41"/>
      <c r="U657" s="41"/>
      <c r="V657" s="41"/>
      <c r="W657" s="41"/>
    </row>
    <row r="658" spans="1:23" ht="19.5" hidden="1" customHeight="1" x14ac:dyDescent="0.25">
      <c r="A658" s="41"/>
      <c r="B658" s="41"/>
      <c r="C658" s="41"/>
      <c r="D658" s="41"/>
      <c r="E658" s="41"/>
      <c r="F658" s="41"/>
      <c r="G658" s="41"/>
      <c r="H658" s="41"/>
      <c r="I658" s="41"/>
      <c r="J658" s="41"/>
      <c r="K658" s="41"/>
      <c r="L658" s="41"/>
      <c r="M658" s="41"/>
      <c r="N658" s="41"/>
      <c r="O658" s="41"/>
      <c r="P658" s="41"/>
      <c r="Q658" s="41"/>
      <c r="R658" s="41"/>
      <c r="S658" s="41"/>
      <c r="T658" s="41"/>
      <c r="U658" s="41"/>
      <c r="V658" s="41"/>
      <c r="W658" s="41"/>
    </row>
    <row r="659" spans="1:23" ht="19.5" hidden="1" customHeight="1" x14ac:dyDescent="0.25">
      <c r="A659" s="41"/>
      <c r="B659" s="41"/>
      <c r="C659" s="41"/>
      <c r="D659" s="41"/>
      <c r="E659" s="41"/>
      <c r="F659" s="41"/>
      <c r="G659" s="41"/>
      <c r="H659" s="41"/>
      <c r="I659" s="41"/>
      <c r="J659" s="41"/>
      <c r="K659" s="41"/>
      <c r="L659" s="41"/>
      <c r="M659" s="41"/>
      <c r="N659" s="41"/>
      <c r="O659" s="41"/>
      <c r="P659" s="41"/>
      <c r="Q659" s="41"/>
      <c r="R659" s="41"/>
      <c r="S659" s="41"/>
      <c r="T659" s="41"/>
      <c r="U659" s="41"/>
      <c r="V659" s="41"/>
      <c r="W659" s="41"/>
    </row>
    <row r="660" spans="1:23" ht="19.5" hidden="1" customHeight="1" x14ac:dyDescent="0.25">
      <c r="A660" s="41"/>
      <c r="B660" s="41"/>
      <c r="C660" s="41"/>
      <c r="D660" s="41"/>
      <c r="E660" s="41"/>
      <c r="F660" s="41"/>
      <c r="G660" s="41"/>
      <c r="H660" s="41"/>
      <c r="I660" s="41"/>
      <c r="J660" s="41"/>
      <c r="K660" s="41"/>
      <c r="L660" s="41"/>
      <c r="M660" s="41"/>
      <c r="N660" s="41"/>
      <c r="O660" s="41"/>
      <c r="P660" s="41"/>
      <c r="Q660" s="41"/>
      <c r="R660" s="41"/>
      <c r="S660" s="41"/>
      <c r="T660" s="41"/>
      <c r="U660" s="41"/>
      <c r="V660" s="41"/>
      <c r="W660" s="41"/>
    </row>
    <row r="661" spans="1:23" ht="19.5" hidden="1" customHeight="1" x14ac:dyDescent="0.25">
      <c r="A661" s="41"/>
      <c r="B661" s="41"/>
      <c r="C661" s="41"/>
      <c r="D661" s="41"/>
      <c r="E661" s="41"/>
      <c r="F661" s="41"/>
      <c r="G661" s="41"/>
      <c r="H661" s="41"/>
      <c r="I661" s="41"/>
      <c r="J661" s="41"/>
      <c r="K661" s="41"/>
      <c r="L661" s="41"/>
      <c r="M661" s="41"/>
      <c r="N661" s="41"/>
      <c r="O661" s="41"/>
      <c r="P661" s="41"/>
      <c r="Q661" s="41"/>
      <c r="R661" s="41"/>
      <c r="S661" s="41"/>
      <c r="T661" s="41"/>
      <c r="U661" s="41"/>
      <c r="V661" s="41"/>
      <c r="W661" s="41"/>
    </row>
    <row r="662" spans="1:23" ht="19.5" hidden="1" customHeight="1" x14ac:dyDescent="0.25">
      <c r="A662" s="41"/>
      <c r="B662" s="41"/>
      <c r="C662" s="41"/>
      <c r="D662" s="41"/>
      <c r="E662" s="41"/>
      <c r="F662" s="41"/>
      <c r="G662" s="41"/>
      <c r="H662" s="41"/>
      <c r="I662" s="41"/>
      <c r="J662" s="41"/>
      <c r="K662" s="41"/>
      <c r="L662" s="41"/>
      <c r="M662" s="41"/>
      <c r="N662" s="41"/>
      <c r="O662" s="41"/>
      <c r="P662" s="41"/>
      <c r="Q662" s="41"/>
      <c r="R662" s="41"/>
      <c r="S662" s="41"/>
      <c r="T662" s="41"/>
      <c r="U662" s="41"/>
      <c r="V662" s="41"/>
      <c r="W662" s="41"/>
    </row>
    <row r="663" spans="1:23" ht="19.5" hidden="1" customHeight="1" x14ac:dyDescent="0.25">
      <c r="A663" s="41"/>
      <c r="B663" s="41"/>
      <c r="C663" s="41"/>
      <c r="D663" s="41"/>
      <c r="E663" s="41"/>
      <c r="F663" s="41"/>
      <c r="G663" s="41"/>
      <c r="H663" s="41"/>
      <c r="I663" s="41"/>
      <c r="J663" s="41"/>
      <c r="K663" s="41"/>
      <c r="L663" s="41"/>
      <c r="M663" s="41"/>
      <c r="N663" s="41"/>
      <c r="O663" s="41"/>
      <c r="P663" s="41"/>
      <c r="Q663" s="41"/>
      <c r="R663" s="41"/>
      <c r="S663" s="41"/>
      <c r="T663" s="41"/>
      <c r="U663" s="41"/>
      <c r="V663" s="41"/>
      <c r="W663" s="41"/>
    </row>
    <row r="664" spans="1:23" ht="19.5" hidden="1" customHeight="1" x14ac:dyDescent="0.25">
      <c r="A664" s="41"/>
      <c r="B664" s="41"/>
      <c r="C664" s="41"/>
      <c r="D664" s="41"/>
      <c r="E664" s="41"/>
      <c r="F664" s="41"/>
      <c r="G664" s="41"/>
      <c r="H664" s="41"/>
      <c r="I664" s="41"/>
      <c r="J664" s="41"/>
      <c r="K664" s="41"/>
      <c r="L664" s="41"/>
      <c r="M664" s="41"/>
      <c r="N664" s="41"/>
      <c r="O664" s="41"/>
      <c r="P664" s="41"/>
      <c r="Q664" s="41"/>
      <c r="R664" s="41"/>
      <c r="S664" s="41"/>
      <c r="T664" s="41"/>
      <c r="U664" s="41"/>
      <c r="V664" s="41"/>
      <c r="W664" s="41"/>
    </row>
    <row r="665" spans="1:23" ht="19.5" hidden="1" customHeight="1" x14ac:dyDescent="0.25">
      <c r="A665" s="41"/>
      <c r="B665" s="41"/>
      <c r="C665" s="41"/>
      <c r="D665" s="41"/>
      <c r="E665" s="41"/>
      <c r="F665" s="41"/>
      <c r="G665" s="41"/>
      <c r="H665" s="41"/>
      <c r="I665" s="41"/>
      <c r="J665" s="41"/>
      <c r="K665" s="41"/>
      <c r="L665" s="41"/>
      <c r="M665" s="41"/>
      <c r="N665" s="41"/>
      <c r="O665" s="41"/>
      <c r="P665" s="41"/>
      <c r="Q665" s="41"/>
      <c r="R665" s="41"/>
      <c r="S665" s="41"/>
      <c r="T665" s="41"/>
      <c r="U665" s="41"/>
      <c r="V665" s="41"/>
      <c r="W665" s="41"/>
    </row>
    <row r="666" spans="1:23" ht="19.5" hidden="1" customHeight="1" x14ac:dyDescent="0.25">
      <c r="A666" s="41"/>
      <c r="B666" s="41"/>
      <c r="C666" s="41"/>
      <c r="D666" s="41"/>
      <c r="E666" s="41"/>
      <c r="F666" s="41"/>
      <c r="G666" s="41"/>
      <c r="H666" s="41"/>
      <c r="I666" s="41"/>
      <c r="J666" s="41"/>
      <c r="K666" s="41"/>
      <c r="L666" s="41"/>
      <c r="M666" s="41"/>
      <c r="N666" s="41"/>
      <c r="O666" s="41"/>
      <c r="P666" s="41"/>
      <c r="Q666" s="41"/>
      <c r="R666" s="41"/>
      <c r="S666" s="41"/>
      <c r="T666" s="41"/>
      <c r="U666" s="41"/>
      <c r="V666" s="41"/>
      <c r="W666" s="41"/>
    </row>
    <row r="667" spans="1:23" ht="19.5" hidden="1" customHeight="1" x14ac:dyDescent="0.25">
      <c r="A667" s="41"/>
      <c r="B667" s="41"/>
      <c r="C667" s="41"/>
      <c r="D667" s="41"/>
      <c r="E667" s="41"/>
      <c r="F667" s="41"/>
      <c r="G667" s="41"/>
      <c r="H667" s="41"/>
      <c r="I667" s="41"/>
      <c r="J667" s="41"/>
      <c r="K667" s="41"/>
      <c r="L667" s="41"/>
      <c r="M667" s="41"/>
      <c r="N667" s="41"/>
      <c r="O667" s="41"/>
      <c r="P667" s="41"/>
      <c r="Q667" s="41"/>
      <c r="R667" s="41"/>
      <c r="S667" s="41"/>
      <c r="T667" s="41"/>
      <c r="U667" s="41"/>
      <c r="V667" s="41"/>
      <c r="W667" s="41"/>
    </row>
    <row r="668" spans="1:23" ht="19.5" hidden="1" customHeight="1" x14ac:dyDescent="0.25">
      <c r="A668" s="41"/>
      <c r="B668" s="41"/>
      <c r="C668" s="41"/>
      <c r="D668" s="41"/>
      <c r="E668" s="41"/>
      <c r="F668" s="41"/>
      <c r="G668" s="41"/>
      <c r="H668" s="41"/>
      <c r="I668" s="41"/>
      <c r="J668" s="41"/>
      <c r="K668" s="41"/>
      <c r="L668" s="41"/>
      <c r="M668" s="41"/>
      <c r="N668" s="41"/>
      <c r="O668" s="41"/>
      <c r="P668" s="41"/>
      <c r="Q668" s="41"/>
      <c r="R668" s="41"/>
      <c r="S668" s="41"/>
      <c r="T668" s="41"/>
      <c r="U668" s="41"/>
      <c r="V668" s="41"/>
      <c r="W668" s="41"/>
    </row>
    <row r="669" spans="1:23" ht="19.5" hidden="1" customHeight="1" x14ac:dyDescent="0.25">
      <c r="A669" s="41"/>
      <c r="B669" s="41"/>
      <c r="C669" s="41"/>
      <c r="D669" s="41"/>
      <c r="E669" s="41"/>
      <c r="F669" s="41"/>
      <c r="G669" s="41"/>
      <c r="H669" s="41"/>
      <c r="I669" s="41"/>
      <c r="J669" s="41"/>
      <c r="K669" s="41"/>
      <c r="L669" s="41"/>
      <c r="M669" s="41"/>
      <c r="N669" s="41"/>
      <c r="O669" s="41"/>
      <c r="P669" s="41"/>
      <c r="Q669" s="41"/>
      <c r="R669" s="41"/>
      <c r="S669" s="41"/>
      <c r="T669" s="41"/>
      <c r="U669" s="41"/>
      <c r="V669" s="41"/>
      <c r="W669" s="41"/>
    </row>
    <row r="670" spans="1:23" ht="19.5" hidden="1" customHeight="1" x14ac:dyDescent="0.25">
      <c r="A670" s="41"/>
      <c r="B670" s="41"/>
      <c r="C670" s="41"/>
      <c r="D670" s="41"/>
      <c r="E670" s="41"/>
      <c r="F670" s="41"/>
      <c r="G670" s="41"/>
      <c r="H670" s="41"/>
      <c r="I670" s="41"/>
      <c r="J670" s="41"/>
      <c r="K670" s="41"/>
      <c r="L670" s="41"/>
      <c r="M670" s="41"/>
      <c r="N670" s="41"/>
      <c r="O670" s="41"/>
      <c r="P670" s="41"/>
      <c r="Q670" s="41"/>
      <c r="R670" s="41"/>
      <c r="S670" s="41"/>
      <c r="T670" s="41"/>
      <c r="U670" s="41"/>
      <c r="V670" s="41"/>
      <c r="W670" s="41"/>
    </row>
    <row r="671" spans="1:23" ht="19.5" hidden="1" customHeight="1" x14ac:dyDescent="0.25">
      <c r="A671" s="41"/>
      <c r="B671" s="41"/>
      <c r="C671" s="41"/>
      <c r="D671" s="41"/>
      <c r="E671" s="41"/>
      <c r="F671" s="41"/>
      <c r="G671" s="41"/>
      <c r="H671" s="41"/>
      <c r="I671" s="41"/>
      <c r="J671" s="41"/>
      <c r="K671" s="41"/>
      <c r="L671" s="41"/>
      <c r="M671" s="41"/>
      <c r="N671" s="41"/>
      <c r="O671" s="41"/>
      <c r="P671" s="41"/>
      <c r="Q671" s="41"/>
      <c r="R671" s="41"/>
      <c r="S671" s="41"/>
      <c r="T671" s="41"/>
      <c r="U671" s="41"/>
      <c r="V671" s="41"/>
      <c r="W671" s="41"/>
    </row>
    <row r="672" spans="1:23" ht="19.5" hidden="1" customHeight="1" x14ac:dyDescent="0.25">
      <c r="A672" s="41"/>
      <c r="B672" s="41"/>
      <c r="C672" s="41"/>
      <c r="D672" s="41"/>
      <c r="E672" s="41"/>
      <c r="F672" s="41"/>
      <c r="G672" s="41"/>
      <c r="H672" s="41"/>
      <c r="I672" s="41"/>
      <c r="J672" s="41"/>
      <c r="K672" s="41"/>
      <c r="L672" s="41"/>
      <c r="M672" s="41"/>
      <c r="N672" s="41"/>
      <c r="O672" s="41"/>
      <c r="P672" s="41"/>
      <c r="Q672" s="41"/>
      <c r="R672" s="41"/>
      <c r="S672" s="41"/>
      <c r="T672" s="41"/>
      <c r="U672" s="41"/>
      <c r="V672" s="41"/>
      <c r="W672" s="41"/>
    </row>
    <row r="673" spans="1:23" ht="19.5" hidden="1" customHeight="1" x14ac:dyDescent="0.25">
      <c r="A673" s="41"/>
      <c r="B673" s="41"/>
      <c r="C673" s="41"/>
      <c r="D673" s="41"/>
      <c r="E673" s="41"/>
      <c r="F673" s="41"/>
      <c r="G673" s="41"/>
      <c r="H673" s="41"/>
      <c r="I673" s="41"/>
      <c r="J673" s="41"/>
      <c r="K673" s="41"/>
      <c r="L673" s="41"/>
      <c r="M673" s="41"/>
      <c r="N673" s="41"/>
      <c r="O673" s="41"/>
      <c r="P673" s="41"/>
      <c r="Q673" s="41"/>
      <c r="R673" s="41"/>
      <c r="S673" s="41"/>
      <c r="T673" s="41"/>
      <c r="U673" s="41"/>
      <c r="V673" s="41"/>
      <c r="W673" s="41"/>
    </row>
    <row r="674" spans="1:23" ht="19.5" hidden="1" customHeight="1" x14ac:dyDescent="0.25">
      <c r="A674" s="41"/>
      <c r="B674" s="41"/>
      <c r="C674" s="41"/>
      <c r="D674" s="41"/>
      <c r="E674" s="41"/>
      <c r="F674" s="41"/>
      <c r="G674" s="41"/>
      <c r="H674" s="41"/>
      <c r="I674" s="41"/>
      <c r="J674" s="41"/>
      <c r="K674" s="41"/>
      <c r="L674" s="41"/>
      <c r="M674" s="41"/>
      <c r="N674" s="41"/>
      <c r="O674" s="41"/>
      <c r="P674" s="41"/>
      <c r="Q674" s="41"/>
      <c r="R674" s="41"/>
      <c r="S674" s="41"/>
      <c r="T674" s="41"/>
      <c r="U674" s="41"/>
      <c r="V674" s="41"/>
      <c r="W674" s="41"/>
    </row>
    <row r="675" spans="1:23" ht="19.5" hidden="1" customHeight="1" x14ac:dyDescent="0.25">
      <c r="A675" s="41"/>
      <c r="B675" s="41"/>
      <c r="C675" s="41"/>
      <c r="D675" s="41"/>
      <c r="E675" s="41"/>
      <c r="F675" s="41"/>
      <c r="G675" s="41"/>
      <c r="H675" s="41"/>
      <c r="I675" s="41"/>
      <c r="J675" s="41"/>
      <c r="K675" s="41"/>
      <c r="L675" s="41"/>
      <c r="M675" s="41"/>
      <c r="N675" s="41"/>
      <c r="O675" s="41"/>
      <c r="P675" s="41"/>
      <c r="Q675" s="41"/>
      <c r="R675" s="41"/>
      <c r="S675" s="41"/>
      <c r="T675" s="41"/>
      <c r="U675" s="41"/>
      <c r="V675" s="41"/>
      <c r="W675" s="41"/>
    </row>
    <row r="676" spans="1:23" ht="19.5" hidden="1" customHeight="1" x14ac:dyDescent="0.25">
      <c r="A676" s="41"/>
      <c r="B676" s="41"/>
      <c r="C676" s="41"/>
      <c r="D676" s="41"/>
      <c r="E676" s="41"/>
      <c r="F676" s="41"/>
      <c r="G676" s="41"/>
      <c r="H676" s="41"/>
      <c r="I676" s="41"/>
      <c r="J676" s="41"/>
      <c r="K676" s="41"/>
      <c r="L676" s="41"/>
      <c r="M676" s="41"/>
      <c r="N676" s="41"/>
      <c r="O676" s="41"/>
      <c r="P676" s="41"/>
      <c r="Q676" s="41"/>
      <c r="R676" s="41"/>
      <c r="S676" s="41"/>
      <c r="T676" s="41"/>
      <c r="U676" s="41"/>
      <c r="V676" s="41"/>
      <c r="W676" s="41"/>
    </row>
    <row r="677" spans="1:23" ht="19.5" hidden="1" customHeight="1" x14ac:dyDescent="0.25">
      <c r="A677" s="41"/>
      <c r="B677" s="41"/>
      <c r="C677" s="41"/>
      <c r="D677" s="41"/>
      <c r="E677" s="41"/>
      <c r="F677" s="41"/>
      <c r="G677" s="41"/>
      <c r="H677" s="41"/>
      <c r="I677" s="41"/>
      <c r="J677" s="41"/>
      <c r="K677" s="41"/>
      <c r="L677" s="41"/>
      <c r="M677" s="41"/>
      <c r="N677" s="41"/>
      <c r="O677" s="41"/>
      <c r="P677" s="41"/>
      <c r="Q677" s="41"/>
      <c r="R677" s="41"/>
      <c r="S677" s="41"/>
      <c r="T677" s="41"/>
      <c r="U677" s="41"/>
      <c r="V677" s="41"/>
      <c r="W677" s="41"/>
    </row>
    <row r="678" spans="1:23" ht="19.5" hidden="1" customHeight="1" x14ac:dyDescent="0.25">
      <c r="A678" s="41"/>
      <c r="B678" s="41"/>
      <c r="C678" s="41"/>
      <c r="D678" s="41"/>
      <c r="E678" s="41"/>
      <c r="F678" s="41"/>
      <c r="G678" s="41"/>
      <c r="H678" s="41"/>
      <c r="I678" s="41"/>
      <c r="J678" s="41"/>
      <c r="K678" s="41"/>
      <c r="L678" s="41"/>
      <c r="M678" s="41"/>
      <c r="N678" s="41"/>
      <c r="O678" s="41"/>
      <c r="P678" s="41"/>
      <c r="Q678" s="41"/>
      <c r="R678" s="41"/>
      <c r="S678" s="41"/>
      <c r="T678" s="41"/>
      <c r="U678" s="41"/>
      <c r="V678" s="41"/>
      <c r="W678" s="41"/>
    </row>
    <row r="679" spans="1:23" ht="19.5" hidden="1" customHeight="1" x14ac:dyDescent="0.25">
      <c r="A679" s="41"/>
      <c r="B679" s="41"/>
      <c r="C679" s="41"/>
      <c r="D679" s="41"/>
      <c r="E679" s="41"/>
      <c r="F679" s="41"/>
      <c r="G679" s="41"/>
      <c r="H679" s="41"/>
      <c r="I679" s="41"/>
      <c r="J679" s="41"/>
      <c r="K679" s="41"/>
      <c r="L679" s="41"/>
      <c r="M679" s="41"/>
      <c r="N679" s="41"/>
      <c r="O679" s="41"/>
      <c r="P679" s="41"/>
      <c r="Q679" s="41"/>
      <c r="R679" s="41"/>
      <c r="S679" s="41"/>
      <c r="T679" s="41"/>
      <c r="U679" s="41"/>
      <c r="V679" s="41"/>
      <c r="W679" s="41"/>
    </row>
    <row r="680" spans="1:23" ht="19.5" hidden="1" customHeight="1" x14ac:dyDescent="0.25">
      <c r="A680" s="41"/>
      <c r="B680" s="41"/>
      <c r="C680" s="41"/>
      <c r="D680" s="41"/>
      <c r="E680" s="41"/>
      <c r="F680" s="41"/>
      <c r="G680" s="41"/>
      <c r="H680" s="41"/>
      <c r="I680" s="41"/>
      <c r="J680" s="41"/>
      <c r="K680" s="41"/>
      <c r="L680" s="41"/>
      <c r="M680" s="41"/>
      <c r="N680" s="41"/>
      <c r="O680" s="41"/>
      <c r="P680" s="41"/>
      <c r="Q680" s="41"/>
      <c r="R680" s="41"/>
      <c r="S680" s="41"/>
      <c r="T680" s="41"/>
      <c r="U680" s="41"/>
      <c r="V680" s="41"/>
      <c r="W680" s="41"/>
    </row>
    <row r="681" spans="1:23" ht="19.5" hidden="1" customHeight="1" x14ac:dyDescent="0.25">
      <c r="A681" s="41"/>
      <c r="B681" s="41"/>
      <c r="C681" s="41"/>
      <c r="D681" s="41"/>
      <c r="E681" s="41"/>
      <c r="F681" s="41"/>
      <c r="G681" s="41"/>
      <c r="H681" s="41"/>
      <c r="I681" s="41"/>
      <c r="J681" s="41"/>
      <c r="K681" s="41"/>
      <c r="L681" s="41"/>
      <c r="M681" s="41"/>
      <c r="N681" s="41"/>
      <c r="O681" s="41"/>
      <c r="P681" s="41"/>
      <c r="Q681" s="41"/>
      <c r="R681" s="41"/>
      <c r="S681" s="41"/>
      <c r="T681" s="41"/>
      <c r="U681" s="41"/>
      <c r="V681" s="41"/>
      <c r="W681" s="41"/>
    </row>
    <row r="682" spans="1:23" ht="19.5" hidden="1" customHeight="1" x14ac:dyDescent="0.25">
      <c r="A682" s="41"/>
      <c r="B682" s="41"/>
      <c r="C682" s="41"/>
      <c r="D682" s="41"/>
      <c r="E682" s="41"/>
      <c r="F682" s="41"/>
      <c r="G682" s="41"/>
      <c r="H682" s="41"/>
      <c r="I682" s="41"/>
      <c r="J682" s="41"/>
      <c r="K682" s="41"/>
      <c r="L682" s="41"/>
      <c r="M682" s="41"/>
      <c r="N682" s="41"/>
      <c r="O682" s="41"/>
      <c r="P682" s="41"/>
      <c r="Q682" s="41"/>
      <c r="R682" s="41"/>
      <c r="S682" s="41"/>
      <c r="T682" s="41"/>
      <c r="U682" s="41"/>
      <c r="V682" s="41"/>
      <c r="W682" s="41"/>
    </row>
    <row r="683" spans="1:23" ht="19.5" hidden="1" customHeight="1" x14ac:dyDescent="0.25">
      <c r="A683" s="41"/>
      <c r="B683" s="41"/>
      <c r="C683" s="41"/>
      <c r="D683" s="41"/>
      <c r="E683" s="41"/>
      <c r="F683" s="41"/>
      <c r="G683" s="41"/>
      <c r="H683" s="41"/>
      <c r="I683" s="41"/>
      <c r="J683" s="41"/>
      <c r="K683" s="41"/>
      <c r="L683" s="41"/>
      <c r="M683" s="41"/>
      <c r="N683" s="41"/>
      <c r="O683" s="41"/>
      <c r="P683" s="41"/>
      <c r="Q683" s="41"/>
      <c r="R683" s="41"/>
      <c r="S683" s="41"/>
      <c r="T683" s="41"/>
      <c r="U683" s="41"/>
      <c r="V683" s="41"/>
      <c r="W683" s="41"/>
    </row>
    <row r="684" spans="1:23" ht="19.5" hidden="1" customHeight="1" x14ac:dyDescent="0.25">
      <c r="A684" s="41"/>
      <c r="B684" s="41"/>
      <c r="C684" s="41"/>
      <c r="D684" s="41"/>
      <c r="E684" s="41"/>
      <c r="F684" s="41"/>
      <c r="G684" s="41"/>
      <c r="H684" s="41"/>
      <c r="I684" s="41"/>
      <c r="J684" s="41"/>
      <c r="K684" s="41"/>
      <c r="L684" s="41"/>
      <c r="M684" s="41"/>
      <c r="N684" s="41"/>
      <c r="O684" s="41"/>
      <c r="P684" s="41"/>
      <c r="Q684" s="41"/>
      <c r="R684" s="41"/>
      <c r="S684" s="41"/>
      <c r="T684" s="41"/>
      <c r="U684" s="41"/>
      <c r="V684" s="41"/>
      <c r="W684" s="41"/>
    </row>
    <row r="685" spans="1:23" ht="19.5" hidden="1" customHeight="1" x14ac:dyDescent="0.25">
      <c r="A685" s="41"/>
      <c r="B685" s="41"/>
      <c r="C685" s="41"/>
      <c r="D685" s="41"/>
      <c r="E685" s="41"/>
      <c r="F685" s="41"/>
      <c r="G685" s="41"/>
      <c r="H685" s="41"/>
      <c r="I685" s="41"/>
      <c r="J685" s="41"/>
      <c r="K685" s="41"/>
      <c r="L685" s="41"/>
      <c r="M685" s="41"/>
      <c r="N685" s="41"/>
      <c r="O685" s="41"/>
      <c r="P685" s="41"/>
      <c r="Q685" s="41"/>
      <c r="R685" s="41"/>
      <c r="S685" s="41"/>
      <c r="T685" s="41"/>
      <c r="U685" s="41"/>
      <c r="V685" s="41"/>
      <c r="W685" s="41"/>
    </row>
    <row r="686" spans="1:23" ht="19.5" hidden="1" customHeight="1" x14ac:dyDescent="0.25">
      <c r="A686" s="41"/>
      <c r="B686" s="41"/>
      <c r="C686" s="41"/>
      <c r="D686" s="41"/>
      <c r="E686" s="41"/>
      <c r="F686" s="41"/>
      <c r="G686" s="41"/>
      <c r="H686" s="41"/>
      <c r="I686" s="41"/>
      <c r="J686" s="41"/>
      <c r="K686" s="41"/>
      <c r="L686" s="41"/>
      <c r="M686" s="41"/>
      <c r="N686" s="41"/>
      <c r="O686" s="41"/>
      <c r="P686" s="41"/>
      <c r="Q686" s="41"/>
      <c r="R686" s="41"/>
      <c r="S686" s="41"/>
      <c r="T686" s="41"/>
      <c r="U686" s="41"/>
      <c r="V686" s="41"/>
      <c r="W686" s="41"/>
    </row>
    <row r="687" spans="1:23" ht="19.5" hidden="1" customHeight="1" x14ac:dyDescent="0.25">
      <c r="A687" s="41"/>
      <c r="B687" s="41"/>
      <c r="C687" s="41"/>
      <c r="D687" s="41"/>
      <c r="E687" s="41"/>
      <c r="F687" s="41"/>
      <c r="G687" s="41"/>
      <c r="H687" s="41"/>
      <c r="I687" s="41"/>
      <c r="J687" s="41"/>
      <c r="K687" s="41"/>
      <c r="L687" s="41"/>
      <c r="M687" s="41"/>
      <c r="N687" s="41"/>
      <c r="O687" s="41"/>
      <c r="P687" s="41"/>
      <c r="Q687" s="41"/>
      <c r="R687" s="41"/>
      <c r="S687" s="41"/>
      <c r="T687" s="41"/>
      <c r="U687" s="41"/>
      <c r="V687" s="41"/>
      <c r="W687" s="41"/>
    </row>
    <row r="688" spans="1:23" ht="19.5" hidden="1" customHeight="1" x14ac:dyDescent="0.25">
      <c r="A688" s="41"/>
      <c r="B688" s="41"/>
      <c r="C688" s="41"/>
      <c r="D688" s="41"/>
      <c r="E688" s="41"/>
      <c r="F688" s="41"/>
      <c r="G688" s="41"/>
      <c r="H688" s="41"/>
      <c r="I688" s="41"/>
      <c r="J688" s="41"/>
      <c r="K688" s="41"/>
      <c r="L688" s="41"/>
      <c r="M688" s="41"/>
      <c r="N688" s="41"/>
      <c r="O688" s="41"/>
      <c r="P688" s="41"/>
      <c r="Q688" s="41"/>
      <c r="R688" s="41"/>
      <c r="S688" s="41"/>
      <c r="T688" s="41"/>
      <c r="U688" s="41"/>
      <c r="V688" s="41"/>
      <c r="W688" s="41"/>
    </row>
    <row r="689" spans="1:23" ht="19.5" hidden="1" customHeight="1" x14ac:dyDescent="0.25">
      <c r="A689" s="41"/>
      <c r="B689" s="41"/>
      <c r="C689" s="41"/>
      <c r="D689" s="41"/>
      <c r="E689" s="41"/>
      <c r="F689" s="41"/>
      <c r="G689" s="41"/>
      <c r="H689" s="41"/>
      <c r="I689" s="41"/>
      <c r="J689" s="41"/>
      <c r="K689" s="41"/>
      <c r="L689" s="41"/>
      <c r="M689" s="41"/>
      <c r="N689" s="41"/>
      <c r="O689" s="41"/>
      <c r="P689" s="41"/>
      <c r="Q689" s="41"/>
      <c r="R689" s="41"/>
      <c r="S689" s="41"/>
      <c r="T689" s="41"/>
      <c r="U689" s="41"/>
      <c r="V689" s="41"/>
      <c r="W689" s="41"/>
    </row>
    <row r="690" spans="1:23" ht="19.5" hidden="1" customHeight="1" x14ac:dyDescent="0.25">
      <c r="A690" s="41"/>
      <c r="B690" s="41"/>
      <c r="C690" s="41"/>
      <c r="D690" s="41"/>
      <c r="E690" s="41"/>
      <c r="F690" s="41"/>
      <c r="G690" s="41"/>
      <c r="H690" s="41"/>
      <c r="I690" s="41"/>
      <c r="J690" s="41"/>
      <c r="K690" s="41"/>
      <c r="L690" s="41"/>
      <c r="M690" s="41"/>
      <c r="N690" s="41"/>
      <c r="O690" s="41"/>
      <c r="P690" s="41"/>
      <c r="Q690" s="41"/>
      <c r="R690" s="41"/>
      <c r="S690" s="41"/>
      <c r="T690" s="41"/>
      <c r="U690" s="41"/>
      <c r="V690" s="41"/>
      <c r="W690" s="41"/>
    </row>
    <row r="691" spans="1:23" ht="19.5" hidden="1" customHeight="1" x14ac:dyDescent="0.25">
      <c r="A691" s="41"/>
      <c r="B691" s="41"/>
      <c r="C691" s="41"/>
      <c r="D691" s="41"/>
      <c r="E691" s="41"/>
      <c r="F691" s="41"/>
      <c r="G691" s="41"/>
      <c r="H691" s="41"/>
      <c r="I691" s="41"/>
      <c r="J691" s="41"/>
      <c r="K691" s="41"/>
      <c r="L691" s="41"/>
      <c r="M691" s="41"/>
      <c r="N691" s="41"/>
      <c r="O691" s="41"/>
      <c r="P691" s="41"/>
      <c r="Q691" s="41"/>
      <c r="R691" s="41"/>
      <c r="S691" s="41"/>
      <c r="T691" s="41"/>
      <c r="U691" s="41"/>
      <c r="V691" s="41"/>
      <c r="W691" s="41"/>
    </row>
    <row r="692" spans="1:23" ht="19.5" hidden="1" customHeight="1" x14ac:dyDescent="0.25">
      <c r="A692" s="41"/>
      <c r="B692" s="41"/>
      <c r="C692" s="41"/>
      <c r="D692" s="41"/>
      <c r="E692" s="41"/>
      <c r="F692" s="41"/>
      <c r="G692" s="41"/>
      <c r="H692" s="41"/>
      <c r="I692" s="41"/>
      <c r="J692" s="41"/>
      <c r="K692" s="41"/>
      <c r="L692" s="41"/>
      <c r="M692" s="41"/>
      <c r="N692" s="41"/>
      <c r="O692" s="41"/>
      <c r="P692" s="41"/>
      <c r="Q692" s="41"/>
      <c r="R692" s="41"/>
      <c r="S692" s="41"/>
      <c r="T692" s="41"/>
      <c r="U692" s="41"/>
      <c r="V692" s="41"/>
      <c r="W692" s="41"/>
    </row>
    <row r="693" spans="1:23" ht="19.5" hidden="1" customHeight="1" x14ac:dyDescent="0.25">
      <c r="A693" s="41"/>
      <c r="B693" s="41"/>
      <c r="C693" s="41"/>
      <c r="D693" s="41"/>
      <c r="E693" s="41"/>
      <c r="F693" s="41"/>
      <c r="G693" s="41"/>
      <c r="H693" s="41"/>
      <c r="I693" s="41"/>
      <c r="J693" s="41"/>
      <c r="K693" s="41"/>
      <c r="L693" s="41"/>
      <c r="M693" s="41"/>
      <c r="N693" s="41"/>
      <c r="O693" s="41"/>
      <c r="P693" s="41"/>
      <c r="Q693" s="41"/>
      <c r="R693" s="41"/>
      <c r="S693" s="41"/>
      <c r="T693" s="41"/>
      <c r="U693" s="41"/>
      <c r="V693" s="41"/>
      <c r="W693" s="41"/>
    </row>
    <row r="694" spans="1:23" ht="19.5" hidden="1" customHeight="1" x14ac:dyDescent="0.25">
      <c r="A694" s="41"/>
      <c r="B694" s="41"/>
      <c r="C694" s="41"/>
      <c r="D694" s="41"/>
      <c r="E694" s="41"/>
      <c r="F694" s="41"/>
      <c r="G694" s="41"/>
      <c r="H694" s="41"/>
      <c r="I694" s="41"/>
      <c r="J694" s="41"/>
      <c r="K694" s="41"/>
      <c r="L694" s="41"/>
      <c r="M694" s="41"/>
      <c r="N694" s="41"/>
      <c r="O694" s="41"/>
      <c r="P694" s="41"/>
      <c r="Q694" s="41"/>
      <c r="R694" s="41"/>
      <c r="S694" s="41"/>
      <c r="T694" s="41"/>
      <c r="U694" s="41"/>
      <c r="V694" s="41"/>
      <c r="W694" s="41"/>
    </row>
    <row r="695" spans="1:23" ht="19.5" hidden="1" customHeight="1" x14ac:dyDescent="0.25">
      <c r="A695" s="41"/>
      <c r="B695" s="41"/>
      <c r="C695" s="41"/>
      <c r="D695" s="41"/>
      <c r="E695" s="41"/>
      <c r="F695" s="41"/>
      <c r="G695" s="41"/>
      <c r="H695" s="41"/>
      <c r="I695" s="41"/>
      <c r="J695" s="41"/>
      <c r="K695" s="41"/>
      <c r="L695" s="41"/>
      <c r="M695" s="41"/>
      <c r="N695" s="41"/>
      <c r="O695" s="41"/>
      <c r="P695" s="41"/>
      <c r="Q695" s="41"/>
      <c r="R695" s="41"/>
      <c r="S695" s="41"/>
      <c r="T695" s="41"/>
      <c r="U695" s="41"/>
      <c r="V695" s="41"/>
      <c r="W695" s="41"/>
    </row>
    <row r="696" spans="1:23" ht="19.5" hidden="1" customHeight="1" x14ac:dyDescent="0.25">
      <c r="A696" s="41"/>
      <c r="B696" s="41"/>
      <c r="C696" s="41"/>
      <c r="D696" s="41"/>
      <c r="E696" s="41"/>
      <c r="F696" s="41"/>
      <c r="G696" s="41"/>
      <c r="H696" s="41"/>
      <c r="I696" s="41"/>
      <c r="J696" s="41"/>
      <c r="K696" s="41"/>
      <c r="L696" s="41"/>
      <c r="M696" s="41"/>
      <c r="N696" s="41"/>
      <c r="O696" s="41"/>
      <c r="P696" s="41"/>
      <c r="Q696" s="41"/>
      <c r="R696" s="41"/>
      <c r="S696" s="41"/>
      <c r="T696" s="41"/>
      <c r="U696" s="41"/>
      <c r="V696" s="41"/>
      <c r="W696" s="41"/>
    </row>
    <row r="697" spans="1:23" ht="19.5" hidden="1" customHeight="1" x14ac:dyDescent="0.25">
      <c r="A697" s="41"/>
      <c r="B697" s="41"/>
      <c r="C697" s="41"/>
      <c r="D697" s="41"/>
      <c r="E697" s="41"/>
      <c r="F697" s="41"/>
      <c r="G697" s="41"/>
      <c r="H697" s="41"/>
      <c r="I697" s="41"/>
      <c r="J697" s="41"/>
      <c r="K697" s="41"/>
      <c r="L697" s="41"/>
      <c r="M697" s="41"/>
      <c r="N697" s="41"/>
      <c r="O697" s="41"/>
      <c r="P697" s="41"/>
      <c r="Q697" s="41"/>
      <c r="R697" s="41"/>
      <c r="S697" s="41"/>
      <c r="T697" s="41"/>
      <c r="U697" s="41"/>
      <c r="V697" s="41"/>
      <c r="W697" s="41"/>
    </row>
    <row r="698" spans="1:23" ht="19.5" hidden="1" customHeight="1" x14ac:dyDescent="0.25">
      <c r="A698" s="41"/>
      <c r="B698" s="41"/>
      <c r="C698" s="41"/>
      <c r="D698" s="41"/>
      <c r="E698" s="41"/>
      <c r="F698" s="41"/>
      <c r="G698" s="41"/>
      <c r="H698" s="41"/>
      <c r="I698" s="41"/>
      <c r="J698" s="41"/>
      <c r="K698" s="41"/>
      <c r="L698" s="41"/>
      <c r="M698" s="41"/>
      <c r="N698" s="41"/>
      <c r="O698" s="41"/>
      <c r="P698" s="41"/>
      <c r="Q698" s="41"/>
      <c r="R698" s="41"/>
      <c r="S698" s="41"/>
      <c r="T698" s="41"/>
      <c r="U698" s="41"/>
      <c r="V698" s="41"/>
      <c r="W698" s="41"/>
    </row>
    <row r="699" spans="1:23" ht="19.5" hidden="1" customHeight="1" x14ac:dyDescent="0.25">
      <c r="A699" s="41"/>
      <c r="B699" s="41"/>
      <c r="C699" s="41"/>
      <c r="D699" s="41"/>
      <c r="E699" s="41"/>
      <c r="F699" s="41"/>
      <c r="G699" s="41"/>
      <c r="H699" s="41"/>
      <c r="I699" s="41"/>
      <c r="J699" s="41"/>
      <c r="K699" s="41"/>
      <c r="L699" s="41"/>
      <c r="M699" s="41"/>
      <c r="N699" s="41"/>
      <c r="O699" s="41"/>
      <c r="P699" s="41"/>
      <c r="Q699" s="41"/>
      <c r="R699" s="41"/>
      <c r="S699" s="41"/>
      <c r="T699" s="41"/>
      <c r="U699" s="41"/>
      <c r="V699" s="41"/>
      <c r="W699" s="41"/>
    </row>
    <row r="700" spans="1:23" ht="19.5" hidden="1" customHeight="1" x14ac:dyDescent="0.25">
      <c r="A700" s="41"/>
      <c r="B700" s="41"/>
      <c r="C700" s="41"/>
      <c r="D700" s="41"/>
      <c r="E700" s="41"/>
      <c r="F700" s="41"/>
      <c r="G700" s="41"/>
      <c r="H700" s="41"/>
      <c r="I700" s="41"/>
      <c r="J700" s="41"/>
      <c r="K700" s="41"/>
      <c r="L700" s="41"/>
      <c r="M700" s="41"/>
      <c r="N700" s="41"/>
      <c r="O700" s="41"/>
      <c r="P700" s="41"/>
      <c r="Q700" s="41"/>
      <c r="R700" s="41"/>
      <c r="S700" s="41"/>
      <c r="T700" s="41"/>
      <c r="U700" s="41"/>
      <c r="V700" s="41"/>
      <c r="W700" s="41"/>
    </row>
    <row r="701" spans="1:23" ht="19.5" hidden="1" customHeight="1" x14ac:dyDescent="0.25">
      <c r="A701" s="41"/>
      <c r="B701" s="41"/>
      <c r="C701" s="41"/>
      <c r="D701" s="41"/>
      <c r="E701" s="41"/>
      <c r="F701" s="41"/>
      <c r="G701" s="41"/>
      <c r="H701" s="41"/>
      <c r="I701" s="41"/>
      <c r="J701" s="41"/>
      <c r="K701" s="41"/>
      <c r="L701" s="41"/>
      <c r="M701" s="41"/>
      <c r="N701" s="41"/>
      <c r="O701" s="41"/>
      <c r="P701" s="41"/>
      <c r="Q701" s="41"/>
      <c r="R701" s="41"/>
      <c r="S701" s="41"/>
      <c r="T701" s="41"/>
      <c r="U701" s="41"/>
      <c r="V701" s="41"/>
      <c r="W701" s="41"/>
    </row>
    <row r="702" spans="1:23" ht="19.5" hidden="1" customHeight="1" x14ac:dyDescent="0.25">
      <c r="A702" s="41"/>
      <c r="B702" s="41"/>
      <c r="C702" s="41"/>
      <c r="D702" s="41"/>
      <c r="E702" s="41"/>
      <c r="F702" s="41"/>
      <c r="G702" s="41"/>
      <c r="H702" s="41"/>
      <c r="I702" s="41"/>
      <c r="J702" s="41"/>
      <c r="K702" s="41"/>
      <c r="L702" s="41"/>
      <c r="M702" s="41"/>
      <c r="N702" s="41"/>
      <c r="O702" s="41"/>
      <c r="P702" s="41"/>
      <c r="Q702" s="41"/>
      <c r="R702" s="41"/>
      <c r="S702" s="41"/>
      <c r="T702" s="41"/>
      <c r="U702" s="41"/>
      <c r="V702" s="41"/>
      <c r="W702" s="41"/>
    </row>
    <row r="703" spans="1:23" ht="19.5" hidden="1" customHeight="1" x14ac:dyDescent="0.25">
      <c r="A703" s="41"/>
      <c r="B703" s="41"/>
      <c r="C703" s="41"/>
      <c r="D703" s="41"/>
      <c r="E703" s="41"/>
      <c r="F703" s="41"/>
      <c r="G703" s="41"/>
      <c r="H703" s="41"/>
      <c r="I703" s="41"/>
      <c r="J703" s="41"/>
      <c r="K703" s="41"/>
      <c r="L703" s="41"/>
      <c r="M703" s="41"/>
      <c r="N703" s="41"/>
      <c r="O703" s="41"/>
      <c r="P703" s="41"/>
      <c r="Q703" s="41"/>
      <c r="R703" s="41"/>
      <c r="S703" s="41"/>
      <c r="T703" s="41"/>
      <c r="U703" s="41"/>
      <c r="V703" s="41"/>
      <c r="W703" s="41"/>
    </row>
    <row r="704" spans="1:23" ht="19.5" hidden="1" customHeight="1" x14ac:dyDescent="0.25">
      <c r="A704" s="41"/>
      <c r="B704" s="41"/>
      <c r="C704" s="41"/>
      <c r="D704" s="41"/>
      <c r="E704" s="41"/>
      <c r="F704" s="41"/>
      <c r="G704" s="41"/>
      <c r="H704" s="41"/>
      <c r="I704" s="41"/>
      <c r="J704" s="41"/>
      <c r="K704" s="41"/>
      <c r="L704" s="41"/>
      <c r="M704" s="41"/>
      <c r="N704" s="41"/>
      <c r="O704" s="41"/>
      <c r="P704" s="41"/>
      <c r="Q704" s="41"/>
      <c r="R704" s="41"/>
      <c r="S704" s="41"/>
      <c r="T704" s="41"/>
      <c r="U704" s="41"/>
      <c r="V704" s="41"/>
      <c r="W704" s="41"/>
    </row>
    <row r="705" spans="1:23" ht="19.5" hidden="1" customHeight="1" x14ac:dyDescent="0.25">
      <c r="A705" s="41"/>
      <c r="B705" s="41"/>
      <c r="C705" s="41"/>
      <c r="D705" s="41"/>
      <c r="E705" s="41"/>
      <c r="F705" s="41"/>
      <c r="G705" s="41"/>
      <c r="H705" s="41"/>
      <c r="I705" s="41"/>
      <c r="J705" s="41"/>
      <c r="K705" s="41"/>
      <c r="L705" s="41"/>
      <c r="M705" s="41"/>
      <c r="N705" s="41"/>
      <c r="O705" s="41"/>
      <c r="P705" s="41"/>
      <c r="Q705" s="41"/>
      <c r="R705" s="41"/>
      <c r="S705" s="41"/>
      <c r="T705" s="41"/>
      <c r="U705" s="41"/>
      <c r="V705" s="41"/>
      <c r="W705" s="41"/>
    </row>
    <row r="706" spans="1:23" ht="19.5" hidden="1" customHeight="1" x14ac:dyDescent="0.25">
      <c r="A706" s="41"/>
      <c r="B706" s="41"/>
      <c r="C706" s="41"/>
      <c r="D706" s="41"/>
      <c r="E706" s="41"/>
      <c r="F706" s="41"/>
      <c r="G706" s="41"/>
      <c r="H706" s="41"/>
      <c r="I706" s="41"/>
      <c r="J706" s="41"/>
      <c r="K706" s="41"/>
      <c r="L706" s="41"/>
      <c r="M706" s="41"/>
      <c r="N706" s="41"/>
      <c r="O706" s="41"/>
      <c r="P706" s="41"/>
      <c r="Q706" s="41"/>
      <c r="R706" s="41"/>
      <c r="S706" s="41"/>
      <c r="T706" s="41"/>
      <c r="U706" s="41"/>
      <c r="V706" s="41"/>
      <c r="W706" s="41"/>
    </row>
    <row r="707" spans="1:23" ht="19.5" hidden="1" customHeight="1" x14ac:dyDescent="0.25">
      <c r="A707" s="41"/>
      <c r="B707" s="41"/>
      <c r="C707" s="41"/>
      <c r="D707" s="41"/>
      <c r="E707" s="41"/>
      <c r="F707" s="41"/>
      <c r="G707" s="41"/>
      <c r="H707" s="41"/>
      <c r="I707" s="41"/>
      <c r="J707" s="41"/>
      <c r="K707" s="41"/>
      <c r="L707" s="41"/>
      <c r="M707" s="41"/>
      <c r="N707" s="41"/>
      <c r="O707" s="41"/>
      <c r="P707" s="41"/>
      <c r="Q707" s="41"/>
      <c r="R707" s="41"/>
      <c r="S707" s="41"/>
      <c r="T707" s="41"/>
      <c r="U707" s="41"/>
      <c r="V707" s="41"/>
      <c r="W707" s="41"/>
    </row>
    <row r="708" spans="1:23" ht="19.5" hidden="1" customHeight="1" x14ac:dyDescent="0.25">
      <c r="A708" s="41"/>
      <c r="B708" s="41"/>
      <c r="C708" s="41"/>
      <c r="D708" s="41"/>
      <c r="E708" s="41"/>
      <c r="F708" s="41"/>
      <c r="G708" s="41"/>
      <c r="H708" s="41"/>
      <c r="I708" s="41"/>
      <c r="J708" s="41"/>
      <c r="K708" s="41"/>
      <c r="L708" s="41"/>
      <c r="M708" s="41"/>
      <c r="N708" s="41"/>
      <c r="O708" s="41"/>
      <c r="P708" s="41"/>
      <c r="Q708" s="41"/>
      <c r="R708" s="41"/>
      <c r="S708" s="41"/>
      <c r="T708" s="41"/>
      <c r="U708" s="41"/>
      <c r="V708" s="41"/>
      <c r="W708" s="41"/>
    </row>
    <row r="709" spans="1:23" ht="19.5" hidden="1" customHeight="1" x14ac:dyDescent="0.25">
      <c r="A709" s="41"/>
      <c r="B709" s="41"/>
      <c r="C709" s="41"/>
      <c r="D709" s="41"/>
      <c r="E709" s="41"/>
      <c r="F709" s="41"/>
      <c r="G709" s="41"/>
      <c r="H709" s="41"/>
      <c r="I709" s="41"/>
      <c r="J709" s="41"/>
      <c r="K709" s="41"/>
      <c r="L709" s="41"/>
      <c r="M709" s="41"/>
      <c r="N709" s="41"/>
      <c r="O709" s="41"/>
      <c r="P709" s="41"/>
      <c r="Q709" s="41"/>
      <c r="R709" s="41"/>
      <c r="S709" s="41"/>
      <c r="T709" s="41"/>
      <c r="U709" s="41"/>
      <c r="V709" s="41"/>
      <c r="W709" s="41"/>
    </row>
    <row r="710" spans="1:23" ht="19.5" hidden="1" customHeight="1" x14ac:dyDescent="0.25">
      <c r="A710" s="41"/>
      <c r="B710" s="41"/>
      <c r="C710" s="41"/>
      <c r="D710" s="41"/>
      <c r="E710" s="41"/>
      <c r="F710" s="41"/>
      <c r="G710" s="41"/>
      <c r="H710" s="41"/>
      <c r="I710" s="41"/>
      <c r="J710" s="41"/>
      <c r="K710" s="41"/>
      <c r="L710" s="41"/>
      <c r="M710" s="41"/>
      <c r="N710" s="41"/>
      <c r="O710" s="41"/>
      <c r="P710" s="41"/>
      <c r="Q710" s="41"/>
      <c r="R710" s="41"/>
      <c r="S710" s="41"/>
      <c r="T710" s="41"/>
      <c r="U710" s="41"/>
      <c r="V710" s="41"/>
      <c r="W710" s="41"/>
    </row>
    <row r="711" spans="1:23" ht="19.5" hidden="1" customHeight="1" x14ac:dyDescent="0.25">
      <c r="A711" s="41"/>
      <c r="B711" s="41"/>
      <c r="C711" s="41"/>
      <c r="D711" s="41"/>
      <c r="E711" s="41"/>
      <c r="F711" s="41"/>
      <c r="G711" s="41"/>
      <c r="H711" s="41"/>
      <c r="I711" s="41"/>
      <c r="J711" s="41"/>
      <c r="K711" s="41"/>
      <c r="L711" s="41"/>
      <c r="M711" s="41"/>
      <c r="N711" s="41"/>
      <c r="O711" s="41"/>
      <c r="P711" s="41"/>
      <c r="Q711" s="41"/>
      <c r="R711" s="41"/>
      <c r="S711" s="41"/>
      <c r="T711" s="41"/>
      <c r="U711" s="41"/>
      <c r="V711" s="41"/>
      <c r="W711" s="41"/>
    </row>
    <row r="712" spans="1:23" ht="19.5" hidden="1" customHeight="1" x14ac:dyDescent="0.25">
      <c r="A712" s="41"/>
      <c r="B712" s="41"/>
      <c r="C712" s="41"/>
      <c r="D712" s="41"/>
      <c r="E712" s="41"/>
      <c r="F712" s="41"/>
      <c r="G712" s="41"/>
      <c r="H712" s="41"/>
      <c r="I712" s="41"/>
      <c r="J712" s="41"/>
      <c r="K712" s="41"/>
      <c r="L712" s="41"/>
      <c r="M712" s="41"/>
      <c r="N712" s="41"/>
      <c r="O712" s="41"/>
      <c r="P712" s="41"/>
      <c r="Q712" s="41"/>
      <c r="R712" s="41"/>
      <c r="S712" s="41"/>
      <c r="T712" s="41"/>
      <c r="U712" s="41"/>
      <c r="V712" s="41"/>
      <c r="W712" s="41"/>
    </row>
    <row r="713" spans="1:23" ht="19.5" hidden="1" customHeight="1" x14ac:dyDescent="0.25">
      <c r="A713" s="41"/>
      <c r="B713" s="41"/>
      <c r="C713" s="41"/>
      <c r="D713" s="41"/>
      <c r="E713" s="41"/>
      <c r="F713" s="41"/>
      <c r="G713" s="41"/>
      <c r="H713" s="41"/>
      <c r="I713" s="41"/>
      <c r="J713" s="41"/>
      <c r="K713" s="41"/>
      <c r="L713" s="41"/>
      <c r="M713" s="41"/>
      <c r="N713" s="41"/>
      <c r="O713" s="41"/>
      <c r="P713" s="41"/>
      <c r="Q713" s="41"/>
      <c r="R713" s="41"/>
      <c r="S713" s="41"/>
      <c r="T713" s="41"/>
      <c r="U713" s="41"/>
      <c r="V713" s="41"/>
      <c r="W713" s="41"/>
    </row>
    <row r="714" spans="1:23" ht="19.5" hidden="1" customHeight="1" x14ac:dyDescent="0.25">
      <c r="A714" s="41"/>
      <c r="B714" s="41"/>
      <c r="C714" s="41"/>
      <c r="D714" s="41"/>
      <c r="E714" s="41"/>
      <c r="F714" s="41"/>
      <c r="G714" s="41"/>
      <c r="H714" s="41"/>
      <c r="I714" s="41"/>
      <c r="J714" s="41"/>
      <c r="K714" s="41"/>
      <c r="L714" s="41"/>
      <c r="M714" s="41"/>
      <c r="N714" s="41"/>
      <c r="O714" s="41"/>
      <c r="P714" s="41"/>
      <c r="Q714" s="41"/>
      <c r="R714" s="41"/>
      <c r="S714" s="41"/>
      <c r="T714" s="41"/>
      <c r="U714" s="41"/>
      <c r="V714" s="41"/>
      <c r="W714" s="41"/>
    </row>
    <row r="715" spans="1:23" ht="19.5" hidden="1" customHeight="1" x14ac:dyDescent="0.25">
      <c r="A715" s="41"/>
      <c r="B715" s="41"/>
      <c r="C715" s="41"/>
      <c r="D715" s="41"/>
      <c r="E715" s="41"/>
      <c r="F715" s="41"/>
      <c r="G715" s="41"/>
      <c r="H715" s="41"/>
      <c r="I715" s="41"/>
      <c r="J715" s="41"/>
      <c r="K715" s="41"/>
      <c r="L715" s="41"/>
      <c r="M715" s="41"/>
      <c r="N715" s="41"/>
      <c r="O715" s="41"/>
      <c r="P715" s="41"/>
      <c r="Q715" s="41"/>
      <c r="R715" s="41"/>
      <c r="S715" s="41"/>
      <c r="T715" s="41"/>
      <c r="U715" s="41"/>
      <c r="V715" s="41"/>
      <c r="W715" s="41"/>
    </row>
    <row r="716" spans="1:23" ht="19.5" hidden="1" customHeight="1" x14ac:dyDescent="0.25">
      <c r="A716" s="41"/>
      <c r="B716" s="41"/>
      <c r="C716" s="41"/>
      <c r="D716" s="41"/>
      <c r="E716" s="41"/>
      <c r="F716" s="41"/>
      <c r="G716" s="41"/>
      <c r="H716" s="41"/>
      <c r="I716" s="41"/>
      <c r="J716" s="41"/>
      <c r="K716" s="41"/>
      <c r="L716" s="41"/>
      <c r="M716" s="41"/>
      <c r="N716" s="41"/>
      <c r="O716" s="41"/>
      <c r="P716" s="41"/>
      <c r="Q716" s="41"/>
      <c r="R716" s="41"/>
      <c r="S716" s="41"/>
      <c r="T716" s="41"/>
      <c r="U716" s="41"/>
      <c r="V716" s="41"/>
      <c r="W716" s="41"/>
    </row>
    <row r="717" spans="1:23" ht="19.5" hidden="1" customHeight="1" x14ac:dyDescent="0.25">
      <c r="A717" s="41"/>
      <c r="B717" s="41"/>
      <c r="C717" s="41"/>
      <c r="D717" s="41"/>
      <c r="E717" s="41"/>
      <c r="F717" s="41"/>
      <c r="G717" s="41"/>
      <c r="H717" s="41"/>
      <c r="I717" s="41"/>
      <c r="J717" s="41"/>
      <c r="K717" s="41"/>
      <c r="L717" s="41"/>
      <c r="M717" s="41"/>
      <c r="N717" s="41"/>
      <c r="O717" s="41"/>
      <c r="P717" s="41"/>
      <c r="Q717" s="41"/>
      <c r="R717" s="41"/>
      <c r="S717" s="41"/>
      <c r="T717" s="41"/>
      <c r="U717" s="41"/>
      <c r="V717" s="41"/>
      <c r="W717" s="41"/>
    </row>
    <row r="718" spans="1:23" ht="19.5" hidden="1" customHeight="1" x14ac:dyDescent="0.25">
      <c r="A718" s="41"/>
      <c r="B718" s="41"/>
      <c r="C718" s="41"/>
      <c r="D718" s="41"/>
      <c r="E718" s="41"/>
      <c r="F718" s="41"/>
      <c r="G718" s="41"/>
      <c r="H718" s="41"/>
      <c r="I718" s="41"/>
      <c r="J718" s="41"/>
      <c r="K718" s="41"/>
      <c r="L718" s="41"/>
      <c r="M718" s="41"/>
      <c r="N718" s="41"/>
      <c r="O718" s="41"/>
      <c r="P718" s="41"/>
      <c r="Q718" s="41"/>
      <c r="R718" s="41"/>
      <c r="S718" s="41"/>
      <c r="T718" s="41"/>
      <c r="U718" s="41"/>
      <c r="V718" s="41"/>
      <c r="W718" s="41"/>
    </row>
    <row r="719" spans="1:23" ht="19.5" hidden="1" customHeight="1" x14ac:dyDescent="0.25">
      <c r="A719" s="41"/>
      <c r="B719" s="41"/>
      <c r="C719" s="41"/>
      <c r="D719" s="41"/>
      <c r="E719" s="41"/>
      <c r="F719" s="41"/>
      <c r="G719" s="41"/>
      <c r="H719" s="41"/>
      <c r="I719" s="41"/>
      <c r="J719" s="41"/>
      <c r="K719" s="41"/>
      <c r="L719" s="41"/>
      <c r="M719" s="41"/>
      <c r="N719" s="41"/>
      <c r="O719" s="41"/>
      <c r="P719" s="41"/>
      <c r="Q719" s="41"/>
      <c r="R719" s="41"/>
      <c r="S719" s="41"/>
      <c r="T719" s="41"/>
      <c r="U719" s="41"/>
      <c r="V719" s="41"/>
      <c r="W719" s="41"/>
    </row>
    <row r="720" spans="1:23" ht="19.5" hidden="1" customHeight="1" x14ac:dyDescent="0.25">
      <c r="A720" s="41"/>
      <c r="B720" s="41"/>
      <c r="C720" s="41"/>
      <c r="D720" s="41"/>
      <c r="E720" s="41"/>
      <c r="F720" s="41"/>
      <c r="G720" s="41"/>
      <c r="H720" s="41"/>
      <c r="I720" s="41"/>
      <c r="J720" s="41"/>
      <c r="K720" s="41"/>
      <c r="L720" s="41"/>
      <c r="M720" s="41"/>
      <c r="N720" s="41"/>
      <c r="O720" s="41"/>
      <c r="P720" s="41"/>
      <c r="Q720" s="41"/>
      <c r="R720" s="41"/>
      <c r="S720" s="41"/>
      <c r="T720" s="41"/>
      <c r="U720" s="41"/>
      <c r="V720" s="41"/>
      <c r="W720" s="41"/>
    </row>
    <row r="721" spans="1:23" ht="19.5" hidden="1" customHeight="1" x14ac:dyDescent="0.25">
      <c r="A721" s="41"/>
      <c r="B721" s="41"/>
      <c r="C721" s="41"/>
      <c r="D721" s="41"/>
      <c r="E721" s="41"/>
      <c r="F721" s="41"/>
      <c r="G721" s="41"/>
      <c r="H721" s="41"/>
      <c r="I721" s="41"/>
      <c r="J721" s="41"/>
      <c r="K721" s="41"/>
      <c r="L721" s="41"/>
      <c r="M721" s="41"/>
      <c r="N721" s="41"/>
      <c r="O721" s="41"/>
      <c r="P721" s="41"/>
      <c r="Q721" s="41"/>
      <c r="R721" s="41"/>
      <c r="S721" s="41"/>
      <c r="T721" s="41"/>
      <c r="U721" s="41"/>
      <c r="V721" s="41"/>
      <c r="W721" s="41"/>
    </row>
    <row r="722" spans="1:23" ht="19.5" hidden="1" customHeight="1" x14ac:dyDescent="0.25">
      <c r="A722" s="41"/>
      <c r="B722" s="41"/>
      <c r="C722" s="41"/>
      <c r="D722" s="41"/>
      <c r="E722" s="41"/>
      <c r="F722" s="41"/>
      <c r="G722" s="41"/>
      <c r="H722" s="41"/>
      <c r="I722" s="41"/>
      <c r="J722" s="41"/>
      <c r="K722" s="41"/>
      <c r="L722" s="41"/>
      <c r="M722" s="41"/>
      <c r="N722" s="41"/>
      <c r="O722" s="41"/>
      <c r="P722" s="41"/>
      <c r="Q722" s="41"/>
      <c r="R722" s="41"/>
      <c r="S722" s="41"/>
      <c r="T722" s="41"/>
      <c r="U722" s="41"/>
      <c r="V722" s="41"/>
      <c r="W722" s="41"/>
    </row>
    <row r="723" spans="1:23" ht="19.5" hidden="1" customHeight="1" x14ac:dyDescent="0.25">
      <c r="A723" s="41"/>
      <c r="B723" s="41"/>
      <c r="C723" s="41"/>
      <c r="D723" s="41"/>
      <c r="E723" s="41"/>
      <c r="F723" s="41"/>
      <c r="G723" s="41"/>
      <c r="H723" s="41"/>
      <c r="I723" s="41"/>
      <c r="J723" s="41"/>
      <c r="K723" s="41"/>
      <c r="L723" s="41"/>
      <c r="M723" s="41"/>
      <c r="N723" s="41"/>
      <c r="O723" s="41"/>
      <c r="P723" s="41"/>
      <c r="Q723" s="41"/>
      <c r="R723" s="41"/>
      <c r="S723" s="41"/>
      <c r="T723" s="41"/>
      <c r="U723" s="41"/>
      <c r="V723" s="41"/>
      <c r="W723" s="41"/>
    </row>
    <row r="724" spans="1:23" ht="19.5" hidden="1" customHeight="1" x14ac:dyDescent="0.25">
      <c r="A724" s="41"/>
      <c r="B724" s="41"/>
      <c r="C724" s="41"/>
      <c r="D724" s="41"/>
      <c r="E724" s="41"/>
      <c r="F724" s="41"/>
      <c r="G724" s="41"/>
      <c r="H724" s="41"/>
      <c r="I724" s="41"/>
      <c r="J724" s="41"/>
      <c r="K724" s="41"/>
      <c r="L724" s="41"/>
      <c r="M724" s="41"/>
      <c r="N724" s="41"/>
      <c r="O724" s="41"/>
      <c r="P724" s="41"/>
      <c r="Q724" s="41"/>
      <c r="R724" s="41"/>
      <c r="S724" s="41"/>
      <c r="T724" s="41"/>
      <c r="U724" s="41"/>
      <c r="V724" s="41"/>
      <c r="W724" s="41"/>
    </row>
    <row r="725" spans="1:23" ht="19.5" hidden="1" customHeight="1" x14ac:dyDescent="0.25">
      <c r="A725" s="41"/>
      <c r="B725" s="41"/>
      <c r="C725" s="41"/>
      <c r="D725" s="41"/>
      <c r="E725" s="41"/>
      <c r="F725" s="41"/>
      <c r="G725" s="41"/>
      <c r="H725" s="41"/>
      <c r="I725" s="41"/>
      <c r="J725" s="41"/>
      <c r="K725" s="41"/>
      <c r="L725" s="41"/>
      <c r="M725" s="41"/>
      <c r="N725" s="41"/>
      <c r="O725" s="41"/>
      <c r="P725" s="41"/>
      <c r="Q725" s="41"/>
      <c r="R725" s="41"/>
      <c r="S725" s="41"/>
      <c r="T725" s="41"/>
      <c r="U725" s="41"/>
      <c r="V725" s="41"/>
      <c r="W725" s="41"/>
    </row>
    <row r="726" spans="1:23" ht="19.5" hidden="1" customHeight="1" x14ac:dyDescent="0.25">
      <c r="A726" s="41"/>
      <c r="B726" s="41"/>
      <c r="C726" s="41"/>
      <c r="D726" s="41"/>
      <c r="E726" s="41"/>
      <c r="F726" s="41"/>
      <c r="G726" s="41"/>
      <c r="H726" s="41"/>
      <c r="I726" s="41"/>
      <c r="J726" s="41"/>
      <c r="K726" s="41"/>
      <c r="L726" s="41"/>
      <c r="M726" s="41"/>
      <c r="N726" s="41"/>
      <c r="O726" s="41"/>
      <c r="P726" s="41"/>
      <c r="Q726" s="41"/>
      <c r="R726" s="41"/>
      <c r="S726" s="41"/>
      <c r="T726" s="41"/>
      <c r="U726" s="41"/>
      <c r="V726" s="41"/>
      <c r="W726" s="41"/>
    </row>
    <row r="727" spans="1:23" ht="19.5" hidden="1" customHeight="1" x14ac:dyDescent="0.25">
      <c r="A727" s="41"/>
      <c r="B727" s="41"/>
      <c r="C727" s="41"/>
      <c r="D727" s="41"/>
      <c r="E727" s="41"/>
      <c r="F727" s="41"/>
      <c r="G727" s="41"/>
      <c r="H727" s="41"/>
      <c r="I727" s="41"/>
      <c r="J727" s="41"/>
      <c r="K727" s="41"/>
      <c r="L727" s="41"/>
      <c r="M727" s="41"/>
      <c r="N727" s="41"/>
      <c r="O727" s="41"/>
      <c r="P727" s="41"/>
      <c r="Q727" s="41"/>
      <c r="R727" s="41"/>
      <c r="S727" s="41"/>
      <c r="T727" s="41"/>
      <c r="U727" s="41"/>
      <c r="V727" s="41"/>
      <c r="W727" s="41"/>
    </row>
    <row r="728" spans="1:23" ht="19.5" hidden="1" customHeight="1" x14ac:dyDescent="0.25">
      <c r="A728" s="41"/>
      <c r="B728" s="41"/>
      <c r="C728" s="41"/>
      <c r="D728" s="41"/>
      <c r="E728" s="41"/>
      <c r="F728" s="41"/>
      <c r="G728" s="41"/>
      <c r="H728" s="41"/>
      <c r="I728" s="41"/>
      <c r="J728" s="41"/>
      <c r="K728" s="41"/>
      <c r="L728" s="41"/>
      <c r="M728" s="41"/>
      <c r="N728" s="41"/>
      <c r="O728" s="41"/>
      <c r="P728" s="41"/>
      <c r="Q728" s="41"/>
      <c r="R728" s="41"/>
      <c r="S728" s="41"/>
      <c r="T728" s="41"/>
      <c r="U728" s="41"/>
      <c r="V728" s="41"/>
      <c r="W728" s="41"/>
    </row>
    <row r="729" spans="1:23" ht="19.5" hidden="1" customHeight="1" x14ac:dyDescent="0.25">
      <c r="A729" s="41"/>
      <c r="B729" s="41"/>
      <c r="C729" s="41"/>
      <c r="D729" s="41"/>
      <c r="E729" s="41"/>
      <c r="F729" s="41"/>
      <c r="G729" s="41"/>
      <c r="H729" s="41"/>
      <c r="I729" s="41"/>
      <c r="J729" s="41"/>
      <c r="K729" s="41"/>
      <c r="L729" s="41"/>
      <c r="M729" s="41"/>
      <c r="N729" s="41"/>
      <c r="O729" s="41"/>
      <c r="P729" s="41"/>
      <c r="Q729" s="41"/>
      <c r="R729" s="41"/>
      <c r="S729" s="41"/>
      <c r="T729" s="41"/>
      <c r="U729" s="41"/>
      <c r="V729" s="41"/>
      <c r="W729" s="41"/>
    </row>
    <row r="730" spans="1:23" ht="19.5" hidden="1" customHeight="1" x14ac:dyDescent="0.25">
      <c r="A730" s="41"/>
      <c r="B730" s="41"/>
      <c r="C730" s="41"/>
      <c r="D730" s="41"/>
      <c r="E730" s="41"/>
      <c r="F730" s="41"/>
      <c r="G730" s="41"/>
      <c r="H730" s="41"/>
      <c r="I730" s="41"/>
      <c r="J730" s="41"/>
      <c r="K730" s="41"/>
      <c r="L730" s="41"/>
      <c r="M730" s="41"/>
      <c r="N730" s="41"/>
      <c r="O730" s="41"/>
      <c r="P730" s="41"/>
      <c r="Q730" s="41"/>
      <c r="R730" s="41"/>
      <c r="S730" s="41"/>
      <c r="T730" s="41"/>
      <c r="U730" s="41"/>
      <c r="V730" s="41"/>
      <c r="W730" s="41"/>
    </row>
    <row r="731" spans="1:23" ht="19.5" hidden="1" customHeight="1" x14ac:dyDescent="0.25">
      <c r="A731" s="41"/>
      <c r="B731" s="41"/>
      <c r="C731" s="41"/>
      <c r="D731" s="41"/>
      <c r="E731" s="41"/>
      <c r="F731" s="41"/>
      <c r="G731" s="41"/>
      <c r="H731" s="41"/>
      <c r="I731" s="41"/>
      <c r="J731" s="41"/>
      <c r="K731" s="41"/>
      <c r="L731" s="41"/>
      <c r="M731" s="41"/>
      <c r="N731" s="41"/>
      <c r="O731" s="41"/>
      <c r="P731" s="41"/>
      <c r="Q731" s="41"/>
      <c r="R731" s="41"/>
      <c r="S731" s="41"/>
      <c r="T731" s="41"/>
      <c r="U731" s="41"/>
      <c r="V731" s="41"/>
      <c r="W731" s="41"/>
    </row>
    <row r="732" spans="1:23" ht="19.5" hidden="1" customHeight="1" x14ac:dyDescent="0.25">
      <c r="A732" s="41"/>
      <c r="B732" s="41"/>
      <c r="C732" s="41"/>
      <c r="D732" s="41"/>
      <c r="E732" s="41"/>
      <c r="F732" s="41"/>
      <c r="G732" s="41"/>
      <c r="H732" s="41"/>
      <c r="I732" s="41"/>
      <c r="J732" s="41"/>
      <c r="K732" s="41"/>
      <c r="L732" s="41"/>
      <c r="M732" s="41"/>
      <c r="N732" s="41"/>
      <c r="O732" s="41"/>
      <c r="P732" s="41"/>
      <c r="Q732" s="41"/>
      <c r="R732" s="41"/>
      <c r="S732" s="41"/>
      <c r="T732" s="41"/>
      <c r="U732" s="41"/>
      <c r="V732" s="41"/>
      <c r="W732" s="41"/>
    </row>
    <row r="733" spans="1:23" ht="19.5" hidden="1" customHeight="1" x14ac:dyDescent="0.25">
      <c r="A733" s="41"/>
      <c r="B733" s="41"/>
      <c r="C733" s="41"/>
      <c r="D733" s="41"/>
      <c r="E733" s="41"/>
      <c r="F733" s="41"/>
      <c r="G733" s="41"/>
      <c r="H733" s="41"/>
      <c r="I733" s="41"/>
      <c r="J733" s="41"/>
      <c r="K733" s="41"/>
      <c r="L733" s="41"/>
      <c r="M733" s="41"/>
      <c r="N733" s="41"/>
      <c r="O733" s="41"/>
      <c r="P733" s="41"/>
      <c r="Q733" s="41"/>
      <c r="R733" s="41"/>
      <c r="S733" s="41"/>
      <c r="T733" s="41"/>
      <c r="U733" s="41"/>
      <c r="V733" s="41"/>
      <c r="W733" s="41"/>
    </row>
    <row r="734" spans="1:23" ht="19.5" hidden="1" customHeight="1" x14ac:dyDescent="0.25">
      <c r="A734" s="41"/>
      <c r="B734" s="41"/>
      <c r="C734" s="41"/>
      <c r="D734" s="41"/>
      <c r="E734" s="41"/>
      <c r="F734" s="41"/>
      <c r="G734" s="41"/>
      <c r="H734" s="41"/>
      <c r="I734" s="41"/>
      <c r="J734" s="41"/>
      <c r="K734" s="41"/>
      <c r="L734" s="41"/>
      <c r="M734" s="41"/>
      <c r="N734" s="41"/>
      <c r="O734" s="41"/>
      <c r="P734" s="41"/>
      <c r="Q734" s="41"/>
      <c r="R734" s="41"/>
      <c r="S734" s="41"/>
      <c r="T734" s="41"/>
      <c r="U734" s="41"/>
      <c r="V734" s="41"/>
      <c r="W734" s="41"/>
    </row>
    <row r="735" spans="1:23" ht="19.5" hidden="1" customHeight="1" x14ac:dyDescent="0.25">
      <c r="A735" s="41"/>
      <c r="B735" s="41"/>
      <c r="C735" s="41"/>
      <c r="D735" s="41"/>
      <c r="E735" s="41"/>
      <c r="F735" s="41"/>
      <c r="G735" s="41"/>
      <c r="H735" s="41"/>
      <c r="I735" s="41"/>
      <c r="J735" s="41"/>
      <c r="K735" s="41"/>
      <c r="L735" s="41"/>
      <c r="M735" s="41"/>
      <c r="N735" s="41"/>
      <c r="O735" s="41"/>
      <c r="P735" s="41"/>
      <c r="Q735" s="41"/>
      <c r="R735" s="41"/>
      <c r="S735" s="41"/>
      <c r="T735" s="41"/>
      <c r="U735" s="41"/>
      <c r="V735" s="41"/>
      <c r="W735" s="41"/>
    </row>
    <row r="736" spans="1:23" ht="19.5" hidden="1" customHeight="1" x14ac:dyDescent="0.25">
      <c r="A736" s="41"/>
      <c r="B736" s="41"/>
      <c r="C736" s="41"/>
      <c r="D736" s="41"/>
      <c r="E736" s="41"/>
      <c r="F736" s="41"/>
      <c r="G736" s="41"/>
      <c r="H736" s="41"/>
      <c r="I736" s="41"/>
      <c r="J736" s="41"/>
      <c r="K736" s="41"/>
      <c r="L736" s="41"/>
      <c r="M736" s="41"/>
      <c r="N736" s="41"/>
      <c r="O736" s="41"/>
      <c r="P736" s="41"/>
      <c r="Q736" s="41"/>
      <c r="R736" s="41"/>
      <c r="S736" s="41"/>
      <c r="T736" s="41"/>
      <c r="U736" s="41"/>
      <c r="V736" s="41"/>
      <c r="W736" s="41"/>
    </row>
    <row r="737" spans="1:23" ht="19.5" hidden="1" customHeight="1" x14ac:dyDescent="0.25">
      <c r="A737" s="41"/>
      <c r="B737" s="41"/>
      <c r="C737" s="41"/>
      <c r="D737" s="41"/>
      <c r="E737" s="41"/>
      <c r="F737" s="41"/>
      <c r="G737" s="41"/>
      <c r="H737" s="41"/>
      <c r="I737" s="41"/>
      <c r="J737" s="41"/>
      <c r="K737" s="41"/>
      <c r="L737" s="41"/>
      <c r="M737" s="41"/>
      <c r="N737" s="41"/>
      <c r="O737" s="41"/>
      <c r="P737" s="41"/>
      <c r="Q737" s="41"/>
      <c r="R737" s="41"/>
      <c r="S737" s="41"/>
      <c r="T737" s="41"/>
      <c r="U737" s="41"/>
      <c r="V737" s="41"/>
      <c r="W737" s="41"/>
    </row>
    <row r="738" spans="1:23" ht="19.5" hidden="1" customHeight="1" x14ac:dyDescent="0.25">
      <c r="A738" s="41"/>
      <c r="B738" s="41"/>
      <c r="C738" s="41"/>
      <c r="D738" s="41"/>
      <c r="E738" s="41"/>
      <c r="F738" s="41"/>
      <c r="G738" s="41"/>
      <c r="H738" s="41"/>
      <c r="I738" s="41"/>
      <c r="J738" s="41"/>
      <c r="K738" s="41"/>
      <c r="L738" s="41"/>
      <c r="M738" s="41"/>
      <c r="N738" s="41"/>
      <c r="O738" s="41"/>
      <c r="P738" s="41"/>
      <c r="Q738" s="41"/>
      <c r="R738" s="41"/>
      <c r="S738" s="41"/>
      <c r="T738" s="41"/>
      <c r="U738" s="41"/>
      <c r="V738" s="41"/>
      <c r="W738" s="41"/>
    </row>
    <row r="739" spans="1:23" ht="19.5" hidden="1" customHeight="1" x14ac:dyDescent="0.25">
      <c r="A739" s="41"/>
      <c r="B739" s="41"/>
      <c r="C739" s="41"/>
      <c r="D739" s="41"/>
      <c r="E739" s="41"/>
      <c r="F739" s="41"/>
      <c r="G739" s="41"/>
      <c r="H739" s="41"/>
      <c r="I739" s="41"/>
      <c r="J739" s="41"/>
      <c r="K739" s="41"/>
      <c r="L739" s="41"/>
      <c r="M739" s="41"/>
      <c r="N739" s="41"/>
      <c r="O739" s="41"/>
      <c r="P739" s="41"/>
      <c r="Q739" s="41"/>
      <c r="R739" s="41"/>
      <c r="S739" s="41"/>
      <c r="T739" s="41"/>
      <c r="U739" s="41"/>
      <c r="V739" s="41"/>
      <c r="W739" s="41"/>
    </row>
    <row r="740" spans="1:23" ht="19.5" hidden="1" customHeight="1" x14ac:dyDescent="0.25">
      <c r="A740" s="41"/>
      <c r="B740" s="41"/>
      <c r="C740" s="41"/>
      <c r="D740" s="41"/>
      <c r="E740" s="41"/>
      <c r="F740" s="41"/>
      <c r="G740" s="41"/>
      <c r="H740" s="41"/>
      <c r="I740" s="41"/>
      <c r="J740" s="41"/>
      <c r="K740" s="41"/>
      <c r="L740" s="41"/>
      <c r="M740" s="41"/>
      <c r="N740" s="41"/>
      <c r="O740" s="41"/>
      <c r="P740" s="41"/>
      <c r="Q740" s="41"/>
      <c r="R740" s="41"/>
      <c r="S740" s="41"/>
      <c r="T740" s="41"/>
      <c r="U740" s="41"/>
      <c r="V740" s="41"/>
      <c r="W740" s="41"/>
    </row>
    <row r="741" spans="1:23" ht="19.5" hidden="1" customHeight="1" x14ac:dyDescent="0.25">
      <c r="A741" s="41"/>
      <c r="B741" s="41"/>
      <c r="C741" s="41"/>
      <c r="D741" s="41"/>
      <c r="E741" s="41"/>
      <c r="F741" s="41"/>
      <c r="G741" s="41"/>
      <c r="H741" s="41"/>
      <c r="I741" s="41"/>
      <c r="J741" s="41"/>
      <c r="K741" s="41"/>
      <c r="L741" s="41"/>
      <c r="M741" s="41"/>
      <c r="N741" s="41"/>
      <c r="O741" s="41"/>
      <c r="P741" s="41"/>
      <c r="Q741" s="41"/>
      <c r="R741" s="41"/>
      <c r="S741" s="41"/>
      <c r="T741" s="41"/>
      <c r="U741" s="41"/>
      <c r="V741" s="41"/>
      <c r="W741" s="41"/>
    </row>
    <row r="742" spans="1:23" ht="19.5" hidden="1" customHeight="1" x14ac:dyDescent="0.25">
      <c r="A742" s="41"/>
      <c r="B742" s="41"/>
      <c r="C742" s="41"/>
      <c r="D742" s="41"/>
      <c r="E742" s="41"/>
      <c r="F742" s="41"/>
      <c r="G742" s="41"/>
      <c r="H742" s="41"/>
      <c r="I742" s="41"/>
      <c r="J742" s="41"/>
      <c r="K742" s="41"/>
      <c r="L742" s="41"/>
      <c r="M742" s="41"/>
      <c r="N742" s="41"/>
      <c r="O742" s="41"/>
      <c r="P742" s="41"/>
      <c r="Q742" s="41"/>
      <c r="R742" s="41"/>
      <c r="S742" s="41"/>
      <c r="T742" s="41"/>
      <c r="U742" s="41"/>
      <c r="V742" s="41"/>
      <c r="W742" s="41"/>
    </row>
    <row r="743" spans="1:23" ht="19.5" hidden="1" customHeight="1" x14ac:dyDescent="0.25">
      <c r="A743" s="41"/>
      <c r="B743" s="41"/>
      <c r="C743" s="41"/>
      <c r="D743" s="41"/>
      <c r="E743" s="41"/>
      <c r="F743" s="41"/>
      <c r="G743" s="41"/>
      <c r="H743" s="41"/>
      <c r="I743" s="41"/>
      <c r="J743" s="41"/>
      <c r="K743" s="41"/>
      <c r="L743" s="41"/>
      <c r="M743" s="41"/>
      <c r="N743" s="41"/>
      <c r="O743" s="41"/>
      <c r="P743" s="41"/>
      <c r="Q743" s="41"/>
      <c r="R743" s="41"/>
      <c r="S743" s="41"/>
      <c r="T743" s="41"/>
      <c r="U743" s="41"/>
      <c r="V743" s="41"/>
      <c r="W743" s="41"/>
    </row>
    <row r="744" spans="1:23" ht="19.5" hidden="1" customHeight="1" x14ac:dyDescent="0.25">
      <c r="A744" s="41"/>
      <c r="B744" s="41"/>
      <c r="C744" s="41"/>
      <c r="D744" s="41"/>
      <c r="E744" s="41"/>
      <c r="F744" s="41"/>
      <c r="G744" s="41"/>
      <c r="H744" s="41"/>
      <c r="I744" s="41"/>
      <c r="J744" s="41"/>
      <c r="K744" s="41"/>
      <c r="L744" s="41"/>
      <c r="M744" s="41"/>
      <c r="N744" s="41"/>
      <c r="O744" s="41"/>
      <c r="P744" s="41"/>
      <c r="Q744" s="41"/>
      <c r="R744" s="41"/>
      <c r="S744" s="41"/>
      <c r="T744" s="41"/>
      <c r="U744" s="41"/>
      <c r="V744" s="41"/>
      <c r="W744" s="41"/>
    </row>
    <row r="745" spans="1:23" ht="19.5" hidden="1" customHeight="1" x14ac:dyDescent="0.25">
      <c r="A745" s="41"/>
      <c r="B745" s="41"/>
      <c r="C745" s="41"/>
      <c r="D745" s="41"/>
      <c r="E745" s="41"/>
      <c r="F745" s="41"/>
      <c r="G745" s="41"/>
      <c r="H745" s="41"/>
      <c r="I745" s="41"/>
      <c r="J745" s="41"/>
      <c r="K745" s="41"/>
      <c r="L745" s="41"/>
      <c r="M745" s="41"/>
      <c r="N745" s="41"/>
      <c r="O745" s="41"/>
      <c r="P745" s="41"/>
      <c r="Q745" s="41"/>
      <c r="R745" s="41"/>
      <c r="S745" s="41"/>
      <c r="T745" s="41"/>
      <c r="U745" s="41"/>
      <c r="V745" s="41"/>
      <c r="W745" s="41"/>
    </row>
    <row r="746" spans="1:23" ht="19.5" hidden="1" customHeight="1" x14ac:dyDescent="0.25">
      <c r="A746" s="41"/>
      <c r="B746" s="41"/>
      <c r="C746" s="41"/>
      <c r="D746" s="41"/>
      <c r="E746" s="41"/>
      <c r="F746" s="41"/>
      <c r="G746" s="41"/>
      <c r="H746" s="41"/>
      <c r="I746" s="41"/>
      <c r="J746" s="41"/>
      <c r="K746" s="41"/>
      <c r="L746" s="41"/>
      <c r="M746" s="41"/>
      <c r="N746" s="41"/>
      <c r="O746" s="41"/>
      <c r="P746" s="41"/>
      <c r="Q746" s="41"/>
      <c r="R746" s="41"/>
      <c r="S746" s="41"/>
      <c r="T746" s="41"/>
      <c r="U746" s="41"/>
      <c r="V746" s="41"/>
      <c r="W746" s="41"/>
    </row>
    <row r="747" spans="1:23" ht="19.5" hidden="1" customHeight="1" x14ac:dyDescent="0.25">
      <c r="A747" s="41"/>
      <c r="B747" s="41"/>
      <c r="C747" s="41"/>
      <c r="D747" s="41"/>
      <c r="E747" s="41"/>
      <c r="F747" s="41"/>
      <c r="G747" s="41"/>
      <c r="H747" s="41"/>
      <c r="I747" s="41"/>
      <c r="J747" s="41"/>
      <c r="K747" s="41"/>
      <c r="L747" s="41"/>
      <c r="M747" s="41"/>
      <c r="N747" s="41"/>
      <c r="O747" s="41"/>
      <c r="P747" s="41"/>
      <c r="Q747" s="41"/>
      <c r="R747" s="41"/>
      <c r="S747" s="41"/>
      <c r="T747" s="41"/>
      <c r="U747" s="41"/>
      <c r="V747" s="41"/>
      <c r="W747" s="41"/>
    </row>
    <row r="748" spans="1:23" ht="19.5" hidden="1" customHeight="1" x14ac:dyDescent="0.25">
      <c r="A748" s="41"/>
      <c r="B748" s="41"/>
      <c r="C748" s="41"/>
      <c r="D748" s="41"/>
      <c r="E748" s="41"/>
      <c r="F748" s="41"/>
      <c r="G748" s="41"/>
      <c r="H748" s="41"/>
      <c r="I748" s="41"/>
      <c r="J748" s="41"/>
      <c r="K748" s="41"/>
      <c r="L748" s="41"/>
      <c r="M748" s="41"/>
      <c r="N748" s="41"/>
      <c r="O748" s="41"/>
      <c r="P748" s="41"/>
      <c r="Q748" s="41"/>
      <c r="R748" s="41"/>
      <c r="S748" s="41"/>
      <c r="T748" s="41"/>
      <c r="U748" s="41"/>
      <c r="V748" s="41"/>
      <c r="W748" s="41"/>
    </row>
    <row r="749" spans="1:23" ht="19.5" hidden="1" customHeight="1" x14ac:dyDescent="0.25">
      <c r="A749" s="41"/>
      <c r="B749" s="41"/>
      <c r="C749" s="41"/>
      <c r="D749" s="41"/>
      <c r="E749" s="41"/>
      <c r="F749" s="41"/>
      <c r="G749" s="41"/>
      <c r="H749" s="41"/>
      <c r="I749" s="41"/>
      <c r="J749" s="41"/>
      <c r="K749" s="41"/>
      <c r="L749" s="41"/>
      <c r="M749" s="41"/>
      <c r="N749" s="41"/>
      <c r="O749" s="41"/>
      <c r="P749" s="41"/>
      <c r="Q749" s="41"/>
      <c r="R749" s="41"/>
      <c r="S749" s="41"/>
      <c r="T749" s="41"/>
      <c r="U749" s="41"/>
      <c r="V749" s="41"/>
      <c r="W749" s="41"/>
    </row>
    <row r="750" spans="1:23" ht="19.5" hidden="1" customHeight="1" x14ac:dyDescent="0.25">
      <c r="A750" s="41"/>
      <c r="B750" s="41"/>
      <c r="C750" s="41"/>
      <c r="D750" s="41"/>
      <c r="E750" s="41"/>
      <c r="F750" s="41"/>
      <c r="G750" s="41"/>
      <c r="H750" s="41"/>
      <c r="I750" s="41"/>
      <c r="J750" s="41"/>
      <c r="K750" s="41"/>
      <c r="L750" s="41"/>
      <c r="M750" s="41"/>
      <c r="N750" s="41"/>
      <c r="O750" s="41"/>
      <c r="P750" s="41"/>
      <c r="Q750" s="41"/>
      <c r="R750" s="41"/>
      <c r="S750" s="41"/>
      <c r="T750" s="41"/>
      <c r="U750" s="41"/>
      <c r="V750" s="41"/>
      <c r="W750" s="41"/>
    </row>
    <row r="751" spans="1:23" ht="19.5" hidden="1" customHeight="1" x14ac:dyDescent="0.25">
      <c r="A751" s="41"/>
      <c r="B751" s="41"/>
      <c r="C751" s="41"/>
      <c r="D751" s="41"/>
      <c r="E751" s="41"/>
      <c r="F751" s="41"/>
      <c r="G751" s="41"/>
      <c r="H751" s="41"/>
      <c r="I751" s="41"/>
      <c r="J751" s="41"/>
      <c r="K751" s="41"/>
      <c r="L751" s="41"/>
      <c r="M751" s="41"/>
      <c r="N751" s="41"/>
      <c r="O751" s="41"/>
      <c r="P751" s="41"/>
      <c r="Q751" s="41"/>
      <c r="R751" s="41"/>
      <c r="S751" s="41"/>
      <c r="T751" s="41"/>
      <c r="U751" s="41"/>
      <c r="V751" s="41"/>
      <c r="W751" s="41"/>
    </row>
    <row r="752" spans="1:23" ht="19.5" hidden="1" customHeight="1" x14ac:dyDescent="0.25">
      <c r="A752" s="41"/>
      <c r="B752" s="41"/>
      <c r="C752" s="41"/>
      <c r="D752" s="41"/>
      <c r="E752" s="41"/>
      <c r="F752" s="41"/>
      <c r="G752" s="41"/>
      <c r="H752" s="41"/>
      <c r="I752" s="41"/>
      <c r="J752" s="41"/>
      <c r="K752" s="41"/>
      <c r="L752" s="41"/>
      <c r="M752" s="41"/>
      <c r="N752" s="41"/>
      <c r="O752" s="41"/>
      <c r="P752" s="41"/>
      <c r="Q752" s="41"/>
      <c r="R752" s="41"/>
      <c r="S752" s="41"/>
      <c r="T752" s="41"/>
      <c r="U752" s="41"/>
      <c r="V752" s="41"/>
      <c r="W752" s="41"/>
    </row>
    <row r="753" spans="1:23" ht="19.5" hidden="1" customHeight="1" x14ac:dyDescent="0.25">
      <c r="A753" s="41"/>
      <c r="B753" s="41"/>
      <c r="C753" s="41"/>
      <c r="D753" s="41"/>
      <c r="E753" s="41"/>
      <c r="F753" s="41"/>
      <c r="G753" s="41"/>
      <c r="H753" s="41"/>
      <c r="I753" s="41"/>
      <c r="J753" s="41"/>
      <c r="K753" s="41"/>
      <c r="L753" s="41"/>
      <c r="M753" s="41"/>
      <c r="N753" s="41"/>
      <c r="O753" s="41"/>
      <c r="P753" s="41"/>
      <c r="Q753" s="41"/>
      <c r="R753" s="41"/>
      <c r="S753" s="41"/>
      <c r="T753" s="41"/>
      <c r="U753" s="41"/>
      <c r="V753" s="41"/>
      <c r="W753" s="41"/>
    </row>
    <row r="754" spans="1:23" ht="19.5" hidden="1" customHeight="1" x14ac:dyDescent="0.25">
      <c r="A754" s="41"/>
      <c r="B754" s="41"/>
      <c r="C754" s="41"/>
      <c r="D754" s="41"/>
      <c r="E754" s="41"/>
      <c r="F754" s="41"/>
      <c r="G754" s="41"/>
      <c r="H754" s="41"/>
      <c r="I754" s="41"/>
      <c r="J754" s="41"/>
      <c r="K754" s="41"/>
      <c r="L754" s="41"/>
      <c r="M754" s="41"/>
      <c r="N754" s="41"/>
      <c r="O754" s="41"/>
      <c r="P754" s="41"/>
      <c r="Q754" s="41"/>
      <c r="R754" s="41"/>
      <c r="S754" s="41"/>
      <c r="T754" s="41"/>
      <c r="U754" s="41"/>
      <c r="V754" s="41"/>
      <c r="W754" s="41"/>
    </row>
    <row r="755" spans="1:23" ht="19.5" hidden="1" customHeight="1" x14ac:dyDescent="0.25">
      <c r="A755" s="41"/>
      <c r="B755" s="41"/>
      <c r="C755" s="41"/>
      <c r="D755" s="41"/>
      <c r="E755" s="41"/>
      <c r="F755" s="41"/>
      <c r="G755" s="41"/>
      <c r="H755" s="41"/>
      <c r="I755" s="41"/>
      <c r="J755" s="41"/>
      <c r="K755" s="41"/>
      <c r="L755" s="41"/>
      <c r="M755" s="41"/>
      <c r="N755" s="41"/>
      <c r="O755" s="41"/>
      <c r="P755" s="41"/>
      <c r="Q755" s="41"/>
      <c r="R755" s="41"/>
      <c r="S755" s="41"/>
      <c r="T755" s="41"/>
      <c r="U755" s="41"/>
      <c r="V755" s="41"/>
      <c r="W755" s="41"/>
    </row>
    <row r="756" spans="1:23" ht="19.5" hidden="1" customHeight="1" x14ac:dyDescent="0.25">
      <c r="A756" s="41"/>
      <c r="B756" s="41"/>
      <c r="C756" s="41"/>
      <c r="D756" s="41"/>
      <c r="E756" s="41"/>
      <c r="F756" s="41"/>
      <c r="G756" s="41"/>
      <c r="H756" s="41"/>
      <c r="I756" s="41"/>
      <c r="J756" s="41"/>
      <c r="K756" s="41"/>
      <c r="L756" s="41"/>
      <c r="M756" s="41"/>
      <c r="N756" s="41"/>
      <c r="O756" s="41"/>
      <c r="P756" s="41"/>
      <c r="Q756" s="41"/>
      <c r="R756" s="41"/>
      <c r="S756" s="41"/>
      <c r="T756" s="41"/>
      <c r="U756" s="41"/>
      <c r="V756" s="41"/>
      <c r="W756" s="41"/>
    </row>
    <row r="757" spans="1:23" ht="19.5" hidden="1" customHeight="1" x14ac:dyDescent="0.25">
      <c r="A757" s="41"/>
      <c r="B757" s="41"/>
      <c r="C757" s="41"/>
      <c r="D757" s="41"/>
      <c r="E757" s="41"/>
      <c r="F757" s="41"/>
      <c r="G757" s="41"/>
      <c r="H757" s="41"/>
      <c r="I757" s="41"/>
      <c r="J757" s="41"/>
      <c r="K757" s="41"/>
      <c r="L757" s="41"/>
      <c r="M757" s="41"/>
      <c r="N757" s="41"/>
      <c r="O757" s="41"/>
      <c r="P757" s="41"/>
      <c r="Q757" s="41"/>
      <c r="R757" s="41"/>
      <c r="S757" s="41"/>
      <c r="T757" s="41"/>
      <c r="U757" s="41"/>
      <c r="V757" s="41"/>
      <c r="W757" s="41"/>
    </row>
    <row r="758" spans="1:23" ht="19.5" hidden="1" customHeight="1" x14ac:dyDescent="0.25">
      <c r="A758" s="41"/>
      <c r="B758" s="41"/>
      <c r="C758" s="41"/>
      <c r="D758" s="41"/>
      <c r="E758" s="41"/>
      <c r="F758" s="41"/>
      <c r="G758" s="41"/>
      <c r="H758" s="41"/>
      <c r="I758" s="41"/>
      <c r="J758" s="41"/>
      <c r="K758" s="41"/>
      <c r="L758" s="41"/>
      <c r="M758" s="41"/>
      <c r="N758" s="41"/>
      <c r="O758" s="41"/>
      <c r="P758" s="41"/>
      <c r="Q758" s="41"/>
      <c r="R758" s="41"/>
      <c r="S758" s="41"/>
      <c r="T758" s="41"/>
      <c r="U758" s="41"/>
      <c r="V758" s="41"/>
      <c r="W758" s="41"/>
    </row>
    <row r="759" spans="1:23" ht="19.5" hidden="1" customHeight="1" x14ac:dyDescent="0.25">
      <c r="A759" s="41"/>
      <c r="B759" s="41"/>
      <c r="C759" s="41"/>
      <c r="D759" s="41"/>
      <c r="E759" s="41"/>
      <c r="F759" s="41"/>
      <c r="G759" s="41"/>
      <c r="H759" s="41"/>
      <c r="I759" s="41"/>
      <c r="J759" s="41"/>
      <c r="K759" s="41"/>
      <c r="L759" s="41"/>
      <c r="M759" s="41"/>
      <c r="N759" s="41"/>
      <c r="O759" s="41"/>
      <c r="P759" s="41"/>
      <c r="Q759" s="41"/>
      <c r="R759" s="41"/>
      <c r="S759" s="41"/>
      <c r="T759" s="41"/>
      <c r="U759" s="41"/>
      <c r="V759" s="41"/>
      <c r="W759" s="41"/>
    </row>
    <row r="760" spans="1:23" ht="19.5" hidden="1" customHeight="1" x14ac:dyDescent="0.25">
      <c r="A760" s="41"/>
      <c r="B760" s="41"/>
      <c r="C760" s="41"/>
      <c r="D760" s="41"/>
      <c r="E760" s="41"/>
      <c r="F760" s="41"/>
      <c r="G760" s="41"/>
      <c r="H760" s="41"/>
      <c r="I760" s="41"/>
      <c r="J760" s="41"/>
      <c r="K760" s="41"/>
      <c r="L760" s="41"/>
      <c r="M760" s="41"/>
      <c r="N760" s="41"/>
      <c r="O760" s="41"/>
      <c r="P760" s="41"/>
      <c r="Q760" s="41"/>
      <c r="R760" s="41"/>
      <c r="S760" s="41"/>
      <c r="T760" s="41"/>
      <c r="U760" s="41"/>
      <c r="V760" s="41"/>
      <c r="W760" s="41"/>
    </row>
    <row r="761" spans="1:23" ht="19.5" hidden="1" customHeight="1" x14ac:dyDescent="0.25">
      <c r="A761" s="41"/>
      <c r="B761" s="41"/>
      <c r="C761" s="41"/>
      <c r="D761" s="41"/>
      <c r="E761" s="41"/>
      <c r="F761" s="41"/>
      <c r="G761" s="41"/>
      <c r="H761" s="41"/>
      <c r="I761" s="41"/>
      <c r="J761" s="41"/>
      <c r="K761" s="41"/>
      <c r="L761" s="41"/>
      <c r="M761" s="41"/>
      <c r="N761" s="41"/>
      <c r="O761" s="41"/>
      <c r="P761" s="41"/>
      <c r="Q761" s="41"/>
      <c r="R761" s="41"/>
      <c r="S761" s="41"/>
      <c r="T761" s="41"/>
      <c r="U761" s="41"/>
      <c r="V761" s="41"/>
      <c r="W761" s="41"/>
    </row>
    <row r="762" spans="1:23" ht="19.5" hidden="1" customHeight="1" x14ac:dyDescent="0.25">
      <c r="A762" s="41"/>
      <c r="B762" s="41"/>
      <c r="C762" s="41"/>
      <c r="D762" s="41"/>
      <c r="E762" s="41"/>
      <c r="F762" s="41"/>
      <c r="G762" s="41"/>
      <c r="H762" s="41"/>
      <c r="I762" s="41"/>
      <c r="J762" s="41"/>
      <c r="K762" s="41"/>
      <c r="L762" s="41"/>
      <c r="M762" s="41"/>
      <c r="N762" s="41"/>
      <c r="O762" s="41"/>
      <c r="P762" s="41"/>
      <c r="Q762" s="41"/>
      <c r="R762" s="41"/>
      <c r="S762" s="41"/>
      <c r="T762" s="41"/>
      <c r="U762" s="41"/>
      <c r="V762" s="41"/>
      <c r="W762" s="41"/>
    </row>
    <row r="763" spans="1:23" ht="19.5" hidden="1" customHeight="1" x14ac:dyDescent="0.25">
      <c r="A763" s="41"/>
      <c r="B763" s="41"/>
      <c r="C763" s="41"/>
      <c r="D763" s="41"/>
      <c r="E763" s="41"/>
      <c r="F763" s="41"/>
      <c r="G763" s="41"/>
      <c r="H763" s="41"/>
      <c r="I763" s="41"/>
      <c r="J763" s="41"/>
      <c r="K763" s="41"/>
      <c r="L763" s="41"/>
      <c r="M763" s="41"/>
      <c r="N763" s="41"/>
      <c r="O763" s="41"/>
      <c r="P763" s="41"/>
      <c r="Q763" s="41"/>
      <c r="R763" s="41"/>
      <c r="S763" s="41"/>
      <c r="T763" s="41"/>
      <c r="U763" s="41"/>
      <c r="V763" s="41"/>
      <c r="W763" s="41"/>
    </row>
    <row r="764" spans="1:23" ht="19.5" hidden="1" customHeight="1" x14ac:dyDescent="0.25">
      <c r="A764" s="41"/>
      <c r="B764" s="41"/>
      <c r="C764" s="41"/>
      <c r="D764" s="41"/>
      <c r="E764" s="41"/>
      <c r="F764" s="41"/>
      <c r="G764" s="41"/>
      <c r="H764" s="41"/>
      <c r="I764" s="41"/>
      <c r="J764" s="41"/>
      <c r="K764" s="41"/>
      <c r="L764" s="41"/>
      <c r="M764" s="41"/>
      <c r="N764" s="41"/>
      <c r="O764" s="41"/>
      <c r="P764" s="41"/>
      <c r="Q764" s="41"/>
      <c r="R764" s="41"/>
      <c r="S764" s="41"/>
      <c r="T764" s="41"/>
      <c r="U764" s="41"/>
      <c r="V764" s="41"/>
      <c r="W764" s="41"/>
    </row>
    <row r="765" spans="1:23" ht="19.5" hidden="1" customHeight="1" x14ac:dyDescent="0.25">
      <c r="A765" s="41"/>
      <c r="B765" s="41"/>
      <c r="C765" s="41"/>
      <c r="D765" s="41"/>
      <c r="E765" s="41"/>
      <c r="F765" s="41"/>
      <c r="G765" s="41"/>
      <c r="H765" s="41"/>
      <c r="I765" s="41"/>
      <c r="J765" s="41"/>
      <c r="K765" s="41"/>
      <c r="L765" s="41"/>
      <c r="M765" s="41"/>
      <c r="N765" s="41"/>
      <c r="O765" s="41"/>
      <c r="P765" s="41"/>
      <c r="Q765" s="41"/>
      <c r="R765" s="41"/>
      <c r="S765" s="41"/>
      <c r="T765" s="41"/>
      <c r="U765" s="41"/>
      <c r="V765" s="41"/>
      <c r="W765" s="41"/>
    </row>
    <row r="766" spans="1:23" ht="19.5" hidden="1" customHeight="1" x14ac:dyDescent="0.25">
      <c r="A766" s="41"/>
      <c r="B766" s="41"/>
      <c r="C766" s="41"/>
      <c r="D766" s="41"/>
      <c r="E766" s="41"/>
      <c r="F766" s="41"/>
      <c r="G766" s="41"/>
      <c r="H766" s="41"/>
      <c r="I766" s="41"/>
      <c r="J766" s="41"/>
      <c r="K766" s="41"/>
      <c r="L766" s="41"/>
      <c r="M766" s="41"/>
      <c r="N766" s="41"/>
      <c r="O766" s="41"/>
      <c r="P766" s="41"/>
      <c r="Q766" s="41"/>
      <c r="R766" s="41"/>
      <c r="S766" s="41"/>
      <c r="T766" s="41"/>
      <c r="U766" s="41"/>
      <c r="V766" s="41"/>
      <c r="W766" s="41"/>
    </row>
    <row r="767" spans="1:23" ht="19.5" hidden="1" customHeight="1" x14ac:dyDescent="0.25">
      <c r="A767" s="41"/>
      <c r="B767" s="41"/>
      <c r="C767" s="41"/>
      <c r="D767" s="41"/>
      <c r="E767" s="41"/>
      <c r="F767" s="41"/>
      <c r="G767" s="41"/>
      <c r="H767" s="41"/>
      <c r="I767" s="41"/>
      <c r="J767" s="41"/>
      <c r="K767" s="41"/>
      <c r="L767" s="41"/>
      <c r="M767" s="41"/>
      <c r="N767" s="41"/>
      <c r="O767" s="41"/>
      <c r="P767" s="41"/>
      <c r="Q767" s="41"/>
      <c r="R767" s="41"/>
      <c r="S767" s="41"/>
      <c r="T767" s="41"/>
      <c r="U767" s="41"/>
      <c r="V767" s="41"/>
      <c r="W767" s="41"/>
    </row>
    <row r="768" spans="1:23" ht="19.5" hidden="1" customHeight="1" x14ac:dyDescent="0.25">
      <c r="A768" s="41"/>
      <c r="B768" s="41"/>
      <c r="C768" s="41"/>
      <c r="D768" s="41"/>
      <c r="E768" s="41"/>
      <c r="F768" s="41"/>
      <c r="G768" s="41"/>
      <c r="H768" s="41"/>
      <c r="I768" s="41"/>
      <c r="J768" s="41"/>
      <c r="K768" s="41"/>
      <c r="L768" s="41"/>
      <c r="M768" s="41"/>
      <c r="N768" s="41"/>
      <c r="O768" s="41"/>
      <c r="P768" s="41"/>
      <c r="Q768" s="41"/>
      <c r="R768" s="41"/>
      <c r="S768" s="41"/>
      <c r="T768" s="41"/>
      <c r="U768" s="41"/>
      <c r="V768" s="41"/>
      <c r="W768" s="41"/>
    </row>
    <row r="769" spans="1:23" ht="19.5" hidden="1" customHeight="1" x14ac:dyDescent="0.25">
      <c r="A769" s="41"/>
      <c r="B769" s="41"/>
      <c r="C769" s="41"/>
      <c r="D769" s="41"/>
      <c r="E769" s="41"/>
      <c r="F769" s="41"/>
      <c r="G769" s="41"/>
      <c r="H769" s="41"/>
      <c r="I769" s="41"/>
      <c r="J769" s="41"/>
      <c r="K769" s="41"/>
      <c r="L769" s="41"/>
      <c r="M769" s="41"/>
      <c r="N769" s="41"/>
      <c r="O769" s="41"/>
      <c r="P769" s="41"/>
      <c r="Q769" s="41"/>
      <c r="R769" s="41"/>
      <c r="S769" s="41"/>
      <c r="T769" s="41"/>
      <c r="U769" s="41"/>
      <c r="V769" s="41"/>
      <c r="W769" s="41"/>
    </row>
    <row r="770" spans="1:23" ht="19.5" hidden="1" customHeight="1" x14ac:dyDescent="0.25">
      <c r="A770" s="41"/>
      <c r="B770" s="41"/>
      <c r="C770" s="41"/>
      <c r="D770" s="41"/>
      <c r="E770" s="41"/>
      <c r="F770" s="41"/>
      <c r="G770" s="41"/>
      <c r="H770" s="41"/>
      <c r="I770" s="41"/>
      <c r="J770" s="41"/>
      <c r="K770" s="41"/>
      <c r="L770" s="41"/>
      <c r="M770" s="41"/>
      <c r="N770" s="41"/>
      <c r="O770" s="41"/>
      <c r="P770" s="41"/>
      <c r="Q770" s="41"/>
      <c r="R770" s="41"/>
      <c r="S770" s="41"/>
      <c r="T770" s="41"/>
      <c r="U770" s="41"/>
      <c r="V770" s="41"/>
      <c r="W770" s="41"/>
    </row>
    <row r="771" spans="1:23" ht="19.5" hidden="1" customHeight="1" x14ac:dyDescent="0.25">
      <c r="A771" s="41"/>
      <c r="B771" s="41"/>
      <c r="C771" s="41"/>
      <c r="D771" s="41"/>
      <c r="E771" s="41"/>
      <c r="F771" s="41"/>
      <c r="G771" s="41"/>
      <c r="H771" s="41"/>
      <c r="I771" s="41"/>
      <c r="J771" s="41"/>
      <c r="K771" s="41"/>
      <c r="L771" s="41"/>
      <c r="M771" s="41"/>
      <c r="N771" s="41"/>
      <c r="O771" s="41"/>
      <c r="P771" s="41"/>
      <c r="Q771" s="41"/>
      <c r="R771" s="41"/>
      <c r="S771" s="41"/>
      <c r="T771" s="41"/>
      <c r="U771" s="41"/>
      <c r="V771" s="41"/>
      <c r="W771" s="41"/>
    </row>
    <row r="772" spans="1:23" ht="19.5" hidden="1" customHeight="1" x14ac:dyDescent="0.25">
      <c r="A772" s="41"/>
      <c r="B772" s="41"/>
      <c r="C772" s="41"/>
      <c r="D772" s="41"/>
      <c r="E772" s="41"/>
      <c r="F772" s="41"/>
      <c r="G772" s="41"/>
      <c r="H772" s="41"/>
      <c r="I772" s="41"/>
      <c r="J772" s="41"/>
      <c r="K772" s="41"/>
      <c r="L772" s="41"/>
      <c r="M772" s="41"/>
      <c r="N772" s="41"/>
      <c r="O772" s="41"/>
      <c r="P772" s="41"/>
      <c r="Q772" s="41"/>
      <c r="R772" s="41"/>
      <c r="S772" s="41"/>
      <c r="T772" s="41"/>
      <c r="U772" s="41"/>
      <c r="V772" s="41"/>
      <c r="W772" s="41"/>
    </row>
    <row r="773" spans="1:23" ht="19.5" hidden="1" customHeight="1" x14ac:dyDescent="0.25">
      <c r="A773" s="41"/>
      <c r="B773" s="41"/>
      <c r="C773" s="41"/>
      <c r="D773" s="41"/>
      <c r="E773" s="41"/>
      <c r="F773" s="41"/>
      <c r="G773" s="41"/>
      <c r="H773" s="41"/>
      <c r="I773" s="41"/>
      <c r="J773" s="41"/>
      <c r="K773" s="41"/>
      <c r="L773" s="41"/>
      <c r="M773" s="41"/>
      <c r="N773" s="41"/>
      <c r="O773" s="41"/>
      <c r="P773" s="41"/>
      <c r="Q773" s="41"/>
      <c r="R773" s="41"/>
      <c r="S773" s="41"/>
      <c r="T773" s="41"/>
      <c r="U773" s="41"/>
      <c r="V773" s="41"/>
      <c r="W773" s="41"/>
    </row>
    <row r="774" spans="1:23" ht="19.5" hidden="1" customHeight="1" x14ac:dyDescent="0.25">
      <c r="A774" s="41"/>
      <c r="B774" s="41"/>
      <c r="C774" s="41"/>
      <c r="D774" s="41"/>
      <c r="E774" s="41"/>
      <c r="F774" s="41"/>
      <c r="G774" s="41"/>
      <c r="H774" s="41"/>
      <c r="I774" s="41"/>
      <c r="J774" s="41"/>
      <c r="K774" s="41"/>
      <c r="L774" s="41"/>
      <c r="M774" s="41"/>
      <c r="N774" s="41"/>
      <c r="O774" s="41"/>
      <c r="P774" s="41"/>
      <c r="Q774" s="41"/>
      <c r="R774" s="41"/>
      <c r="S774" s="41"/>
      <c r="T774" s="41"/>
      <c r="U774" s="41"/>
      <c r="V774" s="41"/>
      <c r="W774" s="41"/>
    </row>
    <row r="775" spans="1:23" ht="19.5" hidden="1" customHeight="1" x14ac:dyDescent="0.25">
      <c r="A775" s="41"/>
      <c r="B775" s="41"/>
      <c r="C775" s="41"/>
      <c r="D775" s="41"/>
      <c r="E775" s="41"/>
      <c r="F775" s="41"/>
      <c r="G775" s="41"/>
      <c r="H775" s="41"/>
      <c r="I775" s="41"/>
      <c r="J775" s="41"/>
      <c r="K775" s="41"/>
      <c r="L775" s="41"/>
      <c r="M775" s="41"/>
      <c r="N775" s="41"/>
      <c r="O775" s="41"/>
      <c r="P775" s="41"/>
      <c r="Q775" s="41"/>
      <c r="R775" s="41"/>
      <c r="S775" s="41"/>
      <c r="T775" s="41"/>
      <c r="U775" s="41"/>
      <c r="V775" s="41"/>
      <c r="W775" s="41"/>
    </row>
    <row r="776" spans="1:23" ht="19.5" hidden="1" customHeight="1" x14ac:dyDescent="0.25">
      <c r="A776" s="41"/>
      <c r="B776" s="41"/>
      <c r="C776" s="41"/>
      <c r="D776" s="41"/>
      <c r="E776" s="41"/>
      <c r="F776" s="41"/>
      <c r="G776" s="41"/>
      <c r="H776" s="41"/>
      <c r="I776" s="41"/>
      <c r="J776" s="41"/>
      <c r="K776" s="41"/>
      <c r="L776" s="41"/>
      <c r="M776" s="41"/>
      <c r="N776" s="41"/>
      <c r="O776" s="41"/>
      <c r="P776" s="41"/>
      <c r="Q776" s="41"/>
      <c r="R776" s="41"/>
      <c r="S776" s="41"/>
      <c r="T776" s="41"/>
      <c r="U776" s="41"/>
      <c r="V776" s="41"/>
      <c r="W776" s="41"/>
    </row>
    <row r="777" spans="1:23" ht="19.5" hidden="1" customHeight="1" x14ac:dyDescent="0.25">
      <c r="A777" s="41"/>
      <c r="B777" s="41"/>
      <c r="C777" s="41"/>
      <c r="D777" s="41"/>
      <c r="E777" s="41"/>
      <c r="F777" s="41"/>
      <c r="G777" s="41"/>
      <c r="H777" s="41"/>
      <c r="I777" s="41"/>
      <c r="J777" s="41"/>
      <c r="K777" s="41"/>
      <c r="L777" s="41"/>
      <c r="M777" s="41"/>
      <c r="N777" s="41"/>
      <c r="O777" s="41"/>
      <c r="P777" s="41"/>
      <c r="Q777" s="41"/>
      <c r="R777" s="41"/>
      <c r="S777" s="41"/>
      <c r="T777" s="41"/>
      <c r="U777" s="41"/>
      <c r="V777" s="41"/>
      <c r="W777" s="41"/>
    </row>
    <row r="778" spans="1:23" ht="19.5" hidden="1" customHeight="1" x14ac:dyDescent="0.25">
      <c r="A778" s="41"/>
      <c r="B778" s="41"/>
      <c r="C778" s="41"/>
      <c r="D778" s="41"/>
      <c r="E778" s="41"/>
      <c r="F778" s="41"/>
      <c r="G778" s="41"/>
      <c r="H778" s="41"/>
      <c r="I778" s="41"/>
      <c r="J778" s="41"/>
      <c r="K778" s="41"/>
      <c r="L778" s="41"/>
      <c r="M778" s="41"/>
      <c r="N778" s="41"/>
      <c r="O778" s="41"/>
      <c r="P778" s="41"/>
      <c r="Q778" s="41"/>
      <c r="R778" s="41"/>
      <c r="S778" s="41"/>
      <c r="T778" s="41"/>
      <c r="U778" s="41"/>
      <c r="V778" s="41"/>
      <c r="W778" s="41"/>
    </row>
    <row r="779" spans="1:23" ht="19.5" hidden="1" customHeight="1" x14ac:dyDescent="0.25">
      <c r="A779" s="41"/>
      <c r="B779" s="41"/>
      <c r="C779" s="41"/>
      <c r="D779" s="41"/>
      <c r="E779" s="41"/>
      <c r="F779" s="41"/>
      <c r="G779" s="41"/>
      <c r="H779" s="41"/>
      <c r="I779" s="41"/>
      <c r="J779" s="41"/>
      <c r="K779" s="41"/>
      <c r="L779" s="41"/>
      <c r="M779" s="41"/>
      <c r="N779" s="41"/>
      <c r="O779" s="41"/>
      <c r="P779" s="41"/>
      <c r="Q779" s="41"/>
      <c r="R779" s="41"/>
      <c r="S779" s="41"/>
      <c r="T779" s="41"/>
      <c r="U779" s="41"/>
      <c r="V779" s="41"/>
      <c r="W779" s="41"/>
    </row>
    <row r="780" spans="1:23" ht="19.5" hidden="1" customHeight="1" x14ac:dyDescent="0.25">
      <c r="A780" s="41"/>
      <c r="B780" s="41"/>
      <c r="C780" s="41"/>
      <c r="D780" s="41"/>
      <c r="E780" s="41"/>
      <c r="F780" s="41"/>
      <c r="G780" s="41"/>
      <c r="H780" s="41"/>
      <c r="I780" s="41"/>
      <c r="J780" s="41"/>
      <c r="K780" s="41"/>
      <c r="L780" s="41"/>
      <c r="M780" s="41"/>
      <c r="N780" s="41"/>
      <c r="O780" s="41"/>
      <c r="P780" s="41"/>
      <c r="Q780" s="41"/>
      <c r="R780" s="41"/>
      <c r="S780" s="41"/>
      <c r="T780" s="41"/>
      <c r="U780" s="41"/>
      <c r="V780" s="41"/>
      <c r="W780" s="41"/>
    </row>
    <row r="781" spans="1:23" ht="19.5" hidden="1" customHeight="1" x14ac:dyDescent="0.25">
      <c r="A781" s="41"/>
      <c r="B781" s="41"/>
      <c r="C781" s="41"/>
      <c r="D781" s="41"/>
      <c r="E781" s="41"/>
      <c r="F781" s="41"/>
      <c r="G781" s="41"/>
      <c r="H781" s="41"/>
      <c r="I781" s="41"/>
      <c r="J781" s="41"/>
      <c r="K781" s="41"/>
      <c r="L781" s="41"/>
      <c r="M781" s="41"/>
      <c r="N781" s="41"/>
      <c r="O781" s="41"/>
      <c r="P781" s="41"/>
      <c r="Q781" s="41"/>
      <c r="R781" s="41"/>
      <c r="S781" s="41"/>
      <c r="T781" s="41"/>
      <c r="U781" s="41"/>
      <c r="V781" s="41"/>
      <c r="W781" s="41"/>
    </row>
    <row r="782" spans="1:23" ht="19.5" hidden="1" customHeight="1" x14ac:dyDescent="0.25">
      <c r="A782" s="41"/>
      <c r="B782" s="41"/>
      <c r="C782" s="41"/>
      <c r="D782" s="41"/>
      <c r="E782" s="41"/>
      <c r="F782" s="41"/>
      <c r="G782" s="41"/>
      <c r="H782" s="41"/>
      <c r="I782" s="41"/>
      <c r="J782" s="41"/>
      <c r="K782" s="41"/>
      <c r="L782" s="41"/>
      <c r="M782" s="41"/>
      <c r="N782" s="41"/>
      <c r="O782" s="41"/>
      <c r="P782" s="41"/>
      <c r="Q782" s="41"/>
      <c r="R782" s="41"/>
      <c r="S782" s="41"/>
      <c r="T782" s="41"/>
      <c r="U782" s="41"/>
      <c r="V782" s="41"/>
      <c r="W782" s="41"/>
    </row>
    <row r="783" spans="1:23" ht="19.5" hidden="1" customHeight="1" x14ac:dyDescent="0.25">
      <c r="A783" s="41"/>
      <c r="B783" s="41"/>
      <c r="C783" s="41"/>
      <c r="D783" s="41"/>
      <c r="E783" s="41"/>
      <c r="F783" s="41"/>
      <c r="G783" s="41"/>
      <c r="H783" s="41"/>
      <c r="I783" s="41"/>
      <c r="J783" s="41"/>
      <c r="K783" s="41"/>
      <c r="L783" s="41"/>
      <c r="M783" s="41"/>
      <c r="N783" s="41"/>
      <c r="O783" s="41"/>
      <c r="P783" s="41"/>
      <c r="Q783" s="41"/>
      <c r="R783" s="41"/>
      <c r="S783" s="41"/>
      <c r="T783" s="41"/>
      <c r="U783" s="41"/>
      <c r="V783" s="41"/>
      <c r="W783" s="41"/>
    </row>
    <row r="784" spans="1:23" ht="19.5" hidden="1" customHeight="1" x14ac:dyDescent="0.25">
      <c r="A784" s="41"/>
      <c r="B784" s="41"/>
      <c r="C784" s="41"/>
      <c r="D784" s="41"/>
      <c r="E784" s="41"/>
      <c r="F784" s="41"/>
      <c r="G784" s="41"/>
      <c r="H784" s="41"/>
      <c r="I784" s="41"/>
      <c r="J784" s="41"/>
      <c r="K784" s="41"/>
      <c r="L784" s="41"/>
      <c r="M784" s="41"/>
      <c r="N784" s="41"/>
      <c r="O784" s="41"/>
      <c r="P784" s="41"/>
      <c r="Q784" s="41"/>
      <c r="R784" s="41"/>
      <c r="S784" s="41"/>
      <c r="T784" s="41"/>
      <c r="U784" s="41"/>
      <c r="V784" s="41"/>
      <c r="W784" s="41"/>
    </row>
    <row r="785" spans="1:23" ht="19.5" hidden="1" customHeight="1" x14ac:dyDescent="0.25">
      <c r="A785" s="41"/>
      <c r="B785" s="41"/>
      <c r="C785" s="41"/>
      <c r="D785" s="41"/>
      <c r="E785" s="41"/>
      <c r="F785" s="41"/>
      <c r="G785" s="41"/>
      <c r="H785" s="41"/>
      <c r="I785" s="41"/>
      <c r="J785" s="41"/>
      <c r="K785" s="41"/>
      <c r="L785" s="41"/>
      <c r="M785" s="41"/>
      <c r="N785" s="41"/>
      <c r="O785" s="41"/>
      <c r="P785" s="41"/>
      <c r="Q785" s="41"/>
      <c r="R785" s="41"/>
      <c r="S785" s="41"/>
      <c r="T785" s="41"/>
      <c r="U785" s="41"/>
      <c r="V785" s="41"/>
      <c r="W785" s="41"/>
    </row>
    <row r="786" spans="1:23" ht="19.5" hidden="1" customHeight="1" x14ac:dyDescent="0.25">
      <c r="A786" s="41"/>
      <c r="B786" s="41"/>
      <c r="C786" s="41"/>
      <c r="D786" s="41"/>
      <c r="E786" s="41"/>
      <c r="F786" s="41"/>
      <c r="G786" s="41"/>
      <c r="H786" s="41"/>
      <c r="I786" s="41"/>
      <c r="J786" s="41"/>
      <c r="K786" s="41"/>
      <c r="L786" s="41"/>
      <c r="M786" s="41"/>
      <c r="N786" s="41"/>
      <c r="O786" s="41"/>
      <c r="P786" s="41"/>
      <c r="Q786" s="41"/>
      <c r="R786" s="41"/>
      <c r="S786" s="41"/>
      <c r="T786" s="41"/>
      <c r="U786" s="41"/>
      <c r="V786" s="41"/>
      <c r="W786" s="41"/>
    </row>
    <row r="787" spans="1:23" ht="19.5" hidden="1" customHeight="1" x14ac:dyDescent="0.25">
      <c r="A787" s="41"/>
      <c r="B787" s="41"/>
      <c r="C787" s="41"/>
      <c r="D787" s="41"/>
      <c r="E787" s="41"/>
      <c r="F787" s="41"/>
      <c r="G787" s="41"/>
      <c r="H787" s="41"/>
      <c r="I787" s="41"/>
      <c r="J787" s="41"/>
      <c r="K787" s="41"/>
      <c r="L787" s="41"/>
      <c r="M787" s="41"/>
      <c r="N787" s="41"/>
      <c r="O787" s="41"/>
      <c r="P787" s="41"/>
      <c r="Q787" s="41"/>
      <c r="R787" s="41"/>
      <c r="S787" s="41"/>
      <c r="T787" s="41"/>
      <c r="U787" s="41"/>
      <c r="V787" s="41"/>
      <c r="W787" s="41"/>
    </row>
    <row r="788" spans="1:23" ht="19.5" hidden="1" customHeight="1" x14ac:dyDescent="0.25">
      <c r="A788" s="41"/>
      <c r="B788" s="41"/>
      <c r="C788" s="41"/>
      <c r="D788" s="41"/>
      <c r="E788" s="41"/>
      <c r="F788" s="41"/>
      <c r="G788" s="41"/>
      <c r="H788" s="41"/>
      <c r="I788" s="41"/>
      <c r="J788" s="41"/>
      <c r="K788" s="41"/>
      <c r="L788" s="41"/>
      <c r="M788" s="41"/>
      <c r="N788" s="41"/>
      <c r="O788" s="41"/>
      <c r="P788" s="41"/>
      <c r="Q788" s="41"/>
      <c r="R788" s="41"/>
      <c r="S788" s="41"/>
      <c r="T788" s="41"/>
      <c r="U788" s="41"/>
      <c r="V788" s="41"/>
      <c r="W788" s="41"/>
    </row>
    <row r="789" spans="1:23" ht="19.5" hidden="1" customHeight="1" x14ac:dyDescent="0.25">
      <c r="A789" s="41"/>
      <c r="B789" s="41"/>
      <c r="C789" s="41"/>
      <c r="D789" s="41"/>
      <c r="E789" s="41"/>
      <c r="F789" s="41"/>
      <c r="G789" s="41"/>
      <c r="H789" s="41"/>
      <c r="I789" s="41"/>
      <c r="J789" s="41"/>
      <c r="K789" s="41"/>
      <c r="L789" s="41"/>
      <c r="M789" s="41"/>
      <c r="N789" s="41"/>
      <c r="O789" s="41"/>
      <c r="P789" s="41"/>
      <c r="Q789" s="41"/>
      <c r="R789" s="41"/>
      <c r="S789" s="41"/>
      <c r="T789" s="41"/>
      <c r="U789" s="41"/>
      <c r="V789" s="41"/>
      <c r="W789" s="41"/>
    </row>
    <row r="790" spans="1:23" ht="19.5" hidden="1" customHeight="1" x14ac:dyDescent="0.25">
      <c r="A790" s="41"/>
      <c r="B790" s="41"/>
      <c r="C790" s="41"/>
      <c r="D790" s="41"/>
      <c r="E790" s="41"/>
      <c r="F790" s="41"/>
      <c r="G790" s="41"/>
      <c r="H790" s="41"/>
      <c r="I790" s="41"/>
      <c r="J790" s="41"/>
      <c r="K790" s="41"/>
      <c r="L790" s="41"/>
      <c r="M790" s="41"/>
      <c r="N790" s="41"/>
      <c r="O790" s="41"/>
      <c r="P790" s="41"/>
      <c r="Q790" s="41"/>
      <c r="R790" s="41"/>
      <c r="S790" s="41"/>
      <c r="T790" s="41"/>
      <c r="U790" s="41"/>
      <c r="V790" s="41"/>
      <c r="W790" s="41"/>
    </row>
    <row r="791" spans="1:23" ht="19.5" hidden="1" customHeight="1" x14ac:dyDescent="0.25">
      <c r="A791" s="41"/>
      <c r="B791" s="41"/>
      <c r="C791" s="41"/>
      <c r="D791" s="41"/>
      <c r="E791" s="41"/>
      <c r="F791" s="41"/>
      <c r="G791" s="41"/>
      <c r="H791" s="41"/>
      <c r="I791" s="41"/>
      <c r="J791" s="41"/>
      <c r="K791" s="41"/>
      <c r="L791" s="41"/>
      <c r="M791" s="41"/>
      <c r="N791" s="41"/>
      <c r="O791" s="41"/>
      <c r="P791" s="41"/>
      <c r="Q791" s="41"/>
      <c r="R791" s="41"/>
      <c r="S791" s="41"/>
      <c r="T791" s="41"/>
      <c r="U791" s="41"/>
      <c r="V791" s="41"/>
      <c r="W791" s="41"/>
    </row>
    <row r="792" spans="1:23" ht="19.5" hidden="1" customHeight="1" x14ac:dyDescent="0.25">
      <c r="A792" s="41"/>
      <c r="B792" s="41"/>
      <c r="C792" s="41"/>
      <c r="D792" s="41"/>
      <c r="E792" s="41"/>
      <c r="F792" s="41"/>
      <c r="G792" s="41"/>
      <c r="H792" s="41"/>
      <c r="I792" s="41"/>
      <c r="J792" s="41"/>
      <c r="K792" s="41"/>
      <c r="L792" s="41"/>
      <c r="M792" s="41"/>
      <c r="N792" s="41"/>
      <c r="O792" s="41"/>
      <c r="P792" s="41"/>
      <c r="Q792" s="41"/>
      <c r="R792" s="41"/>
      <c r="S792" s="41"/>
      <c r="T792" s="41"/>
      <c r="U792" s="41"/>
      <c r="V792" s="41"/>
      <c r="W792" s="41"/>
    </row>
    <row r="793" spans="1:23" ht="19.5" hidden="1" customHeight="1" x14ac:dyDescent="0.25">
      <c r="A793" s="41"/>
      <c r="B793" s="41"/>
      <c r="C793" s="41"/>
      <c r="D793" s="41"/>
      <c r="E793" s="41"/>
      <c r="F793" s="41"/>
      <c r="G793" s="41"/>
      <c r="H793" s="41"/>
      <c r="I793" s="41"/>
      <c r="J793" s="41"/>
      <c r="K793" s="41"/>
      <c r="L793" s="41"/>
      <c r="M793" s="41"/>
      <c r="N793" s="41"/>
      <c r="O793" s="41"/>
      <c r="P793" s="41"/>
      <c r="Q793" s="41"/>
      <c r="R793" s="41"/>
      <c r="S793" s="41"/>
      <c r="T793" s="41"/>
      <c r="U793" s="41"/>
      <c r="V793" s="41"/>
      <c r="W793" s="41"/>
    </row>
    <row r="794" spans="1:23" ht="19.5" hidden="1" customHeight="1" x14ac:dyDescent="0.25">
      <c r="A794" s="41"/>
      <c r="B794" s="41"/>
      <c r="C794" s="41"/>
      <c r="D794" s="41"/>
      <c r="E794" s="41"/>
      <c r="F794" s="41"/>
      <c r="G794" s="41"/>
      <c r="H794" s="41"/>
      <c r="I794" s="41"/>
      <c r="J794" s="41"/>
      <c r="K794" s="41"/>
      <c r="L794" s="41"/>
      <c r="M794" s="41"/>
      <c r="N794" s="41"/>
      <c r="O794" s="41"/>
      <c r="P794" s="41"/>
      <c r="Q794" s="41"/>
      <c r="R794" s="41"/>
      <c r="S794" s="41"/>
      <c r="T794" s="41"/>
      <c r="U794" s="41"/>
      <c r="V794" s="41"/>
      <c r="W794" s="41"/>
    </row>
    <row r="795" spans="1:23" ht="19.5" hidden="1" customHeight="1" x14ac:dyDescent="0.25">
      <c r="A795" s="41"/>
      <c r="B795" s="41"/>
      <c r="C795" s="41"/>
      <c r="D795" s="41"/>
      <c r="E795" s="41"/>
      <c r="F795" s="41"/>
      <c r="G795" s="41"/>
      <c r="H795" s="41"/>
      <c r="I795" s="41"/>
      <c r="J795" s="41"/>
      <c r="K795" s="41"/>
      <c r="L795" s="41"/>
      <c r="M795" s="41"/>
      <c r="N795" s="41"/>
      <c r="O795" s="41"/>
      <c r="P795" s="41"/>
      <c r="Q795" s="41"/>
      <c r="R795" s="41"/>
      <c r="S795" s="41"/>
      <c r="T795" s="41"/>
      <c r="U795" s="41"/>
      <c r="V795" s="41"/>
      <c r="W795" s="41"/>
    </row>
    <row r="796" spans="1:23" ht="19.5" hidden="1" customHeight="1" x14ac:dyDescent="0.25">
      <c r="A796" s="41"/>
      <c r="B796" s="41"/>
      <c r="C796" s="41"/>
      <c r="D796" s="41"/>
      <c r="E796" s="41"/>
      <c r="F796" s="41"/>
      <c r="G796" s="41"/>
      <c r="H796" s="41"/>
      <c r="I796" s="41"/>
      <c r="J796" s="41"/>
      <c r="K796" s="41"/>
      <c r="L796" s="41"/>
      <c r="M796" s="41"/>
      <c r="N796" s="41"/>
      <c r="O796" s="41"/>
      <c r="P796" s="41"/>
      <c r="Q796" s="41"/>
      <c r="R796" s="41"/>
      <c r="S796" s="41"/>
      <c r="T796" s="41"/>
      <c r="U796" s="41"/>
      <c r="V796" s="41"/>
      <c r="W796" s="41"/>
    </row>
    <row r="797" spans="1:23" ht="19.5" hidden="1" customHeight="1" x14ac:dyDescent="0.25">
      <c r="A797" s="41"/>
      <c r="B797" s="41"/>
      <c r="C797" s="41"/>
      <c r="D797" s="41"/>
      <c r="E797" s="41"/>
      <c r="F797" s="41"/>
      <c r="G797" s="41"/>
      <c r="H797" s="41"/>
      <c r="I797" s="41"/>
      <c r="J797" s="41"/>
      <c r="K797" s="41"/>
      <c r="L797" s="41"/>
      <c r="M797" s="41"/>
      <c r="N797" s="41"/>
      <c r="O797" s="41"/>
      <c r="P797" s="41"/>
      <c r="Q797" s="41"/>
      <c r="R797" s="41"/>
      <c r="S797" s="41"/>
      <c r="T797" s="41"/>
      <c r="U797" s="41"/>
      <c r="V797" s="41"/>
      <c r="W797" s="41"/>
    </row>
    <row r="798" spans="1:23" ht="19.5" hidden="1" customHeight="1" x14ac:dyDescent="0.25">
      <c r="A798" s="41"/>
      <c r="B798" s="41"/>
      <c r="C798" s="41"/>
      <c r="D798" s="41"/>
      <c r="E798" s="41"/>
      <c r="F798" s="41"/>
      <c r="G798" s="41"/>
      <c r="H798" s="41"/>
      <c r="I798" s="41"/>
      <c r="J798" s="41"/>
      <c r="K798" s="41"/>
      <c r="L798" s="41"/>
      <c r="M798" s="41"/>
      <c r="N798" s="41"/>
      <c r="O798" s="41"/>
      <c r="P798" s="41"/>
      <c r="Q798" s="41"/>
      <c r="R798" s="41"/>
      <c r="S798" s="41"/>
      <c r="T798" s="41"/>
      <c r="U798" s="41"/>
      <c r="V798" s="41"/>
      <c r="W798" s="41"/>
    </row>
    <row r="799" spans="1:23" ht="19.5" hidden="1" customHeight="1" x14ac:dyDescent="0.25">
      <c r="A799" s="41"/>
      <c r="B799" s="41"/>
      <c r="C799" s="41"/>
      <c r="D799" s="41"/>
      <c r="E799" s="41"/>
      <c r="F799" s="41"/>
      <c r="G799" s="41"/>
      <c r="H799" s="41"/>
      <c r="I799" s="41"/>
      <c r="J799" s="41"/>
      <c r="K799" s="41"/>
      <c r="L799" s="41"/>
      <c r="M799" s="41"/>
      <c r="N799" s="41"/>
      <c r="O799" s="41"/>
      <c r="P799" s="41"/>
      <c r="Q799" s="41"/>
      <c r="R799" s="41"/>
      <c r="S799" s="41"/>
      <c r="T799" s="41"/>
      <c r="U799" s="41"/>
      <c r="V799" s="41"/>
      <c r="W799" s="41"/>
    </row>
    <row r="800" spans="1:23" ht="19.5" hidden="1" customHeight="1" x14ac:dyDescent="0.25">
      <c r="A800" s="41"/>
      <c r="B800" s="41"/>
      <c r="C800" s="41"/>
      <c r="D800" s="41"/>
      <c r="E800" s="41"/>
      <c r="F800" s="41"/>
      <c r="G800" s="41"/>
      <c r="H800" s="41"/>
      <c r="I800" s="41"/>
      <c r="J800" s="41"/>
      <c r="K800" s="41"/>
      <c r="L800" s="41"/>
      <c r="M800" s="41"/>
      <c r="N800" s="41"/>
      <c r="O800" s="41"/>
      <c r="P800" s="41"/>
      <c r="Q800" s="41"/>
      <c r="R800" s="41"/>
      <c r="S800" s="41"/>
      <c r="T800" s="41"/>
      <c r="U800" s="41"/>
      <c r="V800" s="41"/>
      <c r="W800" s="41"/>
    </row>
    <row r="801" spans="1:23" ht="19.5" hidden="1" customHeight="1" x14ac:dyDescent="0.25">
      <c r="A801" s="41"/>
      <c r="B801" s="41"/>
      <c r="C801" s="41"/>
      <c r="D801" s="41"/>
      <c r="E801" s="41"/>
      <c r="F801" s="41"/>
      <c r="G801" s="41"/>
      <c r="H801" s="41"/>
      <c r="I801" s="41"/>
      <c r="J801" s="41"/>
      <c r="K801" s="41"/>
      <c r="L801" s="41"/>
      <c r="M801" s="41"/>
      <c r="N801" s="41"/>
      <c r="O801" s="41"/>
      <c r="P801" s="41"/>
      <c r="Q801" s="41"/>
      <c r="R801" s="41"/>
      <c r="S801" s="41"/>
      <c r="T801" s="41"/>
      <c r="U801" s="41"/>
      <c r="V801" s="41"/>
      <c r="W801" s="41"/>
    </row>
    <row r="802" spans="1:23" ht="19.5" hidden="1" customHeight="1" x14ac:dyDescent="0.25">
      <c r="A802" s="41"/>
      <c r="B802" s="41"/>
      <c r="C802" s="41"/>
      <c r="D802" s="41"/>
      <c r="E802" s="41"/>
      <c r="F802" s="41"/>
      <c r="G802" s="41"/>
      <c r="H802" s="41"/>
      <c r="I802" s="41"/>
      <c r="J802" s="41"/>
      <c r="K802" s="41"/>
      <c r="L802" s="41"/>
      <c r="M802" s="41"/>
      <c r="N802" s="41"/>
      <c r="O802" s="41"/>
      <c r="P802" s="41"/>
      <c r="Q802" s="41"/>
      <c r="R802" s="41"/>
      <c r="S802" s="41"/>
      <c r="T802" s="41"/>
      <c r="U802" s="41"/>
      <c r="V802" s="41"/>
      <c r="W802" s="41"/>
    </row>
    <row r="803" spans="1:23" ht="19.5" hidden="1" customHeight="1" x14ac:dyDescent="0.25">
      <c r="A803" s="41"/>
      <c r="B803" s="41"/>
      <c r="C803" s="41"/>
      <c r="D803" s="41"/>
      <c r="E803" s="41"/>
      <c r="F803" s="41"/>
      <c r="G803" s="41"/>
      <c r="H803" s="41"/>
      <c r="I803" s="41"/>
      <c r="J803" s="41"/>
      <c r="K803" s="41"/>
      <c r="L803" s="41"/>
      <c r="M803" s="41"/>
      <c r="N803" s="41"/>
      <c r="O803" s="41"/>
      <c r="P803" s="41"/>
      <c r="Q803" s="41"/>
      <c r="R803" s="41"/>
      <c r="S803" s="41"/>
      <c r="T803" s="41"/>
      <c r="U803" s="41"/>
      <c r="V803" s="41"/>
      <c r="W803" s="41"/>
    </row>
    <row r="804" spans="1:23" ht="19.5" hidden="1" customHeight="1" x14ac:dyDescent="0.25">
      <c r="A804" s="41"/>
      <c r="B804" s="41"/>
      <c r="C804" s="41"/>
      <c r="D804" s="41"/>
      <c r="E804" s="41"/>
      <c r="F804" s="41"/>
      <c r="G804" s="41"/>
      <c r="H804" s="41"/>
      <c r="I804" s="41"/>
      <c r="J804" s="41"/>
      <c r="K804" s="41"/>
      <c r="L804" s="41"/>
      <c r="M804" s="41"/>
      <c r="N804" s="41"/>
      <c r="O804" s="41"/>
      <c r="P804" s="41"/>
      <c r="Q804" s="41"/>
      <c r="R804" s="41"/>
      <c r="S804" s="41"/>
      <c r="T804" s="41"/>
      <c r="U804" s="41"/>
      <c r="V804" s="41"/>
      <c r="W804" s="41"/>
    </row>
    <row r="805" spans="1:23" ht="19.5" hidden="1" customHeight="1" x14ac:dyDescent="0.25">
      <c r="A805" s="41"/>
      <c r="B805" s="41"/>
      <c r="C805" s="41"/>
      <c r="D805" s="41"/>
      <c r="E805" s="41"/>
      <c r="F805" s="41"/>
      <c r="G805" s="41"/>
      <c r="H805" s="41"/>
      <c r="I805" s="41"/>
      <c r="J805" s="41"/>
      <c r="K805" s="41"/>
      <c r="L805" s="41"/>
      <c r="M805" s="41"/>
      <c r="N805" s="41"/>
      <c r="O805" s="41"/>
      <c r="P805" s="41"/>
      <c r="Q805" s="41"/>
      <c r="R805" s="41"/>
      <c r="S805" s="41"/>
      <c r="T805" s="41"/>
      <c r="U805" s="41"/>
      <c r="V805" s="41"/>
      <c r="W805" s="41"/>
    </row>
    <row r="806" spans="1:23" ht="19.5" hidden="1" customHeight="1" x14ac:dyDescent="0.25">
      <c r="A806" s="41"/>
      <c r="B806" s="41"/>
      <c r="C806" s="41"/>
      <c r="D806" s="41"/>
      <c r="E806" s="41"/>
      <c r="F806" s="41"/>
      <c r="G806" s="41"/>
      <c r="H806" s="41"/>
      <c r="I806" s="41"/>
      <c r="J806" s="41"/>
      <c r="K806" s="41"/>
      <c r="L806" s="41"/>
      <c r="M806" s="41"/>
      <c r="N806" s="41"/>
      <c r="O806" s="41"/>
      <c r="P806" s="41"/>
      <c r="Q806" s="41"/>
      <c r="R806" s="41"/>
      <c r="S806" s="41"/>
      <c r="T806" s="41"/>
      <c r="U806" s="41"/>
      <c r="V806" s="41"/>
      <c r="W806" s="41"/>
    </row>
    <row r="807" spans="1:23" ht="19.5" hidden="1" customHeight="1" x14ac:dyDescent="0.25">
      <c r="A807" s="41"/>
      <c r="B807" s="41"/>
      <c r="C807" s="41"/>
      <c r="D807" s="41"/>
      <c r="E807" s="41"/>
      <c r="F807" s="41"/>
      <c r="G807" s="41"/>
      <c r="H807" s="41"/>
      <c r="I807" s="41"/>
      <c r="J807" s="41"/>
      <c r="K807" s="41"/>
      <c r="L807" s="41"/>
      <c r="M807" s="41"/>
      <c r="N807" s="41"/>
      <c r="O807" s="41"/>
      <c r="P807" s="41"/>
      <c r="Q807" s="41"/>
      <c r="R807" s="41"/>
      <c r="S807" s="41"/>
      <c r="T807" s="41"/>
      <c r="U807" s="41"/>
      <c r="V807" s="41"/>
      <c r="W807" s="41"/>
    </row>
    <row r="808" spans="1:23" ht="19.5" hidden="1" customHeight="1" x14ac:dyDescent="0.25">
      <c r="A808" s="41"/>
      <c r="B808" s="41"/>
      <c r="C808" s="41"/>
      <c r="D808" s="41"/>
      <c r="E808" s="41"/>
      <c r="F808" s="41"/>
      <c r="G808" s="41"/>
      <c r="H808" s="41"/>
      <c r="I808" s="41"/>
      <c r="J808" s="41"/>
      <c r="K808" s="41"/>
      <c r="L808" s="41"/>
      <c r="M808" s="41"/>
      <c r="N808" s="41"/>
      <c r="O808" s="41"/>
      <c r="P808" s="41"/>
      <c r="Q808" s="41"/>
      <c r="R808" s="41"/>
      <c r="S808" s="41"/>
      <c r="T808" s="41"/>
      <c r="U808" s="41"/>
      <c r="V808" s="41"/>
      <c r="W808" s="41"/>
    </row>
    <row r="809" spans="1:23" ht="19.5" hidden="1" customHeight="1" x14ac:dyDescent="0.25">
      <c r="A809" s="41"/>
      <c r="B809" s="41"/>
      <c r="C809" s="41"/>
      <c r="D809" s="41"/>
      <c r="E809" s="41"/>
      <c r="F809" s="41"/>
      <c r="G809" s="41"/>
      <c r="H809" s="41"/>
      <c r="I809" s="41"/>
      <c r="J809" s="41"/>
      <c r="K809" s="41"/>
      <c r="L809" s="41"/>
      <c r="M809" s="41"/>
      <c r="N809" s="41"/>
      <c r="O809" s="41"/>
      <c r="P809" s="41"/>
      <c r="Q809" s="41"/>
      <c r="R809" s="41"/>
      <c r="S809" s="41"/>
      <c r="T809" s="41"/>
      <c r="U809" s="41"/>
      <c r="V809" s="41"/>
      <c r="W809" s="41"/>
    </row>
    <row r="810" spans="1:23" ht="19.5" hidden="1" customHeight="1" x14ac:dyDescent="0.25">
      <c r="A810" s="41"/>
      <c r="B810" s="41"/>
      <c r="C810" s="41"/>
      <c r="D810" s="41"/>
      <c r="E810" s="41"/>
      <c r="F810" s="41"/>
      <c r="G810" s="41"/>
      <c r="H810" s="41"/>
      <c r="I810" s="41"/>
      <c r="J810" s="41"/>
      <c r="K810" s="41"/>
      <c r="L810" s="41"/>
      <c r="M810" s="41"/>
      <c r="N810" s="41"/>
      <c r="O810" s="41"/>
      <c r="P810" s="41"/>
      <c r="Q810" s="41"/>
      <c r="R810" s="41"/>
      <c r="S810" s="41"/>
      <c r="T810" s="41"/>
      <c r="U810" s="41"/>
      <c r="V810" s="41"/>
      <c r="W810" s="41"/>
    </row>
    <row r="811" spans="1:23" ht="19.5" hidden="1" customHeight="1" x14ac:dyDescent="0.25">
      <c r="A811" s="41"/>
      <c r="B811" s="41"/>
      <c r="C811" s="41"/>
      <c r="D811" s="41"/>
      <c r="E811" s="41"/>
      <c r="F811" s="41"/>
      <c r="G811" s="41"/>
      <c r="H811" s="41"/>
      <c r="I811" s="41"/>
      <c r="J811" s="41"/>
      <c r="K811" s="41"/>
      <c r="L811" s="41"/>
      <c r="M811" s="41"/>
      <c r="N811" s="41"/>
      <c r="O811" s="41"/>
      <c r="P811" s="41"/>
      <c r="Q811" s="41"/>
      <c r="R811" s="41"/>
      <c r="S811" s="41"/>
      <c r="T811" s="41"/>
      <c r="U811" s="41"/>
      <c r="V811" s="41"/>
      <c r="W811" s="41"/>
    </row>
    <row r="812" spans="1:23" ht="19.5" hidden="1" customHeight="1" x14ac:dyDescent="0.25">
      <c r="A812" s="41"/>
      <c r="B812" s="41"/>
      <c r="C812" s="41"/>
      <c r="D812" s="41"/>
      <c r="E812" s="41"/>
      <c r="F812" s="41"/>
      <c r="G812" s="41"/>
      <c r="H812" s="41"/>
      <c r="I812" s="41"/>
      <c r="J812" s="41"/>
      <c r="K812" s="41"/>
      <c r="L812" s="41"/>
      <c r="M812" s="41"/>
      <c r="N812" s="41"/>
      <c r="O812" s="41"/>
      <c r="P812" s="41"/>
      <c r="Q812" s="41"/>
      <c r="R812" s="41"/>
      <c r="S812" s="41"/>
      <c r="T812" s="41"/>
      <c r="U812" s="41"/>
      <c r="V812" s="41"/>
      <c r="W812" s="41"/>
    </row>
    <row r="813" spans="1:23" ht="19.5" hidden="1" customHeight="1" x14ac:dyDescent="0.25">
      <c r="A813" s="41"/>
      <c r="B813" s="41"/>
      <c r="C813" s="41"/>
      <c r="D813" s="41"/>
      <c r="E813" s="41"/>
      <c r="F813" s="41"/>
      <c r="G813" s="41"/>
      <c r="H813" s="41"/>
      <c r="I813" s="41"/>
      <c r="J813" s="41"/>
      <c r="K813" s="41"/>
      <c r="L813" s="41"/>
      <c r="M813" s="41"/>
      <c r="N813" s="41"/>
      <c r="O813" s="41"/>
      <c r="P813" s="41"/>
      <c r="Q813" s="41"/>
      <c r="R813" s="41"/>
      <c r="S813" s="41"/>
      <c r="T813" s="41"/>
      <c r="U813" s="41"/>
      <c r="V813" s="41"/>
      <c r="W813" s="41"/>
    </row>
    <row r="814" spans="1:23" ht="19.5" hidden="1" customHeight="1" x14ac:dyDescent="0.25">
      <c r="A814" s="41"/>
      <c r="B814" s="41"/>
      <c r="C814" s="41"/>
      <c r="D814" s="41"/>
      <c r="E814" s="41"/>
      <c r="F814" s="41"/>
      <c r="G814" s="41"/>
      <c r="H814" s="41"/>
      <c r="I814" s="41"/>
      <c r="J814" s="41"/>
      <c r="K814" s="41"/>
      <c r="L814" s="41"/>
      <c r="M814" s="41"/>
      <c r="N814" s="41"/>
      <c r="O814" s="41"/>
      <c r="P814" s="41"/>
      <c r="Q814" s="41"/>
      <c r="R814" s="41"/>
      <c r="S814" s="41"/>
      <c r="T814" s="41"/>
      <c r="U814" s="41"/>
      <c r="V814" s="41"/>
      <c r="W814" s="41"/>
    </row>
    <row r="815" spans="1:23" ht="19.5" hidden="1" customHeight="1" x14ac:dyDescent="0.25">
      <c r="A815" s="41"/>
      <c r="B815" s="41"/>
      <c r="C815" s="41"/>
      <c r="D815" s="41"/>
      <c r="E815" s="41"/>
      <c r="F815" s="41"/>
      <c r="G815" s="41"/>
      <c r="H815" s="41"/>
      <c r="I815" s="41"/>
      <c r="J815" s="41"/>
      <c r="K815" s="41"/>
      <c r="L815" s="41"/>
      <c r="M815" s="41"/>
      <c r="N815" s="41"/>
      <c r="O815" s="41"/>
      <c r="P815" s="41"/>
      <c r="Q815" s="41"/>
      <c r="R815" s="41"/>
      <c r="S815" s="41"/>
      <c r="T815" s="41"/>
      <c r="U815" s="41"/>
      <c r="V815" s="41"/>
      <c r="W815" s="41"/>
    </row>
    <row r="816" spans="1:23" ht="19.5" hidden="1" customHeight="1" x14ac:dyDescent="0.25">
      <c r="A816" s="41"/>
      <c r="B816" s="41"/>
      <c r="C816" s="41"/>
      <c r="D816" s="41"/>
      <c r="E816" s="41"/>
      <c r="F816" s="41"/>
      <c r="G816" s="41"/>
      <c r="H816" s="41"/>
      <c r="I816" s="41"/>
      <c r="J816" s="41"/>
      <c r="K816" s="41"/>
      <c r="L816" s="41"/>
      <c r="M816" s="41"/>
      <c r="N816" s="41"/>
      <c r="O816" s="41"/>
      <c r="P816" s="41"/>
      <c r="Q816" s="41"/>
      <c r="R816" s="41"/>
      <c r="S816" s="41"/>
      <c r="T816" s="41"/>
      <c r="U816" s="41"/>
      <c r="V816" s="41"/>
      <c r="W816" s="41"/>
    </row>
    <row r="817" spans="1:23" ht="19.5" hidden="1" customHeight="1" x14ac:dyDescent="0.25">
      <c r="A817" s="41"/>
      <c r="B817" s="41"/>
      <c r="C817" s="41"/>
      <c r="D817" s="41"/>
      <c r="E817" s="41"/>
      <c r="F817" s="41"/>
      <c r="G817" s="41"/>
      <c r="H817" s="41"/>
      <c r="I817" s="41"/>
      <c r="J817" s="41"/>
      <c r="K817" s="41"/>
      <c r="L817" s="41"/>
      <c r="M817" s="41"/>
      <c r="N817" s="41"/>
      <c r="O817" s="41"/>
      <c r="P817" s="41"/>
      <c r="Q817" s="41"/>
      <c r="R817" s="41"/>
      <c r="S817" s="41"/>
      <c r="T817" s="41"/>
      <c r="U817" s="41"/>
      <c r="V817" s="41"/>
      <c r="W817" s="41"/>
    </row>
    <row r="818" spans="1:23" ht="19.5" hidden="1" customHeight="1" x14ac:dyDescent="0.25">
      <c r="A818" s="41"/>
      <c r="B818" s="41"/>
      <c r="C818" s="41"/>
      <c r="D818" s="41"/>
      <c r="E818" s="41"/>
      <c r="F818" s="41"/>
      <c r="G818" s="41"/>
      <c r="H818" s="41"/>
      <c r="I818" s="41"/>
      <c r="J818" s="41"/>
      <c r="K818" s="41"/>
      <c r="L818" s="41"/>
      <c r="M818" s="41"/>
      <c r="N818" s="41"/>
      <c r="O818" s="41"/>
      <c r="P818" s="41"/>
      <c r="Q818" s="41"/>
      <c r="R818" s="41"/>
      <c r="S818" s="41"/>
      <c r="T818" s="41"/>
      <c r="U818" s="41"/>
      <c r="V818" s="41"/>
      <c r="W818" s="41"/>
    </row>
    <row r="819" spans="1:23" ht="19.5" hidden="1" customHeight="1" x14ac:dyDescent="0.25">
      <c r="A819" s="41"/>
      <c r="B819" s="41"/>
      <c r="C819" s="41"/>
      <c r="D819" s="41"/>
      <c r="E819" s="41"/>
      <c r="F819" s="41"/>
      <c r="G819" s="41"/>
      <c r="H819" s="41"/>
      <c r="I819" s="41"/>
      <c r="J819" s="41"/>
      <c r="K819" s="41"/>
      <c r="L819" s="41"/>
      <c r="M819" s="41"/>
      <c r="N819" s="41"/>
      <c r="O819" s="41"/>
      <c r="P819" s="41"/>
      <c r="Q819" s="41"/>
      <c r="R819" s="41"/>
      <c r="S819" s="41"/>
      <c r="T819" s="41"/>
      <c r="U819" s="41"/>
      <c r="V819" s="41"/>
      <c r="W819" s="41"/>
    </row>
    <row r="820" spans="1:23" ht="19.5" hidden="1" customHeight="1" x14ac:dyDescent="0.25">
      <c r="A820" s="41"/>
      <c r="B820" s="41"/>
      <c r="C820" s="41"/>
      <c r="D820" s="41"/>
      <c r="E820" s="41"/>
      <c r="F820" s="41"/>
      <c r="G820" s="41"/>
      <c r="H820" s="41"/>
      <c r="I820" s="41"/>
      <c r="J820" s="41"/>
      <c r="K820" s="41"/>
      <c r="L820" s="41"/>
      <c r="M820" s="41"/>
      <c r="N820" s="41"/>
      <c r="O820" s="41"/>
      <c r="P820" s="41"/>
      <c r="Q820" s="41"/>
      <c r="R820" s="41"/>
      <c r="S820" s="41"/>
      <c r="T820" s="41"/>
      <c r="U820" s="41"/>
      <c r="V820" s="41"/>
      <c r="W820" s="41"/>
    </row>
    <row r="821" spans="1:23" ht="19.5" hidden="1" customHeight="1" x14ac:dyDescent="0.25">
      <c r="A821" s="41"/>
      <c r="B821" s="41"/>
      <c r="C821" s="41"/>
      <c r="D821" s="41"/>
      <c r="E821" s="41"/>
      <c r="F821" s="41"/>
      <c r="G821" s="41"/>
      <c r="H821" s="41"/>
      <c r="I821" s="41"/>
      <c r="J821" s="41"/>
      <c r="K821" s="41"/>
      <c r="L821" s="41"/>
      <c r="M821" s="41"/>
      <c r="N821" s="41"/>
      <c r="O821" s="41"/>
      <c r="P821" s="41"/>
      <c r="Q821" s="41"/>
      <c r="R821" s="41"/>
      <c r="S821" s="41"/>
      <c r="T821" s="41"/>
      <c r="U821" s="41"/>
      <c r="V821" s="41"/>
      <c r="W821" s="41"/>
    </row>
    <row r="822" spans="1:23" ht="19.5" hidden="1" customHeight="1" x14ac:dyDescent="0.25">
      <c r="A822" s="41"/>
      <c r="B822" s="41"/>
      <c r="C822" s="41"/>
      <c r="D822" s="41"/>
      <c r="E822" s="41"/>
      <c r="F822" s="41"/>
      <c r="G822" s="41"/>
      <c r="H822" s="41"/>
      <c r="I822" s="41"/>
      <c r="J822" s="41"/>
      <c r="K822" s="41"/>
      <c r="L822" s="41"/>
      <c r="M822" s="41"/>
      <c r="N822" s="41"/>
      <c r="O822" s="41"/>
      <c r="P822" s="41"/>
      <c r="Q822" s="41"/>
      <c r="R822" s="41"/>
      <c r="S822" s="41"/>
      <c r="T822" s="41"/>
      <c r="U822" s="41"/>
      <c r="V822" s="41"/>
      <c r="W822" s="41"/>
    </row>
    <row r="823" spans="1:23" ht="19.5" hidden="1" customHeight="1" x14ac:dyDescent="0.25">
      <c r="A823" s="41"/>
      <c r="B823" s="41"/>
      <c r="C823" s="41"/>
      <c r="D823" s="41"/>
      <c r="E823" s="41"/>
      <c r="F823" s="41"/>
      <c r="G823" s="41"/>
      <c r="H823" s="41"/>
      <c r="I823" s="41"/>
      <c r="J823" s="41"/>
      <c r="K823" s="41"/>
      <c r="L823" s="41"/>
      <c r="M823" s="41"/>
      <c r="N823" s="41"/>
      <c r="O823" s="41"/>
      <c r="P823" s="41"/>
      <c r="Q823" s="41"/>
      <c r="R823" s="41"/>
      <c r="S823" s="41"/>
      <c r="T823" s="41"/>
      <c r="U823" s="41"/>
      <c r="V823" s="41"/>
      <c r="W823" s="41"/>
    </row>
    <row r="824" spans="1:23" ht="19.5" hidden="1" customHeight="1" x14ac:dyDescent="0.25">
      <c r="A824" s="41"/>
      <c r="B824" s="41"/>
      <c r="C824" s="41"/>
      <c r="D824" s="41"/>
      <c r="E824" s="41"/>
      <c r="F824" s="41"/>
      <c r="G824" s="41"/>
      <c r="H824" s="41"/>
      <c r="I824" s="41"/>
      <c r="J824" s="41"/>
      <c r="K824" s="41"/>
      <c r="L824" s="41"/>
      <c r="M824" s="41"/>
      <c r="N824" s="41"/>
      <c r="O824" s="41"/>
      <c r="P824" s="41"/>
      <c r="Q824" s="41"/>
      <c r="R824" s="41"/>
      <c r="S824" s="41"/>
      <c r="T824" s="41"/>
      <c r="U824" s="41"/>
      <c r="V824" s="41"/>
      <c r="W824" s="41"/>
    </row>
    <row r="825" spans="1:23" ht="19.5" hidden="1" customHeight="1" x14ac:dyDescent="0.25">
      <c r="A825" s="41"/>
      <c r="B825" s="41"/>
      <c r="C825" s="41"/>
      <c r="D825" s="41"/>
      <c r="E825" s="41"/>
      <c r="F825" s="41"/>
      <c r="G825" s="41"/>
      <c r="H825" s="41"/>
      <c r="I825" s="41"/>
      <c r="J825" s="41"/>
      <c r="K825" s="41"/>
      <c r="L825" s="41"/>
      <c r="M825" s="41"/>
      <c r="N825" s="41"/>
      <c r="O825" s="41"/>
      <c r="P825" s="41"/>
      <c r="Q825" s="41"/>
      <c r="R825" s="41"/>
      <c r="S825" s="41"/>
      <c r="T825" s="41"/>
      <c r="U825" s="41"/>
      <c r="V825" s="41"/>
      <c r="W825" s="41"/>
    </row>
    <row r="826" spans="1:23" ht="19.5" hidden="1" customHeight="1" x14ac:dyDescent="0.25">
      <c r="A826" s="41"/>
      <c r="B826" s="41"/>
      <c r="C826" s="41"/>
      <c r="D826" s="41"/>
      <c r="E826" s="41"/>
      <c r="F826" s="41"/>
      <c r="G826" s="41"/>
      <c r="H826" s="41"/>
      <c r="I826" s="41"/>
      <c r="J826" s="41"/>
      <c r="K826" s="41"/>
      <c r="L826" s="41"/>
      <c r="M826" s="41"/>
      <c r="N826" s="41"/>
      <c r="O826" s="41"/>
      <c r="P826" s="41"/>
      <c r="Q826" s="41"/>
      <c r="R826" s="41"/>
      <c r="S826" s="41"/>
      <c r="T826" s="41"/>
      <c r="U826" s="41"/>
      <c r="V826" s="41"/>
      <c r="W826" s="41"/>
    </row>
    <row r="827" spans="1:23" ht="19.5" hidden="1" customHeight="1" x14ac:dyDescent="0.25">
      <c r="A827" s="41"/>
      <c r="B827" s="41"/>
      <c r="C827" s="41"/>
      <c r="D827" s="41"/>
      <c r="E827" s="41"/>
      <c r="F827" s="41"/>
      <c r="G827" s="41"/>
      <c r="H827" s="41"/>
      <c r="I827" s="41"/>
      <c r="J827" s="41"/>
      <c r="K827" s="41"/>
      <c r="L827" s="41"/>
      <c r="M827" s="41"/>
      <c r="N827" s="41"/>
      <c r="O827" s="41"/>
      <c r="P827" s="41"/>
      <c r="Q827" s="41"/>
      <c r="R827" s="41"/>
      <c r="S827" s="41"/>
      <c r="T827" s="41"/>
      <c r="U827" s="41"/>
      <c r="V827" s="41"/>
      <c r="W827" s="41"/>
    </row>
    <row r="828" spans="1:23" ht="19.5" hidden="1" customHeight="1" x14ac:dyDescent="0.25">
      <c r="A828" s="41"/>
      <c r="B828" s="41"/>
      <c r="C828" s="41"/>
      <c r="D828" s="41"/>
      <c r="E828" s="41"/>
      <c r="F828" s="41"/>
      <c r="G828" s="41"/>
      <c r="H828" s="41"/>
      <c r="I828" s="41"/>
      <c r="J828" s="41"/>
      <c r="K828" s="41"/>
      <c r="L828" s="41"/>
      <c r="M828" s="41"/>
      <c r="N828" s="41"/>
      <c r="O828" s="41"/>
      <c r="P828" s="41"/>
      <c r="Q828" s="41"/>
      <c r="R828" s="41"/>
      <c r="S828" s="41"/>
      <c r="T828" s="41"/>
      <c r="U828" s="41"/>
      <c r="V828" s="41"/>
      <c r="W828" s="41"/>
    </row>
    <row r="829" spans="1:23" ht="19.5" hidden="1" customHeight="1" x14ac:dyDescent="0.25">
      <c r="A829" s="41"/>
      <c r="B829" s="41"/>
      <c r="C829" s="41"/>
      <c r="D829" s="41"/>
      <c r="E829" s="41"/>
      <c r="F829" s="41"/>
      <c r="G829" s="41"/>
      <c r="H829" s="41"/>
      <c r="I829" s="41"/>
      <c r="J829" s="41"/>
      <c r="K829" s="41"/>
      <c r="L829" s="41"/>
      <c r="M829" s="41"/>
      <c r="N829" s="41"/>
      <c r="O829" s="41"/>
      <c r="P829" s="41"/>
      <c r="Q829" s="41"/>
      <c r="R829" s="41"/>
      <c r="S829" s="41"/>
      <c r="T829" s="41"/>
      <c r="U829" s="41"/>
      <c r="V829" s="41"/>
      <c r="W829" s="41"/>
    </row>
    <row r="830" spans="1:23" ht="19.5" hidden="1" customHeight="1" x14ac:dyDescent="0.25">
      <c r="A830" s="41"/>
      <c r="B830" s="41"/>
      <c r="C830" s="41"/>
      <c r="D830" s="41"/>
      <c r="E830" s="41"/>
      <c r="F830" s="41"/>
      <c r="G830" s="41"/>
      <c r="H830" s="41"/>
      <c r="I830" s="41"/>
      <c r="J830" s="41"/>
      <c r="K830" s="41"/>
      <c r="L830" s="41"/>
      <c r="M830" s="41"/>
      <c r="N830" s="41"/>
      <c r="O830" s="41"/>
      <c r="P830" s="41"/>
      <c r="Q830" s="41"/>
      <c r="R830" s="41"/>
      <c r="S830" s="41"/>
      <c r="T830" s="41"/>
      <c r="U830" s="41"/>
      <c r="V830" s="41"/>
      <c r="W830" s="41"/>
    </row>
    <row r="831" spans="1:23" ht="19.5" hidden="1" customHeight="1" x14ac:dyDescent="0.25">
      <c r="A831" s="41"/>
      <c r="B831" s="41"/>
      <c r="C831" s="41"/>
      <c r="D831" s="41"/>
      <c r="E831" s="41"/>
      <c r="F831" s="41"/>
      <c r="G831" s="41"/>
      <c r="H831" s="41"/>
      <c r="I831" s="41"/>
      <c r="J831" s="41"/>
      <c r="K831" s="41"/>
      <c r="L831" s="41"/>
      <c r="M831" s="41"/>
      <c r="N831" s="41"/>
      <c r="O831" s="41"/>
      <c r="P831" s="41"/>
      <c r="Q831" s="41"/>
      <c r="R831" s="41"/>
      <c r="S831" s="41"/>
      <c r="T831" s="41"/>
      <c r="U831" s="41"/>
      <c r="V831" s="41"/>
      <c r="W831" s="41"/>
    </row>
    <row r="832" spans="1:23" ht="19.5" hidden="1" customHeight="1" x14ac:dyDescent="0.25">
      <c r="A832" s="41"/>
      <c r="B832" s="41"/>
      <c r="C832" s="41"/>
      <c r="D832" s="41"/>
      <c r="E832" s="41"/>
      <c r="F832" s="41"/>
      <c r="G832" s="41"/>
      <c r="H832" s="41"/>
      <c r="I832" s="41"/>
      <c r="J832" s="41"/>
      <c r="K832" s="41"/>
      <c r="L832" s="41"/>
      <c r="M832" s="41"/>
      <c r="N832" s="41"/>
      <c r="O832" s="41"/>
      <c r="P832" s="41"/>
      <c r="Q832" s="41"/>
      <c r="R832" s="41"/>
      <c r="S832" s="41"/>
      <c r="T832" s="41"/>
      <c r="U832" s="41"/>
      <c r="V832" s="41"/>
      <c r="W832" s="41"/>
    </row>
    <row r="833" spans="1:23" ht="19.5" hidden="1" customHeight="1" x14ac:dyDescent="0.25">
      <c r="A833" s="41"/>
      <c r="B833" s="41"/>
      <c r="C833" s="41"/>
      <c r="D833" s="41"/>
      <c r="E833" s="41"/>
      <c r="F833" s="41"/>
      <c r="G833" s="41"/>
      <c r="H833" s="41"/>
      <c r="I833" s="41"/>
      <c r="J833" s="41"/>
      <c r="K833" s="41"/>
      <c r="L833" s="41"/>
      <c r="M833" s="41"/>
      <c r="N833" s="41"/>
      <c r="O833" s="41"/>
      <c r="P833" s="41"/>
      <c r="Q833" s="41"/>
      <c r="R833" s="41"/>
      <c r="S833" s="41"/>
      <c r="T833" s="41"/>
      <c r="U833" s="41"/>
      <c r="V833" s="41"/>
      <c r="W833" s="41"/>
    </row>
    <row r="834" spans="1:23" ht="19.5" hidden="1" customHeight="1" x14ac:dyDescent="0.25">
      <c r="A834" s="41"/>
      <c r="B834" s="41"/>
      <c r="C834" s="41"/>
      <c r="D834" s="41"/>
      <c r="E834" s="41"/>
      <c r="F834" s="41"/>
      <c r="G834" s="41"/>
      <c r="H834" s="41"/>
      <c r="I834" s="41"/>
      <c r="J834" s="41"/>
      <c r="K834" s="41"/>
      <c r="L834" s="41"/>
      <c r="M834" s="41"/>
      <c r="N834" s="41"/>
      <c r="O834" s="41"/>
      <c r="P834" s="41"/>
      <c r="Q834" s="41"/>
      <c r="R834" s="41"/>
      <c r="S834" s="41"/>
      <c r="T834" s="41"/>
      <c r="U834" s="41"/>
      <c r="V834" s="41"/>
      <c r="W834" s="41"/>
    </row>
    <row r="835" spans="1:23" ht="19.5" hidden="1" customHeight="1" x14ac:dyDescent="0.25">
      <c r="A835" s="41"/>
      <c r="B835" s="41"/>
      <c r="C835" s="41"/>
      <c r="D835" s="41"/>
      <c r="E835" s="41"/>
      <c r="F835" s="41"/>
      <c r="G835" s="41"/>
      <c r="H835" s="41"/>
      <c r="I835" s="41"/>
      <c r="J835" s="41"/>
      <c r="K835" s="41"/>
      <c r="L835" s="41"/>
      <c r="M835" s="41"/>
      <c r="N835" s="41"/>
      <c r="O835" s="41"/>
      <c r="P835" s="41"/>
      <c r="Q835" s="41"/>
      <c r="R835" s="41"/>
      <c r="S835" s="41"/>
      <c r="T835" s="41"/>
      <c r="U835" s="41"/>
      <c r="V835" s="41"/>
      <c r="W835" s="41"/>
    </row>
    <row r="836" spans="1:23" ht="19.5" hidden="1" customHeight="1" x14ac:dyDescent="0.25">
      <c r="A836" s="41"/>
      <c r="B836" s="41"/>
      <c r="C836" s="41"/>
      <c r="D836" s="41"/>
      <c r="E836" s="41"/>
      <c r="F836" s="41"/>
      <c r="G836" s="41"/>
      <c r="H836" s="41"/>
      <c r="I836" s="41"/>
      <c r="J836" s="41"/>
      <c r="K836" s="41"/>
      <c r="L836" s="41"/>
      <c r="M836" s="41"/>
      <c r="N836" s="41"/>
      <c r="O836" s="41"/>
      <c r="P836" s="41"/>
      <c r="Q836" s="41"/>
      <c r="R836" s="41"/>
      <c r="S836" s="41"/>
      <c r="T836" s="41"/>
      <c r="U836" s="41"/>
      <c r="V836" s="41"/>
      <c r="W836" s="41"/>
    </row>
    <row r="837" spans="1:23" ht="19.5" hidden="1" customHeight="1" x14ac:dyDescent="0.25">
      <c r="A837" s="41"/>
      <c r="B837" s="41"/>
      <c r="C837" s="41"/>
      <c r="D837" s="41"/>
      <c r="E837" s="41"/>
      <c r="F837" s="41"/>
      <c r="G837" s="41"/>
      <c r="H837" s="41"/>
      <c r="I837" s="41"/>
      <c r="J837" s="41"/>
      <c r="K837" s="41"/>
      <c r="L837" s="41"/>
      <c r="M837" s="41"/>
      <c r="N837" s="41"/>
      <c r="O837" s="41"/>
      <c r="P837" s="41"/>
      <c r="Q837" s="41"/>
      <c r="R837" s="41"/>
      <c r="S837" s="41"/>
      <c r="T837" s="41"/>
      <c r="U837" s="41"/>
      <c r="V837" s="41"/>
      <c r="W837" s="41"/>
    </row>
    <row r="838" spans="1:23" ht="19.5" hidden="1" customHeight="1" x14ac:dyDescent="0.25">
      <c r="A838" s="41"/>
      <c r="B838" s="41"/>
      <c r="C838" s="41"/>
      <c r="D838" s="41"/>
      <c r="E838" s="41"/>
      <c r="F838" s="41"/>
      <c r="G838" s="41"/>
      <c r="H838" s="41"/>
      <c r="I838" s="41"/>
      <c r="J838" s="41"/>
      <c r="K838" s="41"/>
      <c r="L838" s="41"/>
      <c r="M838" s="41"/>
      <c r="N838" s="41"/>
      <c r="O838" s="41"/>
      <c r="P838" s="41"/>
      <c r="Q838" s="41"/>
      <c r="R838" s="41"/>
      <c r="S838" s="41"/>
      <c r="T838" s="41"/>
      <c r="U838" s="41"/>
      <c r="V838" s="41"/>
      <c r="W838" s="41"/>
    </row>
    <row r="839" spans="1:23" ht="19.5" hidden="1" customHeight="1" x14ac:dyDescent="0.25">
      <c r="A839" s="41"/>
      <c r="B839" s="41"/>
      <c r="C839" s="41"/>
      <c r="D839" s="41"/>
      <c r="E839" s="41"/>
      <c r="F839" s="41"/>
      <c r="G839" s="41"/>
      <c r="H839" s="41"/>
      <c r="I839" s="41"/>
      <c r="J839" s="41"/>
      <c r="K839" s="41"/>
      <c r="L839" s="41"/>
      <c r="M839" s="41"/>
      <c r="N839" s="41"/>
      <c r="O839" s="41"/>
      <c r="P839" s="41"/>
      <c r="Q839" s="41"/>
      <c r="R839" s="41"/>
      <c r="S839" s="41"/>
      <c r="T839" s="41"/>
      <c r="U839" s="41"/>
      <c r="V839" s="41"/>
      <c r="W839" s="41"/>
    </row>
    <row r="840" spans="1:23" ht="19.5" hidden="1" customHeight="1" x14ac:dyDescent="0.25">
      <c r="A840" s="41"/>
      <c r="B840" s="41"/>
      <c r="C840" s="41"/>
      <c r="D840" s="41"/>
      <c r="E840" s="41"/>
      <c r="F840" s="41"/>
      <c r="G840" s="41"/>
      <c r="H840" s="41"/>
      <c r="I840" s="41"/>
      <c r="J840" s="41"/>
      <c r="K840" s="41"/>
      <c r="L840" s="41"/>
      <c r="M840" s="41"/>
      <c r="N840" s="41"/>
      <c r="O840" s="41"/>
      <c r="P840" s="41"/>
      <c r="Q840" s="41"/>
      <c r="R840" s="41"/>
      <c r="S840" s="41"/>
      <c r="T840" s="41"/>
      <c r="U840" s="41"/>
      <c r="V840" s="41"/>
      <c r="W840" s="41"/>
    </row>
    <row r="841" spans="1:23" ht="19.5" hidden="1" customHeight="1" x14ac:dyDescent="0.25">
      <c r="A841" s="41"/>
      <c r="B841" s="41"/>
      <c r="C841" s="41"/>
      <c r="D841" s="41"/>
      <c r="E841" s="41"/>
      <c r="F841" s="41"/>
      <c r="G841" s="41"/>
      <c r="H841" s="41"/>
      <c r="I841" s="41"/>
      <c r="J841" s="41"/>
      <c r="K841" s="41"/>
      <c r="L841" s="41"/>
      <c r="M841" s="41"/>
      <c r="N841" s="41"/>
      <c r="O841" s="41"/>
      <c r="P841" s="41"/>
      <c r="Q841" s="41"/>
      <c r="R841" s="41"/>
      <c r="S841" s="41"/>
      <c r="T841" s="41"/>
      <c r="U841" s="41"/>
      <c r="V841" s="41"/>
      <c r="W841" s="41"/>
    </row>
    <row r="842" spans="1:23" ht="19.5" hidden="1" customHeight="1" x14ac:dyDescent="0.25">
      <c r="A842" s="41"/>
      <c r="B842" s="41"/>
      <c r="C842" s="41"/>
      <c r="D842" s="41"/>
      <c r="E842" s="41"/>
      <c r="F842" s="41"/>
      <c r="G842" s="41"/>
      <c r="H842" s="41"/>
      <c r="I842" s="41"/>
      <c r="J842" s="41"/>
      <c r="K842" s="41"/>
      <c r="L842" s="41"/>
      <c r="M842" s="41"/>
      <c r="N842" s="41"/>
      <c r="O842" s="41"/>
      <c r="P842" s="41"/>
      <c r="Q842" s="41"/>
      <c r="R842" s="41"/>
      <c r="S842" s="41"/>
      <c r="T842" s="41"/>
      <c r="U842" s="41"/>
      <c r="V842" s="41"/>
      <c r="W842" s="41"/>
    </row>
    <row r="843" spans="1:23" ht="19.5" hidden="1" customHeight="1" x14ac:dyDescent="0.25">
      <c r="A843" s="41"/>
      <c r="B843" s="41"/>
      <c r="C843" s="41"/>
      <c r="D843" s="41"/>
      <c r="E843" s="41"/>
      <c r="F843" s="41"/>
      <c r="G843" s="41"/>
      <c r="H843" s="41"/>
      <c r="I843" s="41"/>
      <c r="J843" s="41"/>
      <c r="K843" s="41"/>
      <c r="L843" s="41"/>
      <c r="M843" s="41"/>
      <c r="N843" s="41"/>
      <c r="O843" s="41"/>
      <c r="P843" s="41"/>
      <c r="Q843" s="41"/>
      <c r="R843" s="41"/>
      <c r="S843" s="41"/>
      <c r="T843" s="41"/>
      <c r="U843" s="41"/>
      <c r="V843" s="41"/>
      <c r="W843" s="41"/>
    </row>
    <row r="844" spans="1:23" ht="19.5" hidden="1" customHeight="1" x14ac:dyDescent="0.25">
      <c r="A844" s="41"/>
      <c r="B844" s="41"/>
      <c r="C844" s="41"/>
      <c r="D844" s="41"/>
      <c r="E844" s="41"/>
      <c r="F844" s="41"/>
      <c r="G844" s="41"/>
      <c r="H844" s="41"/>
      <c r="I844" s="41"/>
      <c r="J844" s="41"/>
      <c r="K844" s="41"/>
      <c r="L844" s="41"/>
      <c r="M844" s="41"/>
      <c r="N844" s="41"/>
      <c r="O844" s="41"/>
      <c r="P844" s="41"/>
      <c r="Q844" s="41"/>
      <c r="R844" s="41"/>
      <c r="S844" s="41"/>
      <c r="T844" s="41"/>
      <c r="U844" s="41"/>
      <c r="V844" s="41"/>
      <c r="W844" s="41"/>
    </row>
    <row r="845" spans="1:23" ht="19.5" hidden="1" customHeight="1" x14ac:dyDescent="0.25">
      <c r="A845" s="41"/>
      <c r="B845" s="41"/>
      <c r="C845" s="41"/>
      <c r="D845" s="41"/>
      <c r="E845" s="41"/>
      <c r="F845" s="41"/>
      <c r="G845" s="41"/>
      <c r="H845" s="41"/>
      <c r="I845" s="41"/>
      <c r="J845" s="41"/>
      <c r="K845" s="41"/>
      <c r="L845" s="41"/>
      <c r="M845" s="41"/>
      <c r="N845" s="41"/>
      <c r="O845" s="41"/>
      <c r="P845" s="41"/>
      <c r="Q845" s="41"/>
      <c r="R845" s="41"/>
      <c r="S845" s="41"/>
      <c r="T845" s="41"/>
      <c r="U845" s="41"/>
      <c r="V845" s="41"/>
      <c r="W845" s="41"/>
    </row>
    <row r="846" spans="1:23" ht="19.5" hidden="1" customHeight="1" x14ac:dyDescent="0.25">
      <c r="A846" s="41"/>
      <c r="B846" s="41"/>
      <c r="C846" s="41"/>
      <c r="D846" s="41"/>
      <c r="E846" s="41"/>
      <c r="F846" s="41"/>
      <c r="G846" s="41"/>
      <c r="H846" s="41"/>
      <c r="I846" s="41"/>
      <c r="J846" s="41"/>
      <c r="K846" s="41"/>
      <c r="L846" s="41"/>
      <c r="M846" s="41"/>
      <c r="N846" s="41"/>
      <c r="O846" s="41"/>
      <c r="P846" s="41"/>
      <c r="Q846" s="41"/>
      <c r="R846" s="41"/>
      <c r="S846" s="41"/>
      <c r="T846" s="41"/>
      <c r="U846" s="41"/>
      <c r="V846" s="41"/>
      <c r="W846" s="41"/>
    </row>
    <row r="847" spans="1:23" ht="19.5" hidden="1" customHeight="1" x14ac:dyDescent="0.25">
      <c r="A847" s="41"/>
      <c r="B847" s="41"/>
      <c r="C847" s="41"/>
      <c r="D847" s="41"/>
      <c r="E847" s="41"/>
      <c r="F847" s="41"/>
      <c r="G847" s="41"/>
      <c r="H847" s="41"/>
      <c r="I847" s="41"/>
      <c r="J847" s="41"/>
      <c r="K847" s="41"/>
      <c r="L847" s="41"/>
      <c r="M847" s="41"/>
      <c r="N847" s="41"/>
      <c r="O847" s="41"/>
      <c r="P847" s="41"/>
      <c r="Q847" s="41"/>
      <c r="R847" s="41"/>
      <c r="S847" s="41"/>
      <c r="T847" s="41"/>
      <c r="U847" s="41"/>
      <c r="V847" s="41"/>
      <c r="W847" s="41"/>
    </row>
    <row r="848" spans="1:23" ht="19.5" hidden="1" customHeight="1" x14ac:dyDescent="0.25">
      <c r="A848" s="41"/>
      <c r="B848" s="41"/>
      <c r="C848" s="41"/>
      <c r="D848" s="41"/>
      <c r="E848" s="41"/>
      <c r="F848" s="41"/>
      <c r="G848" s="41"/>
      <c r="H848" s="41"/>
      <c r="I848" s="41"/>
      <c r="J848" s="41"/>
      <c r="K848" s="41"/>
      <c r="L848" s="41"/>
      <c r="M848" s="41"/>
      <c r="N848" s="41"/>
      <c r="O848" s="41"/>
      <c r="P848" s="41"/>
      <c r="Q848" s="41"/>
      <c r="R848" s="41"/>
      <c r="S848" s="41"/>
      <c r="T848" s="41"/>
      <c r="U848" s="41"/>
      <c r="V848" s="41"/>
      <c r="W848" s="41"/>
    </row>
    <row r="849" spans="1:23" ht="19.5" hidden="1" customHeight="1" x14ac:dyDescent="0.25">
      <c r="A849" s="41"/>
      <c r="B849" s="41"/>
      <c r="C849" s="41"/>
      <c r="D849" s="41"/>
      <c r="E849" s="41"/>
      <c r="F849" s="41"/>
      <c r="G849" s="41"/>
      <c r="H849" s="41"/>
      <c r="I849" s="41"/>
      <c r="J849" s="41"/>
      <c r="K849" s="41"/>
      <c r="L849" s="41"/>
      <c r="M849" s="41"/>
      <c r="N849" s="41"/>
      <c r="O849" s="41"/>
      <c r="P849" s="41"/>
      <c r="Q849" s="41"/>
      <c r="R849" s="41"/>
      <c r="S849" s="41"/>
      <c r="T849" s="41"/>
      <c r="U849" s="41"/>
      <c r="V849" s="41"/>
      <c r="W849" s="41"/>
    </row>
    <row r="850" spans="1:23" ht="19.5" hidden="1" customHeight="1" x14ac:dyDescent="0.25">
      <c r="A850" s="41"/>
      <c r="B850" s="41"/>
      <c r="C850" s="41"/>
      <c r="D850" s="41"/>
      <c r="E850" s="41"/>
      <c r="F850" s="41"/>
      <c r="G850" s="41"/>
      <c r="H850" s="41"/>
      <c r="I850" s="41"/>
      <c r="J850" s="41"/>
      <c r="K850" s="41"/>
      <c r="L850" s="41"/>
      <c r="M850" s="41"/>
      <c r="N850" s="41"/>
      <c r="O850" s="41"/>
      <c r="P850" s="41"/>
      <c r="Q850" s="41"/>
      <c r="R850" s="41"/>
      <c r="S850" s="41"/>
      <c r="T850" s="41"/>
      <c r="U850" s="41"/>
      <c r="V850" s="41"/>
      <c r="W850" s="41"/>
    </row>
    <row r="851" spans="1:23" ht="19.5" hidden="1" customHeight="1" x14ac:dyDescent="0.25">
      <c r="A851" s="41"/>
      <c r="B851" s="41"/>
      <c r="C851" s="41"/>
      <c r="D851" s="41"/>
      <c r="E851" s="41"/>
      <c r="F851" s="41"/>
      <c r="G851" s="41"/>
      <c r="H851" s="41"/>
      <c r="I851" s="41"/>
      <c r="J851" s="41"/>
      <c r="K851" s="41"/>
      <c r="L851" s="41"/>
      <c r="M851" s="41"/>
      <c r="N851" s="41"/>
      <c r="O851" s="41"/>
      <c r="P851" s="41"/>
      <c r="Q851" s="41"/>
      <c r="R851" s="41"/>
      <c r="S851" s="41"/>
      <c r="T851" s="41"/>
      <c r="U851" s="41"/>
      <c r="V851" s="41"/>
      <c r="W851" s="41"/>
    </row>
    <row r="852" spans="1:23" ht="19.5" hidden="1" customHeight="1" x14ac:dyDescent="0.25">
      <c r="A852" s="41"/>
      <c r="B852" s="41"/>
      <c r="C852" s="41"/>
      <c r="D852" s="41"/>
      <c r="E852" s="41"/>
      <c r="F852" s="41"/>
      <c r="G852" s="41"/>
      <c r="H852" s="41"/>
      <c r="I852" s="41"/>
      <c r="J852" s="41"/>
      <c r="K852" s="41"/>
      <c r="L852" s="41"/>
      <c r="M852" s="41"/>
      <c r="N852" s="41"/>
      <c r="O852" s="41"/>
      <c r="P852" s="41"/>
      <c r="Q852" s="41"/>
      <c r="R852" s="41"/>
      <c r="S852" s="41"/>
      <c r="T852" s="41"/>
      <c r="U852" s="41"/>
      <c r="V852" s="41"/>
      <c r="W852" s="41"/>
    </row>
    <row r="853" spans="1:23" ht="19.5" hidden="1" customHeight="1" x14ac:dyDescent="0.25">
      <c r="A853" s="41"/>
      <c r="B853" s="41"/>
      <c r="C853" s="41"/>
      <c r="D853" s="41"/>
      <c r="E853" s="41"/>
      <c r="F853" s="41"/>
      <c r="G853" s="41"/>
      <c r="H853" s="41"/>
      <c r="I853" s="41"/>
      <c r="J853" s="41"/>
      <c r="K853" s="41"/>
      <c r="L853" s="41"/>
      <c r="M853" s="41"/>
      <c r="N853" s="41"/>
      <c r="O853" s="41"/>
      <c r="P853" s="41"/>
      <c r="Q853" s="41"/>
      <c r="R853" s="41"/>
      <c r="S853" s="41"/>
      <c r="T853" s="41"/>
      <c r="U853" s="41"/>
      <c r="V853" s="41"/>
      <c r="W853" s="41"/>
    </row>
    <row r="854" spans="1:23" ht="19.5" hidden="1" customHeight="1" x14ac:dyDescent="0.25">
      <c r="A854" s="41"/>
      <c r="B854" s="41"/>
      <c r="C854" s="41"/>
      <c r="D854" s="41"/>
      <c r="E854" s="41"/>
      <c r="F854" s="41"/>
      <c r="G854" s="41"/>
      <c r="H854" s="41"/>
      <c r="I854" s="41"/>
      <c r="J854" s="41"/>
      <c r="K854" s="41"/>
      <c r="L854" s="41"/>
      <c r="M854" s="41"/>
      <c r="N854" s="41"/>
      <c r="O854" s="41"/>
      <c r="P854" s="41"/>
      <c r="Q854" s="41"/>
      <c r="R854" s="41"/>
      <c r="S854" s="41"/>
      <c r="T854" s="41"/>
      <c r="U854" s="41"/>
      <c r="V854" s="41"/>
      <c r="W854" s="41"/>
    </row>
    <row r="855" spans="1:23" ht="19.5" hidden="1" customHeight="1" x14ac:dyDescent="0.25">
      <c r="A855" s="41"/>
      <c r="B855" s="41"/>
      <c r="C855" s="41"/>
      <c r="D855" s="41"/>
      <c r="E855" s="41"/>
      <c r="F855" s="41"/>
      <c r="G855" s="41"/>
      <c r="H855" s="41"/>
      <c r="I855" s="41"/>
      <c r="J855" s="41"/>
      <c r="K855" s="41"/>
      <c r="L855" s="41"/>
      <c r="M855" s="41"/>
      <c r="N855" s="41"/>
      <c r="O855" s="41"/>
      <c r="P855" s="41"/>
      <c r="Q855" s="41"/>
      <c r="R855" s="41"/>
      <c r="S855" s="41"/>
      <c r="T855" s="41"/>
      <c r="U855" s="41"/>
      <c r="V855" s="41"/>
      <c r="W855" s="41"/>
    </row>
    <row r="856" spans="1:23" ht="19.5" hidden="1" customHeight="1" x14ac:dyDescent="0.25">
      <c r="A856" s="41"/>
      <c r="B856" s="41"/>
      <c r="C856" s="41"/>
      <c r="D856" s="41"/>
      <c r="E856" s="41"/>
      <c r="F856" s="41"/>
      <c r="G856" s="41"/>
      <c r="H856" s="41"/>
      <c r="I856" s="41"/>
      <c r="J856" s="41"/>
      <c r="K856" s="41"/>
      <c r="L856" s="41"/>
      <c r="M856" s="41"/>
      <c r="N856" s="41"/>
      <c r="O856" s="41"/>
      <c r="P856" s="41"/>
      <c r="Q856" s="41"/>
      <c r="R856" s="41"/>
      <c r="S856" s="41"/>
      <c r="T856" s="41"/>
      <c r="U856" s="41"/>
      <c r="V856" s="41"/>
      <c r="W856" s="41"/>
    </row>
    <row r="857" spans="1:23" ht="19.5" hidden="1" customHeight="1" x14ac:dyDescent="0.25">
      <c r="A857" s="41"/>
      <c r="B857" s="41"/>
      <c r="C857" s="41"/>
      <c r="D857" s="41"/>
      <c r="E857" s="41"/>
      <c r="F857" s="41"/>
      <c r="G857" s="41"/>
      <c r="H857" s="41"/>
      <c r="I857" s="41"/>
      <c r="J857" s="41"/>
      <c r="K857" s="41"/>
      <c r="L857" s="41"/>
      <c r="M857" s="41"/>
      <c r="N857" s="41"/>
      <c r="O857" s="41"/>
      <c r="P857" s="41"/>
      <c r="Q857" s="41"/>
      <c r="R857" s="41"/>
      <c r="S857" s="41"/>
      <c r="T857" s="41"/>
      <c r="U857" s="41"/>
      <c r="V857" s="41"/>
      <c r="W857" s="41"/>
    </row>
    <row r="858" spans="1:23" ht="19.5" hidden="1" customHeight="1" x14ac:dyDescent="0.25">
      <c r="A858" s="41"/>
      <c r="B858" s="41"/>
      <c r="C858" s="41"/>
      <c r="D858" s="41"/>
      <c r="E858" s="41"/>
      <c r="F858" s="41"/>
      <c r="G858" s="41"/>
      <c r="H858" s="41"/>
      <c r="I858" s="41"/>
      <c r="J858" s="41"/>
      <c r="K858" s="41"/>
      <c r="L858" s="41"/>
      <c r="M858" s="41"/>
      <c r="N858" s="41"/>
      <c r="O858" s="41"/>
      <c r="P858" s="41"/>
      <c r="Q858" s="41"/>
      <c r="R858" s="41"/>
      <c r="S858" s="41"/>
      <c r="T858" s="41"/>
      <c r="U858" s="41"/>
      <c r="V858" s="41"/>
      <c r="W858" s="41"/>
    </row>
    <row r="859" spans="1:23" ht="19.5" hidden="1" customHeight="1" x14ac:dyDescent="0.25">
      <c r="A859" s="41"/>
      <c r="B859" s="41"/>
      <c r="C859" s="41"/>
      <c r="D859" s="41"/>
      <c r="E859" s="41"/>
      <c r="F859" s="41"/>
      <c r="G859" s="41"/>
      <c r="H859" s="41"/>
      <c r="I859" s="41"/>
      <c r="J859" s="41"/>
      <c r="K859" s="41"/>
      <c r="L859" s="41"/>
      <c r="M859" s="41"/>
      <c r="N859" s="41"/>
      <c r="O859" s="41"/>
      <c r="P859" s="41"/>
      <c r="Q859" s="41"/>
      <c r="R859" s="41"/>
      <c r="S859" s="41"/>
      <c r="T859" s="41"/>
      <c r="U859" s="41"/>
      <c r="V859" s="41"/>
      <c r="W859" s="41"/>
    </row>
    <row r="860" spans="1:23" ht="19.5" hidden="1" customHeight="1" x14ac:dyDescent="0.25">
      <c r="A860" s="41"/>
      <c r="B860" s="41"/>
      <c r="C860" s="41"/>
      <c r="D860" s="41"/>
      <c r="E860" s="41"/>
      <c r="F860" s="41"/>
      <c r="G860" s="41"/>
      <c r="H860" s="41"/>
      <c r="I860" s="41"/>
      <c r="J860" s="41"/>
      <c r="K860" s="41"/>
      <c r="L860" s="41"/>
      <c r="M860" s="41"/>
      <c r="N860" s="41"/>
      <c r="O860" s="41"/>
      <c r="P860" s="41"/>
      <c r="Q860" s="41"/>
      <c r="R860" s="41"/>
      <c r="S860" s="41"/>
      <c r="T860" s="41"/>
      <c r="U860" s="41"/>
      <c r="V860" s="41"/>
      <c r="W860" s="41"/>
    </row>
    <row r="861" spans="1:23" ht="19.5" hidden="1" customHeight="1" x14ac:dyDescent="0.25">
      <c r="A861" s="41"/>
      <c r="B861" s="41"/>
      <c r="C861" s="41"/>
      <c r="D861" s="41"/>
      <c r="E861" s="41"/>
      <c r="F861" s="41"/>
      <c r="G861" s="41"/>
      <c r="H861" s="41"/>
      <c r="I861" s="41"/>
      <c r="J861" s="41"/>
      <c r="K861" s="41"/>
      <c r="L861" s="41"/>
      <c r="M861" s="41"/>
      <c r="N861" s="41"/>
      <c r="O861" s="41"/>
      <c r="P861" s="41"/>
      <c r="Q861" s="41"/>
      <c r="R861" s="41"/>
      <c r="S861" s="41"/>
      <c r="T861" s="41"/>
      <c r="U861" s="41"/>
      <c r="V861" s="41"/>
      <c r="W861" s="41"/>
    </row>
    <row r="862" spans="1:23" ht="19.5" hidden="1" customHeight="1" x14ac:dyDescent="0.25">
      <c r="A862" s="41"/>
      <c r="B862" s="41"/>
      <c r="C862" s="41"/>
      <c r="D862" s="41"/>
      <c r="E862" s="41"/>
      <c r="F862" s="41"/>
      <c r="G862" s="41"/>
      <c r="H862" s="41"/>
      <c r="I862" s="41"/>
      <c r="J862" s="41"/>
      <c r="K862" s="41"/>
      <c r="L862" s="41"/>
      <c r="M862" s="41"/>
      <c r="N862" s="41"/>
      <c r="O862" s="41"/>
      <c r="P862" s="41"/>
      <c r="Q862" s="41"/>
      <c r="R862" s="41"/>
      <c r="S862" s="41"/>
      <c r="T862" s="41"/>
      <c r="U862" s="41"/>
      <c r="V862" s="41"/>
      <c r="W862" s="41"/>
    </row>
    <row r="863" spans="1:23" ht="19.5" hidden="1" customHeight="1" x14ac:dyDescent="0.25">
      <c r="A863" s="41"/>
      <c r="B863" s="41"/>
      <c r="C863" s="41"/>
      <c r="D863" s="41"/>
      <c r="E863" s="41"/>
      <c r="F863" s="41"/>
      <c r="G863" s="41"/>
      <c r="H863" s="41"/>
      <c r="I863" s="41"/>
      <c r="J863" s="41"/>
      <c r="K863" s="41"/>
      <c r="L863" s="41"/>
      <c r="M863" s="41"/>
      <c r="N863" s="41"/>
      <c r="O863" s="41"/>
      <c r="P863" s="41"/>
      <c r="Q863" s="41"/>
      <c r="R863" s="41"/>
      <c r="S863" s="41"/>
      <c r="T863" s="41"/>
      <c r="U863" s="41"/>
      <c r="V863" s="41"/>
      <c r="W863" s="41"/>
    </row>
    <row r="864" spans="1:23" ht="19.5" hidden="1" customHeight="1" x14ac:dyDescent="0.25">
      <c r="A864" s="41"/>
      <c r="B864" s="41"/>
      <c r="C864" s="41"/>
      <c r="D864" s="41"/>
      <c r="E864" s="41"/>
      <c r="F864" s="41"/>
      <c r="G864" s="41"/>
      <c r="H864" s="41"/>
      <c r="I864" s="41"/>
      <c r="J864" s="41"/>
      <c r="K864" s="41"/>
      <c r="L864" s="41"/>
      <c r="M864" s="41"/>
      <c r="N864" s="41"/>
      <c r="O864" s="41"/>
      <c r="P864" s="41"/>
      <c r="Q864" s="41"/>
      <c r="R864" s="41"/>
      <c r="S864" s="41"/>
      <c r="T864" s="41"/>
      <c r="U864" s="41"/>
      <c r="V864" s="41"/>
      <c r="W864" s="41"/>
    </row>
    <row r="865" spans="1:23" ht="19.5" hidden="1" customHeight="1" x14ac:dyDescent="0.25">
      <c r="A865" s="41"/>
      <c r="B865" s="41"/>
      <c r="C865" s="41"/>
      <c r="D865" s="41"/>
      <c r="E865" s="41"/>
      <c r="F865" s="41"/>
      <c r="G865" s="41"/>
      <c r="H865" s="41"/>
      <c r="I865" s="41"/>
      <c r="J865" s="41"/>
      <c r="K865" s="41"/>
      <c r="L865" s="41"/>
      <c r="M865" s="41"/>
      <c r="N865" s="41"/>
      <c r="O865" s="41"/>
      <c r="P865" s="41"/>
      <c r="Q865" s="41"/>
      <c r="R865" s="41"/>
      <c r="S865" s="41"/>
      <c r="T865" s="41"/>
      <c r="U865" s="41"/>
      <c r="V865" s="41"/>
      <c r="W865" s="41"/>
    </row>
    <row r="866" spans="1:23" ht="19.5" hidden="1" customHeight="1" x14ac:dyDescent="0.25">
      <c r="A866" s="41"/>
      <c r="B866" s="41"/>
      <c r="C866" s="41"/>
      <c r="D866" s="41"/>
      <c r="E866" s="41"/>
      <c r="F866" s="41"/>
      <c r="G866" s="41"/>
      <c r="H866" s="41"/>
      <c r="I866" s="41"/>
      <c r="J866" s="41"/>
      <c r="K866" s="41"/>
      <c r="L866" s="41"/>
      <c r="M866" s="41"/>
      <c r="N866" s="41"/>
      <c r="O866" s="41"/>
      <c r="P866" s="41"/>
      <c r="Q866" s="41"/>
      <c r="R866" s="41"/>
      <c r="S866" s="41"/>
      <c r="T866" s="41"/>
      <c r="U866" s="41"/>
      <c r="V866" s="41"/>
      <c r="W866" s="41"/>
    </row>
    <row r="867" spans="1:23" ht="19.5" hidden="1" customHeight="1" x14ac:dyDescent="0.25">
      <c r="A867" s="41"/>
      <c r="B867" s="41"/>
      <c r="C867" s="41"/>
      <c r="D867" s="41"/>
      <c r="E867" s="41"/>
      <c r="F867" s="41"/>
      <c r="G867" s="41"/>
      <c r="H867" s="41"/>
      <c r="I867" s="41"/>
      <c r="J867" s="41"/>
      <c r="K867" s="41"/>
      <c r="L867" s="41"/>
      <c r="M867" s="41"/>
      <c r="N867" s="41"/>
      <c r="O867" s="41"/>
      <c r="P867" s="41"/>
      <c r="Q867" s="41"/>
      <c r="R867" s="41"/>
      <c r="S867" s="41"/>
      <c r="T867" s="41"/>
      <c r="U867" s="41"/>
      <c r="V867" s="41"/>
      <c r="W867" s="41"/>
    </row>
    <row r="868" spans="1:23" ht="19.5" hidden="1" customHeight="1" x14ac:dyDescent="0.25">
      <c r="A868" s="41"/>
      <c r="B868" s="41"/>
      <c r="C868" s="41"/>
      <c r="D868" s="41"/>
      <c r="E868" s="41"/>
      <c r="F868" s="41"/>
      <c r="G868" s="41"/>
      <c r="H868" s="41"/>
      <c r="I868" s="41"/>
      <c r="J868" s="41"/>
      <c r="K868" s="41"/>
      <c r="L868" s="41"/>
      <c r="M868" s="41"/>
      <c r="N868" s="41"/>
      <c r="O868" s="41"/>
      <c r="P868" s="41"/>
      <c r="Q868" s="41"/>
      <c r="R868" s="41"/>
      <c r="S868" s="41"/>
      <c r="T868" s="41"/>
      <c r="U868" s="41"/>
      <c r="V868" s="41"/>
      <c r="W868" s="41"/>
    </row>
    <row r="869" spans="1:23" ht="19.5" hidden="1" customHeight="1" x14ac:dyDescent="0.25">
      <c r="A869" s="41"/>
      <c r="B869" s="41"/>
      <c r="C869" s="41"/>
      <c r="D869" s="41"/>
      <c r="E869" s="41"/>
      <c r="F869" s="41"/>
      <c r="G869" s="41"/>
      <c r="H869" s="41"/>
      <c r="I869" s="41"/>
      <c r="J869" s="41"/>
      <c r="K869" s="41"/>
      <c r="L869" s="41"/>
      <c r="M869" s="41"/>
      <c r="N869" s="41"/>
      <c r="O869" s="41"/>
      <c r="P869" s="41"/>
      <c r="Q869" s="41"/>
      <c r="R869" s="41"/>
      <c r="S869" s="41"/>
      <c r="T869" s="41"/>
      <c r="U869" s="41"/>
      <c r="V869" s="41"/>
      <c r="W869" s="41"/>
    </row>
    <row r="870" spans="1:23" ht="19.5" hidden="1" customHeight="1" x14ac:dyDescent="0.25">
      <c r="A870" s="41"/>
      <c r="B870" s="41"/>
      <c r="C870" s="41"/>
      <c r="D870" s="41"/>
      <c r="E870" s="41"/>
      <c r="F870" s="41"/>
      <c r="G870" s="41"/>
      <c r="H870" s="41"/>
      <c r="I870" s="41"/>
      <c r="J870" s="41"/>
      <c r="K870" s="41"/>
      <c r="L870" s="41"/>
      <c r="M870" s="41"/>
      <c r="N870" s="41"/>
      <c r="O870" s="41"/>
      <c r="P870" s="41"/>
      <c r="Q870" s="41"/>
      <c r="R870" s="41"/>
      <c r="S870" s="41"/>
      <c r="T870" s="41"/>
      <c r="U870" s="41"/>
      <c r="V870" s="41"/>
      <c r="W870" s="41"/>
    </row>
    <row r="871" spans="1:23" ht="19.5" hidden="1" customHeight="1" x14ac:dyDescent="0.25">
      <c r="A871" s="41"/>
      <c r="B871" s="41"/>
      <c r="C871" s="41"/>
      <c r="D871" s="41"/>
      <c r="E871" s="41"/>
      <c r="F871" s="41"/>
      <c r="G871" s="41"/>
      <c r="H871" s="41"/>
      <c r="I871" s="41"/>
      <c r="J871" s="41"/>
      <c r="K871" s="41"/>
      <c r="L871" s="41"/>
      <c r="M871" s="41"/>
      <c r="N871" s="41"/>
      <c r="O871" s="41"/>
      <c r="P871" s="41"/>
      <c r="Q871" s="41"/>
      <c r="R871" s="41"/>
      <c r="S871" s="41"/>
      <c r="T871" s="41"/>
      <c r="U871" s="41"/>
      <c r="V871" s="41"/>
      <c r="W871" s="41"/>
    </row>
    <row r="872" spans="1:23" ht="19.5" hidden="1" customHeight="1" x14ac:dyDescent="0.25">
      <c r="A872" s="41"/>
      <c r="B872" s="41"/>
      <c r="C872" s="41"/>
      <c r="D872" s="41"/>
      <c r="E872" s="41"/>
      <c r="F872" s="41"/>
      <c r="G872" s="41"/>
      <c r="H872" s="41"/>
      <c r="I872" s="41"/>
      <c r="J872" s="41"/>
      <c r="K872" s="41"/>
      <c r="L872" s="41"/>
      <c r="M872" s="41"/>
      <c r="N872" s="41"/>
      <c r="O872" s="41"/>
      <c r="P872" s="41"/>
      <c r="Q872" s="41"/>
      <c r="R872" s="41"/>
      <c r="S872" s="41"/>
      <c r="T872" s="41"/>
      <c r="U872" s="41"/>
      <c r="V872" s="41"/>
      <c r="W872" s="41"/>
    </row>
    <row r="873" spans="1:23" ht="19.5" hidden="1" customHeight="1" x14ac:dyDescent="0.25">
      <c r="A873" s="41"/>
      <c r="B873" s="41"/>
      <c r="C873" s="41"/>
      <c r="D873" s="41"/>
      <c r="E873" s="41"/>
      <c r="F873" s="41"/>
      <c r="G873" s="41"/>
      <c r="H873" s="41"/>
      <c r="I873" s="41"/>
      <c r="J873" s="41"/>
      <c r="K873" s="41"/>
      <c r="L873" s="41"/>
      <c r="M873" s="41"/>
      <c r="N873" s="41"/>
      <c r="O873" s="41"/>
      <c r="P873" s="41"/>
      <c r="Q873" s="41"/>
      <c r="R873" s="41"/>
      <c r="S873" s="41"/>
      <c r="T873" s="41"/>
      <c r="U873" s="41"/>
      <c r="V873" s="41"/>
      <c r="W873" s="41"/>
    </row>
    <row r="874" spans="1:23" ht="19.5" hidden="1" customHeight="1" x14ac:dyDescent="0.25">
      <c r="A874" s="41"/>
      <c r="B874" s="41"/>
      <c r="C874" s="41"/>
      <c r="D874" s="41"/>
      <c r="E874" s="41"/>
      <c r="F874" s="41"/>
      <c r="G874" s="41"/>
      <c r="H874" s="41"/>
      <c r="I874" s="41"/>
      <c r="J874" s="41"/>
      <c r="K874" s="41"/>
      <c r="L874" s="41"/>
      <c r="M874" s="41"/>
      <c r="N874" s="41"/>
      <c r="O874" s="41"/>
      <c r="P874" s="41"/>
      <c r="Q874" s="41"/>
      <c r="R874" s="41"/>
      <c r="S874" s="41"/>
      <c r="T874" s="41"/>
      <c r="U874" s="41"/>
      <c r="V874" s="41"/>
      <c r="W874" s="41"/>
    </row>
    <row r="875" spans="1:23" ht="19.5" hidden="1" customHeight="1" x14ac:dyDescent="0.25">
      <c r="A875" s="41"/>
      <c r="B875" s="41"/>
      <c r="C875" s="41"/>
      <c r="D875" s="41"/>
      <c r="E875" s="41"/>
      <c r="F875" s="41"/>
      <c r="G875" s="41"/>
      <c r="H875" s="41"/>
      <c r="I875" s="41"/>
      <c r="J875" s="41"/>
      <c r="K875" s="41"/>
      <c r="L875" s="41"/>
      <c r="M875" s="41"/>
      <c r="N875" s="41"/>
      <c r="O875" s="41"/>
      <c r="P875" s="41"/>
      <c r="Q875" s="41"/>
      <c r="R875" s="41"/>
      <c r="S875" s="41"/>
      <c r="T875" s="41"/>
      <c r="U875" s="41"/>
      <c r="V875" s="41"/>
      <c r="W875" s="41"/>
    </row>
    <row r="876" spans="1:23" ht="19.5" hidden="1" customHeight="1" x14ac:dyDescent="0.25">
      <c r="A876" s="41"/>
      <c r="B876" s="41"/>
      <c r="C876" s="41"/>
      <c r="D876" s="41"/>
      <c r="E876" s="41"/>
      <c r="F876" s="41"/>
      <c r="G876" s="41"/>
      <c r="H876" s="41"/>
      <c r="I876" s="41"/>
      <c r="J876" s="41"/>
      <c r="K876" s="41"/>
      <c r="L876" s="41"/>
      <c r="M876" s="41"/>
      <c r="N876" s="41"/>
      <c r="O876" s="41"/>
      <c r="P876" s="41"/>
      <c r="Q876" s="41"/>
      <c r="R876" s="41"/>
      <c r="S876" s="41"/>
      <c r="T876" s="41"/>
      <c r="U876" s="41"/>
      <c r="V876" s="41"/>
      <c r="W876" s="41"/>
    </row>
    <row r="877" spans="1:23" ht="19.5" hidden="1" customHeight="1" x14ac:dyDescent="0.25">
      <c r="A877" s="41"/>
      <c r="B877" s="41"/>
      <c r="C877" s="41"/>
      <c r="D877" s="41"/>
      <c r="E877" s="41"/>
      <c r="F877" s="41"/>
      <c r="G877" s="41"/>
      <c r="H877" s="41"/>
      <c r="I877" s="41"/>
      <c r="J877" s="41"/>
      <c r="K877" s="41"/>
      <c r="L877" s="41"/>
      <c r="M877" s="41"/>
      <c r="N877" s="41"/>
      <c r="O877" s="41"/>
      <c r="P877" s="41"/>
      <c r="Q877" s="41"/>
      <c r="R877" s="41"/>
      <c r="S877" s="41"/>
      <c r="T877" s="41"/>
      <c r="U877" s="41"/>
      <c r="V877" s="41"/>
      <c r="W877" s="41"/>
    </row>
    <row r="878" spans="1:23" ht="19.5" hidden="1" customHeight="1" x14ac:dyDescent="0.25">
      <c r="A878" s="41"/>
      <c r="B878" s="41"/>
      <c r="C878" s="41"/>
      <c r="D878" s="41"/>
      <c r="E878" s="41"/>
      <c r="F878" s="41"/>
      <c r="G878" s="41"/>
      <c r="H878" s="41"/>
      <c r="I878" s="41"/>
      <c r="J878" s="41"/>
      <c r="K878" s="41"/>
      <c r="L878" s="41"/>
      <c r="M878" s="41"/>
      <c r="N878" s="41"/>
      <c r="O878" s="41"/>
      <c r="P878" s="41"/>
      <c r="Q878" s="41"/>
      <c r="R878" s="41"/>
      <c r="S878" s="41"/>
      <c r="T878" s="41"/>
      <c r="U878" s="41"/>
      <c r="V878" s="41"/>
      <c r="W878" s="41"/>
    </row>
    <row r="879" spans="1:23" ht="19.5" hidden="1" customHeight="1" x14ac:dyDescent="0.25">
      <c r="A879" s="41"/>
      <c r="B879" s="41"/>
      <c r="C879" s="41"/>
      <c r="D879" s="41"/>
      <c r="E879" s="41"/>
      <c r="F879" s="41"/>
      <c r="G879" s="41"/>
      <c r="H879" s="41"/>
      <c r="I879" s="41"/>
      <c r="J879" s="41"/>
      <c r="K879" s="41"/>
      <c r="L879" s="41"/>
      <c r="M879" s="41"/>
      <c r="N879" s="41"/>
      <c r="O879" s="41"/>
      <c r="P879" s="41"/>
      <c r="Q879" s="41"/>
      <c r="R879" s="41"/>
      <c r="S879" s="41"/>
      <c r="T879" s="41"/>
      <c r="U879" s="41"/>
      <c r="V879" s="41"/>
      <c r="W879" s="41"/>
    </row>
    <row r="880" spans="1:23" ht="19.5" hidden="1" customHeight="1" x14ac:dyDescent="0.25">
      <c r="A880" s="41"/>
      <c r="B880" s="41"/>
      <c r="C880" s="41"/>
      <c r="D880" s="41"/>
      <c r="E880" s="41"/>
      <c r="F880" s="41"/>
      <c r="G880" s="41"/>
      <c r="H880" s="41"/>
      <c r="I880" s="41"/>
      <c r="J880" s="41"/>
      <c r="K880" s="41"/>
      <c r="L880" s="41"/>
      <c r="M880" s="41"/>
      <c r="N880" s="41"/>
      <c r="O880" s="41"/>
      <c r="P880" s="41"/>
      <c r="Q880" s="41"/>
      <c r="R880" s="41"/>
      <c r="S880" s="41"/>
      <c r="T880" s="41"/>
      <c r="U880" s="41"/>
      <c r="V880" s="41"/>
      <c r="W880" s="41"/>
    </row>
    <row r="881" spans="1:23" ht="19.5" hidden="1" customHeight="1" x14ac:dyDescent="0.25">
      <c r="A881" s="41"/>
      <c r="B881" s="41"/>
      <c r="C881" s="41"/>
      <c r="D881" s="41"/>
      <c r="E881" s="41"/>
      <c r="F881" s="41"/>
      <c r="G881" s="41"/>
      <c r="H881" s="41"/>
      <c r="I881" s="41"/>
      <c r="J881" s="41"/>
      <c r="K881" s="41"/>
      <c r="L881" s="41"/>
      <c r="M881" s="41"/>
      <c r="N881" s="41"/>
      <c r="O881" s="41"/>
      <c r="P881" s="41"/>
      <c r="Q881" s="41"/>
      <c r="R881" s="41"/>
      <c r="S881" s="41"/>
      <c r="T881" s="41"/>
      <c r="U881" s="41"/>
      <c r="V881" s="41"/>
      <c r="W881" s="41"/>
    </row>
    <row r="882" spans="1:23" ht="19.5" hidden="1" customHeight="1" x14ac:dyDescent="0.25">
      <c r="A882" s="41"/>
      <c r="B882" s="41"/>
      <c r="C882" s="41"/>
      <c r="D882" s="41"/>
      <c r="E882" s="41"/>
      <c r="F882" s="41"/>
      <c r="G882" s="41"/>
      <c r="H882" s="41"/>
      <c r="I882" s="41"/>
      <c r="J882" s="41"/>
      <c r="K882" s="41"/>
      <c r="L882" s="41"/>
      <c r="M882" s="41"/>
      <c r="N882" s="41"/>
      <c r="O882" s="41"/>
      <c r="P882" s="41"/>
      <c r="Q882" s="41"/>
      <c r="R882" s="41"/>
      <c r="S882" s="41"/>
      <c r="T882" s="41"/>
      <c r="U882" s="41"/>
      <c r="V882" s="41"/>
      <c r="W882" s="41"/>
    </row>
    <row r="883" spans="1:23" ht="19.5" hidden="1" customHeight="1" x14ac:dyDescent="0.25">
      <c r="A883" s="41"/>
      <c r="B883" s="41"/>
      <c r="C883" s="41"/>
      <c r="D883" s="41"/>
      <c r="E883" s="41"/>
      <c r="F883" s="41"/>
      <c r="G883" s="41"/>
      <c r="H883" s="41"/>
      <c r="I883" s="41"/>
      <c r="J883" s="41"/>
      <c r="K883" s="41"/>
      <c r="L883" s="41"/>
      <c r="M883" s="41"/>
      <c r="N883" s="41"/>
      <c r="O883" s="41"/>
      <c r="P883" s="41"/>
      <c r="Q883" s="41"/>
      <c r="R883" s="41"/>
      <c r="S883" s="41"/>
      <c r="T883" s="41"/>
      <c r="U883" s="41"/>
      <c r="V883" s="41"/>
      <c r="W883" s="41"/>
    </row>
    <row r="884" spans="1:23" ht="19.5" hidden="1" customHeight="1" x14ac:dyDescent="0.25">
      <c r="A884" s="41"/>
      <c r="B884" s="41"/>
      <c r="C884" s="41"/>
      <c r="D884" s="41"/>
      <c r="E884" s="41"/>
      <c r="F884" s="41"/>
      <c r="G884" s="41"/>
      <c r="H884" s="41"/>
      <c r="I884" s="41"/>
      <c r="J884" s="41"/>
      <c r="K884" s="41"/>
      <c r="L884" s="41"/>
      <c r="M884" s="41"/>
      <c r="N884" s="41"/>
      <c r="O884" s="41"/>
      <c r="P884" s="41"/>
      <c r="Q884" s="41"/>
      <c r="R884" s="41"/>
      <c r="S884" s="41"/>
      <c r="T884" s="41"/>
      <c r="U884" s="41"/>
      <c r="V884" s="41"/>
      <c r="W884" s="41"/>
    </row>
    <row r="885" spans="1:23" ht="19.5" hidden="1" customHeight="1" x14ac:dyDescent="0.25">
      <c r="A885" s="41"/>
      <c r="B885" s="41"/>
      <c r="C885" s="41"/>
      <c r="D885" s="41"/>
      <c r="E885" s="41"/>
      <c r="F885" s="41"/>
      <c r="G885" s="41"/>
      <c r="H885" s="41"/>
      <c r="I885" s="41"/>
      <c r="J885" s="41"/>
      <c r="K885" s="41"/>
      <c r="L885" s="41"/>
      <c r="M885" s="41"/>
      <c r="N885" s="41"/>
      <c r="O885" s="41"/>
      <c r="P885" s="41"/>
      <c r="Q885" s="41"/>
      <c r="R885" s="41"/>
      <c r="S885" s="41"/>
      <c r="T885" s="41"/>
      <c r="U885" s="41"/>
      <c r="V885" s="41"/>
      <c r="W885" s="41"/>
    </row>
    <row r="886" spans="1:23" ht="19.5" hidden="1" customHeight="1" x14ac:dyDescent="0.25">
      <c r="A886" s="41"/>
      <c r="B886" s="41"/>
      <c r="C886" s="41"/>
      <c r="D886" s="41"/>
      <c r="E886" s="41"/>
      <c r="F886" s="41"/>
      <c r="G886" s="41"/>
      <c r="H886" s="41"/>
      <c r="I886" s="41"/>
      <c r="J886" s="41"/>
      <c r="K886" s="41"/>
      <c r="L886" s="41"/>
      <c r="M886" s="41"/>
      <c r="N886" s="41"/>
      <c r="O886" s="41"/>
      <c r="P886" s="41"/>
      <c r="Q886" s="41"/>
      <c r="R886" s="41"/>
      <c r="S886" s="41"/>
      <c r="T886" s="41"/>
      <c r="U886" s="41"/>
      <c r="V886" s="41"/>
      <c r="W886" s="41"/>
    </row>
    <row r="887" spans="1:23" ht="19.5" hidden="1" customHeight="1" x14ac:dyDescent="0.25">
      <c r="A887" s="41"/>
      <c r="B887" s="41"/>
      <c r="C887" s="41"/>
      <c r="D887" s="41"/>
      <c r="E887" s="41"/>
      <c r="F887" s="41"/>
      <c r="G887" s="41"/>
      <c r="H887" s="41"/>
      <c r="I887" s="41"/>
      <c r="J887" s="41"/>
      <c r="K887" s="41"/>
      <c r="L887" s="41"/>
      <c r="M887" s="41"/>
      <c r="N887" s="41"/>
      <c r="O887" s="41"/>
      <c r="P887" s="41"/>
      <c r="Q887" s="41"/>
      <c r="R887" s="41"/>
      <c r="S887" s="41"/>
      <c r="T887" s="41"/>
      <c r="U887" s="41"/>
      <c r="V887" s="41"/>
      <c r="W887" s="41"/>
    </row>
    <row r="888" spans="1:23" ht="19.5" hidden="1" customHeight="1" x14ac:dyDescent="0.25">
      <c r="A888" s="41"/>
      <c r="B888" s="41"/>
      <c r="C888" s="41"/>
      <c r="D888" s="41"/>
      <c r="E888" s="41"/>
      <c r="F888" s="41"/>
      <c r="G888" s="41"/>
      <c r="H888" s="41"/>
      <c r="I888" s="41"/>
      <c r="J888" s="41"/>
      <c r="K888" s="41"/>
      <c r="L888" s="41"/>
      <c r="M888" s="41"/>
      <c r="N888" s="41"/>
      <c r="O888" s="41"/>
      <c r="P888" s="41"/>
      <c r="Q888" s="41"/>
      <c r="R888" s="41"/>
      <c r="S888" s="41"/>
      <c r="T888" s="41"/>
      <c r="U888" s="41"/>
      <c r="V888" s="41"/>
      <c r="W888" s="41"/>
    </row>
    <row r="889" spans="1:23" ht="19.5" hidden="1" customHeight="1" x14ac:dyDescent="0.25">
      <c r="A889" s="41"/>
      <c r="B889" s="41"/>
      <c r="C889" s="41"/>
      <c r="D889" s="41"/>
      <c r="E889" s="41"/>
      <c r="F889" s="41"/>
      <c r="G889" s="41"/>
      <c r="H889" s="41"/>
      <c r="I889" s="41"/>
      <c r="J889" s="41"/>
      <c r="K889" s="41"/>
      <c r="L889" s="41"/>
      <c r="M889" s="41"/>
      <c r="N889" s="41"/>
      <c r="O889" s="41"/>
      <c r="P889" s="41"/>
      <c r="Q889" s="41"/>
      <c r="R889" s="41"/>
      <c r="S889" s="41"/>
      <c r="T889" s="41"/>
      <c r="U889" s="41"/>
      <c r="V889" s="41"/>
      <c r="W889" s="41"/>
    </row>
    <row r="890" spans="1:23" ht="19.5" hidden="1" customHeight="1" x14ac:dyDescent="0.25">
      <c r="A890" s="41"/>
      <c r="B890" s="41"/>
      <c r="C890" s="41"/>
      <c r="D890" s="41"/>
      <c r="E890" s="41"/>
      <c r="F890" s="41"/>
      <c r="G890" s="41"/>
      <c r="H890" s="41"/>
      <c r="I890" s="41"/>
      <c r="J890" s="41"/>
      <c r="K890" s="41"/>
      <c r="L890" s="41"/>
      <c r="M890" s="41"/>
      <c r="N890" s="41"/>
      <c r="O890" s="41"/>
      <c r="P890" s="41"/>
      <c r="Q890" s="41"/>
      <c r="R890" s="41"/>
      <c r="S890" s="41"/>
      <c r="T890" s="41"/>
      <c r="U890" s="41"/>
      <c r="V890" s="41"/>
      <c r="W890" s="41"/>
    </row>
    <row r="891" spans="1:23" ht="19.5" hidden="1" customHeight="1" x14ac:dyDescent="0.25">
      <c r="A891" s="41"/>
      <c r="B891" s="41"/>
      <c r="C891" s="41"/>
      <c r="D891" s="41"/>
      <c r="E891" s="41"/>
      <c r="F891" s="41"/>
      <c r="G891" s="41"/>
      <c r="H891" s="41"/>
      <c r="I891" s="41"/>
      <c r="J891" s="41"/>
      <c r="K891" s="41"/>
      <c r="L891" s="41"/>
      <c r="M891" s="41"/>
      <c r="N891" s="41"/>
      <c r="O891" s="41"/>
      <c r="P891" s="41"/>
      <c r="Q891" s="41"/>
      <c r="R891" s="41"/>
      <c r="S891" s="41"/>
      <c r="T891" s="41"/>
      <c r="U891" s="41"/>
      <c r="V891" s="41"/>
      <c r="W891" s="41"/>
    </row>
    <row r="892" spans="1:23" ht="19.5" hidden="1" customHeight="1" x14ac:dyDescent="0.25">
      <c r="A892" s="41"/>
      <c r="B892" s="41"/>
      <c r="C892" s="41"/>
      <c r="D892" s="41"/>
      <c r="E892" s="41"/>
      <c r="F892" s="41"/>
      <c r="G892" s="41"/>
      <c r="H892" s="41"/>
      <c r="I892" s="41"/>
      <c r="J892" s="41"/>
      <c r="K892" s="41"/>
      <c r="L892" s="41"/>
      <c r="M892" s="41"/>
      <c r="N892" s="41"/>
      <c r="O892" s="41"/>
      <c r="P892" s="41"/>
      <c r="Q892" s="41"/>
      <c r="R892" s="41"/>
      <c r="S892" s="41"/>
      <c r="T892" s="41"/>
      <c r="U892" s="41"/>
      <c r="V892" s="41"/>
      <c r="W892" s="41"/>
    </row>
    <row r="893" spans="1:23" ht="19.5" hidden="1" customHeight="1" x14ac:dyDescent="0.25">
      <c r="A893" s="41"/>
      <c r="B893" s="41"/>
      <c r="C893" s="41"/>
      <c r="D893" s="41"/>
      <c r="E893" s="41"/>
      <c r="F893" s="41"/>
      <c r="G893" s="41"/>
      <c r="H893" s="41"/>
      <c r="I893" s="41"/>
      <c r="J893" s="41"/>
      <c r="K893" s="41"/>
      <c r="L893" s="41"/>
      <c r="M893" s="41"/>
      <c r="N893" s="41"/>
      <c r="O893" s="41"/>
      <c r="P893" s="41"/>
      <c r="Q893" s="41"/>
      <c r="R893" s="41"/>
      <c r="S893" s="41"/>
      <c r="T893" s="41"/>
      <c r="U893" s="41"/>
      <c r="V893" s="41"/>
      <c r="W893" s="41"/>
    </row>
    <row r="894" spans="1:23" ht="19.5" hidden="1" customHeight="1" x14ac:dyDescent="0.25">
      <c r="A894" s="41"/>
      <c r="B894" s="41"/>
      <c r="C894" s="41"/>
      <c r="D894" s="41"/>
      <c r="E894" s="41"/>
      <c r="F894" s="41"/>
      <c r="G894" s="41"/>
      <c r="H894" s="41"/>
      <c r="I894" s="41"/>
      <c r="J894" s="41"/>
      <c r="K894" s="41"/>
      <c r="L894" s="41"/>
      <c r="M894" s="41"/>
      <c r="N894" s="41"/>
      <c r="O894" s="41"/>
      <c r="P894" s="41"/>
      <c r="Q894" s="41"/>
      <c r="R894" s="41"/>
      <c r="S894" s="41"/>
      <c r="T894" s="41"/>
      <c r="U894" s="41"/>
      <c r="V894" s="41"/>
      <c r="W894" s="41"/>
    </row>
    <row r="895" spans="1:23" ht="19.5" hidden="1" customHeight="1" x14ac:dyDescent="0.25">
      <c r="A895" s="41"/>
      <c r="B895" s="41"/>
      <c r="C895" s="41"/>
      <c r="D895" s="41"/>
      <c r="E895" s="41"/>
      <c r="F895" s="41"/>
      <c r="G895" s="41"/>
      <c r="H895" s="41"/>
      <c r="I895" s="41"/>
      <c r="J895" s="41"/>
      <c r="K895" s="41"/>
      <c r="L895" s="41"/>
      <c r="M895" s="41"/>
      <c r="N895" s="41"/>
      <c r="O895" s="41"/>
      <c r="P895" s="41"/>
      <c r="Q895" s="41"/>
      <c r="R895" s="41"/>
      <c r="S895" s="41"/>
      <c r="T895" s="41"/>
      <c r="U895" s="41"/>
      <c r="V895" s="41"/>
      <c r="W895" s="41"/>
    </row>
    <row r="896" spans="1:23" ht="19.5" hidden="1" customHeight="1" x14ac:dyDescent="0.25">
      <c r="A896" s="41"/>
      <c r="B896" s="41"/>
      <c r="C896" s="41"/>
      <c r="D896" s="41"/>
      <c r="E896" s="41"/>
      <c r="F896" s="41"/>
      <c r="G896" s="41"/>
      <c r="H896" s="41"/>
      <c r="I896" s="41"/>
      <c r="J896" s="41"/>
      <c r="K896" s="41"/>
      <c r="L896" s="41"/>
      <c r="M896" s="41"/>
      <c r="N896" s="41"/>
      <c r="O896" s="41"/>
      <c r="P896" s="41"/>
      <c r="Q896" s="41"/>
      <c r="R896" s="41"/>
      <c r="S896" s="41"/>
      <c r="T896" s="41"/>
      <c r="U896" s="41"/>
      <c r="V896" s="41"/>
      <c r="W896" s="41"/>
    </row>
    <row r="897" spans="1:23" ht="19.5" hidden="1" customHeight="1" x14ac:dyDescent="0.25">
      <c r="A897" s="41"/>
      <c r="B897" s="41"/>
      <c r="C897" s="41"/>
      <c r="D897" s="41"/>
      <c r="E897" s="41"/>
      <c r="F897" s="41"/>
      <c r="G897" s="41"/>
      <c r="H897" s="41"/>
      <c r="I897" s="41"/>
      <c r="J897" s="41"/>
      <c r="K897" s="41"/>
      <c r="L897" s="41"/>
      <c r="M897" s="41"/>
      <c r="N897" s="41"/>
      <c r="O897" s="41"/>
      <c r="P897" s="41"/>
      <c r="Q897" s="41"/>
      <c r="R897" s="41"/>
      <c r="S897" s="41"/>
      <c r="T897" s="41"/>
      <c r="U897" s="41"/>
      <c r="V897" s="41"/>
      <c r="W897" s="41"/>
    </row>
    <row r="898" spans="1:23" ht="19.5" hidden="1" customHeight="1" x14ac:dyDescent="0.25">
      <c r="A898" s="41"/>
      <c r="B898" s="41"/>
      <c r="C898" s="41"/>
      <c r="D898" s="41"/>
      <c r="E898" s="41"/>
      <c r="F898" s="41"/>
      <c r="G898" s="41"/>
      <c r="H898" s="41"/>
      <c r="I898" s="41"/>
      <c r="J898" s="41"/>
      <c r="K898" s="41"/>
      <c r="L898" s="41"/>
      <c r="M898" s="41"/>
      <c r="N898" s="41"/>
      <c r="O898" s="41"/>
      <c r="P898" s="41"/>
      <c r="Q898" s="41"/>
      <c r="R898" s="41"/>
      <c r="S898" s="41"/>
      <c r="T898" s="41"/>
      <c r="U898" s="41"/>
      <c r="V898" s="41"/>
      <c r="W898" s="41"/>
    </row>
    <row r="899" spans="1:23" ht="19.5" hidden="1" customHeight="1" x14ac:dyDescent="0.25">
      <c r="A899" s="41"/>
      <c r="B899" s="41"/>
      <c r="C899" s="41"/>
      <c r="D899" s="41"/>
      <c r="E899" s="41"/>
      <c r="F899" s="41"/>
      <c r="G899" s="41"/>
      <c r="H899" s="41"/>
      <c r="I899" s="41"/>
      <c r="J899" s="41"/>
      <c r="K899" s="41"/>
      <c r="L899" s="41"/>
      <c r="M899" s="41"/>
      <c r="N899" s="41"/>
      <c r="O899" s="41"/>
      <c r="P899" s="41"/>
      <c r="Q899" s="41"/>
      <c r="R899" s="41"/>
      <c r="S899" s="41"/>
      <c r="T899" s="41"/>
      <c r="U899" s="41"/>
      <c r="V899" s="41"/>
      <c r="W899" s="41"/>
    </row>
    <row r="900" spans="1:23" ht="19.5" hidden="1" customHeight="1" x14ac:dyDescent="0.25">
      <c r="A900" s="41"/>
      <c r="B900" s="41"/>
      <c r="C900" s="41"/>
      <c r="D900" s="41"/>
      <c r="E900" s="41"/>
      <c r="F900" s="41"/>
      <c r="G900" s="41"/>
      <c r="H900" s="41"/>
      <c r="I900" s="41"/>
      <c r="J900" s="41"/>
      <c r="K900" s="41"/>
      <c r="L900" s="41"/>
      <c r="M900" s="41"/>
      <c r="N900" s="41"/>
      <c r="O900" s="41"/>
      <c r="P900" s="41"/>
      <c r="Q900" s="41"/>
      <c r="R900" s="41"/>
      <c r="S900" s="41"/>
      <c r="T900" s="41"/>
      <c r="U900" s="41"/>
      <c r="V900" s="41"/>
      <c r="W900" s="41"/>
    </row>
    <row r="901" spans="1:23" ht="19.5" hidden="1" customHeight="1" x14ac:dyDescent="0.25">
      <c r="A901" s="41"/>
      <c r="B901" s="41"/>
      <c r="C901" s="41"/>
      <c r="D901" s="41"/>
      <c r="E901" s="41"/>
      <c r="F901" s="41"/>
      <c r="G901" s="41"/>
      <c r="H901" s="41"/>
      <c r="I901" s="41"/>
      <c r="J901" s="41"/>
      <c r="K901" s="41"/>
      <c r="L901" s="41"/>
      <c r="M901" s="41"/>
      <c r="N901" s="41"/>
      <c r="O901" s="41"/>
      <c r="P901" s="41"/>
      <c r="Q901" s="41"/>
      <c r="R901" s="41"/>
      <c r="S901" s="41"/>
      <c r="T901" s="41"/>
      <c r="U901" s="41"/>
      <c r="V901" s="41"/>
      <c r="W901" s="41"/>
    </row>
    <row r="902" spans="1:23" ht="19.5" hidden="1" customHeight="1" x14ac:dyDescent="0.25">
      <c r="A902" s="41"/>
      <c r="B902" s="41"/>
      <c r="C902" s="41"/>
      <c r="D902" s="41"/>
      <c r="E902" s="41"/>
      <c r="F902" s="41"/>
      <c r="G902" s="41"/>
      <c r="H902" s="41"/>
      <c r="I902" s="41"/>
      <c r="J902" s="41"/>
      <c r="K902" s="41"/>
      <c r="L902" s="41"/>
      <c r="M902" s="41"/>
      <c r="N902" s="41"/>
      <c r="O902" s="41"/>
      <c r="P902" s="41"/>
      <c r="Q902" s="41"/>
      <c r="R902" s="41"/>
      <c r="S902" s="41"/>
      <c r="T902" s="41"/>
      <c r="U902" s="41"/>
      <c r="V902" s="41"/>
      <c r="W902" s="41"/>
    </row>
    <row r="903" spans="1:23" ht="19.5" hidden="1" customHeight="1" x14ac:dyDescent="0.25">
      <c r="A903" s="41"/>
      <c r="B903" s="41"/>
      <c r="C903" s="41"/>
      <c r="D903" s="41"/>
      <c r="E903" s="41"/>
      <c r="F903" s="41"/>
      <c r="G903" s="41"/>
      <c r="H903" s="41"/>
      <c r="I903" s="41"/>
      <c r="J903" s="41"/>
      <c r="K903" s="41"/>
      <c r="L903" s="41"/>
      <c r="M903" s="41"/>
      <c r="N903" s="41"/>
      <c r="O903" s="41"/>
      <c r="P903" s="41"/>
      <c r="Q903" s="41"/>
      <c r="R903" s="41"/>
      <c r="S903" s="41"/>
      <c r="T903" s="41"/>
      <c r="U903" s="41"/>
      <c r="V903" s="41"/>
      <c r="W903" s="41"/>
    </row>
    <row r="904" spans="1:23" ht="19.5" hidden="1" customHeight="1" x14ac:dyDescent="0.25">
      <c r="A904" s="41"/>
      <c r="B904" s="41"/>
      <c r="C904" s="41"/>
      <c r="D904" s="41"/>
      <c r="E904" s="41"/>
      <c r="F904" s="41"/>
      <c r="G904" s="41"/>
      <c r="H904" s="41"/>
      <c r="I904" s="41"/>
      <c r="J904" s="41"/>
      <c r="K904" s="41"/>
      <c r="L904" s="41"/>
      <c r="M904" s="41"/>
      <c r="N904" s="41"/>
      <c r="O904" s="41"/>
      <c r="P904" s="41"/>
      <c r="Q904" s="41"/>
      <c r="R904" s="41"/>
      <c r="S904" s="41"/>
      <c r="T904" s="41"/>
      <c r="U904" s="41"/>
      <c r="V904" s="41"/>
      <c r="W904" s="41"/>
    </row>
    <row r="905" spans="1:23" ht="19.5" hidden="1" customHeight="1" x14ac:dyDescent="0.25">
      <c r="A905" s="41"/>
      <c r="B905" s="41"/>
      <c r="C905" s="41"/>
      <c r="D905" s="41"/>
      <c r="E905" s="41"/>
      <c r="F905" s="41"/>
      <c r="G905" s="41"/>
      <c r="H905" s="41"/>
      <c r="I905" s="41"/>
      <c r="J905" s="41"/>
      <c r="K905" s="41"/>
      <c r="L905" s="41"/>
      <c r="M905" s="41"/>
      <c r="N905" s="41"/>
      <c r="O905" s="41"/>
      <c r="P905" s="41"/>
      <c r="Q905" s="41"/>
      <c r="R905" s="41"/>
      <c r="S905" s="41"/>
      <c r="T905" s="41"/>
      <c r="U905" s="41"/>
      <c r="V905" s="41"/>
      <c r="W905" s="41"/>
    </row>
    <row r="906" spans="1:23" ht="19.5" hidden="1" customHeight="1" x14ac:dyDescent="0.25">
      <c r="A906" s="41"/>
      <c r="B906" s="41"/>
      <c r="C906" s="41"/>
      <c r="D906" s="41"/>
      <c r="E906" s="41"/>
      <c r="F906" s="41"/>
      <c r="G906" s="41"/>
      <c r="H906" s="41"/>
      <c r="I906" s="41"/>
      <c r="J906" s="41"/>
      <c r="K906" s="41"/>
      <c r="L906" s="41"/>
      <c r="M906" s="41"/>
      <c r="N906" s="41"/>
      <c r="O906" s="41"/>
      <c r="P906" s="41"/>
      <c r="Q906" s="41"/>
      <c r="R906" s="41"/>
      <c r="S906" s="41"/>
      <c r="T906" s="41"/>
      <c r="U906" s="41"/>
      <c r="V906" s="41"/>
      <c r="W906" s="41"/>
    </row>
    <row r="907" spans="1:23" ht="19.5" hidden="1" customHeight="1" x14ac:dyDescent="0.25">
      <c r="A907" s="41"/>
      <c r="B907" s="41"/>
      <c r="C907" s="41"/>
      <c r="D907" s="41"/>
      <c r="E907" s="41"/>
      <c r="F907" s="41"/>
      <c r="G907" s="41"/>
      <c r="H907" s="41"/>
      <c r="I907" s="41"/>
      <c r="J907" s="41"/>
      <c r="K907" s="41"/>
      <c r="L907" s="41"/>
      <c r="M907" s="41"/>
      <c r="N907" s="41"/>
      <c r="O907" s="41"/>
      <c r="P907" s="41"/>
      <c r="Q907" s="41"/>
      <c r="R907" s="41"/>
      <c r="S907" s="41"/>
      <c r="T907" s="41"/>
      <c r="U907" s="41"/>
      <c r="V907" s="41"/>
      <c r="W907" s="41"/>
    </row>
    <row r="908" spans="1:23" ht="19.5" hidden="1" customHeight="1" x14ac:dyDescent="0.25">
      <c r="A908" s="41"/>
      <c r="B908" s="41"/>
      <c r="C908" s="41"/>
      <c r="D908" s="41"/>
      <c r="E908" s="41"/>
      <c r="F908" s="41"/>
      <c r="G908" s="41"/>
      <c r="H908" s="41"/>
      <c r="I908" s="41"/>
      <c r="J908" s="41"/>
      <c r="K908" s="41"/>
      <c r="L908" s="41"/>
      <c r="M908" s="41"/>
      <c r="N908" s="41"/>
      <c r="O908" s="41"/>
      <c r="P908" s="41"/>
      <c r="Q908" s="41"/>
      <c r="R908" s="41"/>
      <c r="S908" s="41"/>
      <c r="T908" s="41"/>
      <c r="U908" s="41"/>
      <c r="V908" s="41"/>
      <c r="W908" s="41"/>
    </row>
    <row r="909" spans="1:23" ht="19.5" hidden="1" customHeight="1" x14ac:dyDescent="0.25">
      <c r="A909" s="41"/>
      <c r="B909" s="41"/>
      <c r="C909" s="41"/>
      <c r="D909" s="41"/>
      <c r="E909" s="41"/>
      <c r="F909" s="41"/>
      <c r="G909" s="41"/>
      <c r="H909" s="41"/>
      <c r="I909" s="41"/>
      <c r="J909" s="41"/>
      <c r="K909" s="41"/>
      <c r="L909" s="41"/>
      <c r="M909" s="41"/>
      <c r="N909" s="41"/>
      <c r="O909" s="41"/>
      <c r="P909" s="41"/>
      <c r="Q909" s="41"/>
      <c r="R909" s="41"/>
      <c r="S909" s="41"/>
      <c r="T909" s="41"/>
      <c r="U909" s="41"/>
      <c r="V909" s="41"/>
      <c r="W909" s="41"/>
    </row>
    <row r="910" spans="1:23" ht="19.5" hidden="1" customHeight="1" x14ac:dyDescent="0.25">
      <c r="A910" s="41"/>
      <c r="B910" s="41"/>
      <c r="C910" s="41"/>
      <c r="D910" s="41"/>
      <c r="E910" s="41"/>
      <c r="F910" s="41"/>
      <c r="G910" s="41"/>
      <c r="H910" s="41"/>
      <c r="I910" s="41"/>
      <c r="J910" s="41"/>
      <c r="K910" s="41"/>
      <c r="L910" s="41"/>
      <c r="M910" s="41"/>
      <c r="N910" s="41"/>
      <c r="O910" s="41"/>
      <c r="P910" s="41"/>
      <c r="Q910" s="41"/>
      <c r="R910" s="41"/>
      <c r="S910" s="41"/>
      <c r="T910" s="41"/>
      <c r="U910" s="41"/>
      <c r="V910" s="41"/>
      <c r="W910" s="41"/>
    </row>
    <row r="911" spans="1:23" ht="19.5" hidden="1" customHeight="1" x14ac:dyDescent="0.25">
      <c r="A911" s="41"/>
      <c r="B911" s="41"/>
      <c r="C911" s="41"/>
      <c r="D911" s="41"/>
      <c r="E911" s="41"/>
      <c r="F911" s="41"/>
      <c r="G911" s="41"/>
      <c r="H911" s="41"/>
      <c r="I911" s="41"/>
      <c r="J911" s="41"/>
      <c r="K911" s="41"/>
      <c r="L911" s="41"/>
      <c r="M911" s="41"/>
      <c r="N911" s="41"/>
      <c r="O911" s="41"/>
      <c r="P911" s="41"/>
      <c r="Q911" s="41"/>
      <c r="R911" s="41"/>
      <c r="S911" s="41"/>
      <c r="T911" s="41"/>
      <c r="U911" s="41"/>
      <c r="V911" s="41"/>
      <c r="W911" s="41"/>
    </row>
    <row r="912" spans="1:23" ht="19.5" hidden="1" customHeight="1" x14ac:dyDescent="0.25">
      <c r="A912" s="41"/>
      <c r="B912" s="41"/>
      <c r="C912" s="41"/>
      <c r="D912" s="41"/>
      <c r="E912" s="41"/>
      <c r="F912" s="41"/>
      <c r="G912" s="41"/>
      <c r="H912" s="41"/>
      <c r="I912" s="41"/>
      <c r="J912" s="41"/>
      <c r="K912" s="41"/>
      <c r="L912" s="41"/>
      <c r="M912" s="41"/>
      <c r="N912" s="41"/>
      <c r="O912" s="41"/>
      <c r="P912" s="41"/>
      <c r="Q912" s="41"/>
      <c r="R912" s="41"/>
      <c r="S912" s="41"/>
      <c r="T912" s="41"/>
      <c r="U912" s="41"/>
      <c r="V912" s="41"/>
      <c r="W912" s="41"/>
    </row>
    <row r="913" spans="1:23" ht="19.5" hidden="1" customHeight="1" x14ac:dyDescent="0.25">
      <c r="A913" s="41"/>
      <c r="B913" s="41"/>
      <c r="C913" s="41"/>
      <c r="D913" s="41"/>
      <c r="E913" s="41"/>
      <c r="F913" s="41"/>
      <c r="G913" s="41"/>
      <c r="H913" s="41"/>
      <c r="I913" s="41"/>
      <c r="J913" s="41"/>
      <c r="K913" s="41"/>
      <c r="L913" s="41"/>
      <c r="M913" s="41"/>
      <c r="N913" s="41"/>
      <c r="O913" s="41"/>
      <c r="P913" s="41"/>
      <c r="Q913" s="41"/>
      <c r="R913" s="41"/>
      <c r="S913" s="41"/>
      <c r="T913" s="41"/>
      <c r="U913" s="41"/>
      <c r="V913" s="41"/>
      <c r="W913" s="41"/>
    </row>
    <row r="914" spans="1:23" ht="19.5" hidden="1" customHeight="1" x14ac:dyDescent="0.25">
      <c r="A914" s="41"/>
      <c r="B914" s="41"/>
      <c r="C914" s="41"/>
      <c r="D914" s="41"/>
      <c r="E914" s="41"/>
      <c r="F914" s="41"/>
      <c r="G914" s="41"/>
      <c r="H914" s="41"/>
      <c r="I914" s="41"/>
      <c r="J914" s="41"/>
      <c r="K914" s="41"/>
      <c r="L914" s="41"/>
      <c r="M914" s="41"/>
      <c r="N914" s="41"/>
      <c r="O914" s="41"/>
      <c r="P914" s="41"/>
      <c r="Q914" s="41"/>
      <c r="R914" s="41"/>
      <c r="S914" s="41"/>
      <c r="T914" s="41"/>
      <c r="U914" s="41"/>
      <c r="V914" s="41"/>
      <c r="W914" s="41"/>
    </row>
    <row r="915" spans="1:23" ht="19.5" hidden="1" customHeight="1" x14ac:dyDescent="0.25">
      <c r="A915" s="41"/>
      <c r="B915" s="41"/>
      <c r="C915" s="41"/>
      <c r="D915" s="41"/>
      <c r="E915" s="41"/>
      <c r="F915" s="41"/>
      <c r="G915" s="41"/>
      <c r="H915" s="41"/>
      <c r="I915" s="41"/>
      <c r="J915" s="41"/>
      <c r="K915" s="41"/>
      <c r="L915" s="41"/>
      <c r="M915" s="41"/>
      <c r="N915" s="41"/>
      <c r="O915" s="41"/>
      <c r="P915" s="41"/>
      <c r="Q915" s="41"/>
      <c r="R915" s="41"/>
      <c r="S915" s="41"/>
      <c r="T915" s="41"/>
      <c r="U915" s="41"/>
      <c r="V915" s="41"/>
      <c r="W915" s="41"/>
    </row>
    <row r="916" spans="1:23" ht="19.5" hidden="1" customHeight="1" x14ac:dyDescent="0.25">
      <c r="A916" s="41"/>
      <c r="B916" s="41"/>
      <c r="C916" s="41"/>
      <c r="D916" s="41"/>
      <c r="E916" s="41"/>
      <c r="F916" s="41"/>
      <c r="G916" s="41"/>
      <c r="H916" s="41"/>
      <c r="I916" s="41"/>
      <c r="J916" s="41"/>
      <c r="K916" s="41"/>
      <c r="L916" s="41"/>
      <c r="M916" s="41"/>
      <c r="N916" s="41"/>
      <c r="O916" s="41"/>
      <c r="P916" s="41"/>
      <c r="Q916" s="41"/>
      <c r="R916" s="41"/>
      <c r="S916" s="41"/>
      <c r="T916" s="41"/>
      <c r="U916" s="41"/>
      <c r="V916" s="41"/>
      <c r="W916" s="41"/>
    </row>
    <row r="917" spans="1:23" ht="19.5" hidden="1" customHeight="1" x14ac:dyDescent="0.25">
      <c r="A917" s="41"/>
      <c r="B917" s="41"/>
      <c r="C917" s="41"/>
      <c r="D917" s="41"/>
      <c r="E917" s="41"/>
      <c r="F917" s="41"/>
      <c r="G917" s="41"/>
      <c r="H917" s="41"/>
      <c r="I917" s="41"/>
      <c r="J917" s="41"/>
      <c r="K917" s="41"/>
      <c r="L917" s="41"/>
      <c r="M917" s="41"/>
      <c r="N917" s="41"/>
      <c r="O917" s="41"/>
      <c r="P917" s="41"/>
      <c r="Q917" s="41"/>
      <c r="R917" s="41"/>
      <c r="S917" s="41"/>
      <c r="T917" s="41"/>
      <c r="U917" s="41"/>
      <c r="V917" s="41"/>
      <c r="W917" s="41"/>
    </row>
    <row r="918" spans="1:23" ht="19.5" hidden="1" customHeight="1" x14ac:dyDescent="0.25">
      <c r="A918" s="41"/>
      <c r="B918" s="41"/>
      <c r="C918" s="41"/>
      <c r="D918" s="41"/>
      <c r="E918" s="41"/>
      <c r="F918" s="41"/>
      <c r="G918" s="41"/>
      <c r="H918" s="41"/>
      <c r="I918" s="41"/>
      <c r="J918" s="41"/>
      <c r="K918" s="41"/>
      <c r="L918" s="41"/>
      <c r="M918" s="41"/>
      <c r="N918" s="41"/>
      <c r="O918" s="41"/>
      <c r="P918" s="41"/>
      <c r="Q918" s="41"/>
      <c r="R918" s="41"/>
      <c r="S918" s="41"/>
      <c r="T918" s="41"/>
      <c r="U918" s="41"/>
      <c r="V918" s="41"/>
      <c r="W918" s="41"/>
    </row>
    <row r="919" spans="1:23" ht="19.5" hidden="1" customHeight="1" x14ac:dyDescent="0.25">
      <c r="A919" s="41"/>
      <c r="B919" s="41"/>
      <c r="C919" s="41"/>
      <c r="D919" s="41"/>
      <c r="E919" s="41"/>
      <c r="F919" s="41"/>
      <c r="G919" s="41"/>
      <c r="H919" s="41"/>
      <c r="I919" s="41"/>
      <c r="J919" s="41"/>
      <c r="K919" s="41"/>
      <c r="L919" s="41"/>
      <c r="M919" s="41"/>
      <c r="N919" s="41"/>
      <c r="O919" s="41"/>
      <c r="P919" s="41"/>
      <c r="Q919" s="41"/>
      <c r="R919" s="41"/>
      <c r="S919" s="41"/>
      <c r="T919" s="41"/>
      <c r="U919" s="41"/>
      <c r="V919" s="41"/>
      <c r="W919" s="41"/>
    </row>
    <row r="920" spans="1:23" ht="19.5" hidden="1" customHeight="1" x14ac:dyDescent="0.25">
      <c r="A920" s="41"/>
      <c r="B920" s="41"/>
      <c r="C920" s="41"/>
      <c r="D920" s="41"/>
      <c r="E920" s="41"/>
      <c r="F920" s="41"/>
      <c r="G920" s="41"/>
      <c r="H920" s="41"/>
      <c r="I920" s="41"/>
      <c r="J920" s="41"/>
      <c r="K920" s="41"/>
      <c r="L920" s="41"/>
      <c r="M920" s="41"/>
      <c r="N920" s="41"/>
      <c r="O920" s="41"/>
      <c r="P920" s="41"/>
      <c r="Q920" s="41"/>
      <c r="R920" s="41"/>
      <c r="S920" s="41"/>
      <c r="T920" s="41"/>
      <c r="U920" s="41"/>
      <c r="V920" s="41"/>
      <c r="W920" s="41"/>
    </row>
    <row r="921" spans="1:23" ht="19.5" hidden="1" customHeight="1" x14ac:dyDescent="0.25">
      <c r="A921" s="41"/>
      <c r="B921" s="41"/>
      <c r="C921" s="41"/>
      <c r="D921" s="41"/>
      <c r="E921" s="41"/>
      <c r="F921" s="41"/>
      <c r="G921" s="41"/>
      <c r="H921" s="41"/>
      <c r="I921" s="41"/>
      <c r="J921" s="41"/>
      <c r="K921" s="41"/>
      <c r="L921" s="41"/>
      <c r="M921" s="41"/>
      <c r="N921" s="41"/>
      <c r="O921" s="41"/>
      <c r="P921" s="41"/>
      <c r="Q921" s="41"/>
      <c r="R921" s="41"/>
      <c r="S921" s="41"/>
      <c r="T921" s="41"/>
      <c r="U921" s="41"/>
      <c r="V921" s="41"/>
      <c r="W921" s="41"/>
    </row>
    <row r="922" spans="1:23" ht="19.5" hidden="1" customHeight="1" x14ac:dyDescent="0.25">
      <c r="A922" s="41"/>
      <c r="B922" s="41"/>
      <c r="C922" s="41"/>
      <c r="D922" s="41"/>
      <c r="E922" s="41"/>
      <c r="F922" s="41"/>
      <c r="G922" s="41"/>
      <c r="H922" s="41"/>
      <c r="I922" s="41"/>
      <c r="J922" s="41"/>
      <c r="K922" s="41"/>
      <c r="L922" s="41"/>
      <c r="M922" s="41"/>
      <c r="N922" s="41"/>
      <c r="O922" s="41"/>
      <c r="P922" s="41"/>
      <c r="Q922" s="41"/>
      <c r="R922" s="41"/>
      <c r="S922" s="41"/>
      <c r="T922" s="41"/>
      <c r="U922" s="41"/>
      <c r="V922" s="41"/>
      <c r="W922" s="41"/>
    </row>
    <row r="923" spans="1:23" ht="19.5" hidden="1" customHeight="1" x14ac:dyDescent="0.25">
      <c r="A923" s="41"/>
      <c r="B923" s="41"/>
      <c r="C923" s="41"/>
      <c r="D923" s="41"/>
      <c r="E923" s="41"/>
      <c r="F923" s="41"/>
      <c r="G923" s="41"/>
      <c r="H923" s="41"/>
      <c r="I923" s="41"/>
      <c r="J923" s="41"/>
      <c r="K923" s="41"/>
      <c r="L923" s="41"/>
      <c r="M923" s="41"/>
      <c r="N923" s="41"/>
      <c r="O923" s="41"/>
      <c r="P923" s="41"/>
      <c r="Q923" s="41"/>
      <c r="R923" s="41"/>
      <c r="S923" s="41"/>
      <c r="T923" s="41"/>
      <c r="U923" s="41"/>
      <c r="V923" s="41"/>
      <c r="W923" s="41"/>
    </row>
    <row r="924" spans="1:23" ht="19.5" hidden="1" customHeight="1" x14ac:dyDescent="0.25">
      <c r="A924" s="41"/>
      <c r="B924" s="41"/>
      <c r="C924" s="41"/>
      <c r="D924" s="41"/>
      <c r="E924" s="41"/>
      <c r="F924" s="41"/>
      <c r="G924" s="41"/>
      <c r="H924" s="41"/>
      <c r="I924" s="41"/>
      <c r="J924" s="41"/>
      <c r="K924" s="41"/>
      <c r="L924" s="41"/>
      <c r="M924" s="41"/>
      <c r="N924" s="41"/>
      <c r="O924" s="41"/>
      <c r="P924" s="41"/>
      <c r="Q924" s="41"/>
      <c r="R924" s="41"/>
      <c r="S924" s="41"/>
      <c r="T924" s="41"/>
      <c r="U924" s="41"/>
      <c r="V924" s="41"/>
      <c r="W924" s="41"/>
    </row>
    <row r="925" spans="1:23" ht="19.5" hidden="1" customHeight="1" x14ac:dyDescent="0.25">
      <c r="A925" s="41"/>
      <c r="B925" s="41"/>
      <c r="C925" s="41"/>
      <c r="D925" s="41"/>
      <c r="E925" s="41"/>
      <c r="F925" s="41"/>
      <c r="G925" s="41"/>
      <c r="H925" s="41"/>
      <c r="I925" s="41"/>
      <c r="J925" s="41"/>
      <c r="K925" s="41"/>
      <c r="L925" s="41"/>
      <c r="M925" s="41"/>
      <c r="N925" s="41"/>
      <c r="O925" s="41"/>
      <c r="P925" s="41"/>
      <c r="Q925" s="41"/>
      <c r="R925" s="41"/>
      <c r="S925" s="41"/>
      <c r="T925" s="41"/>
      <c r="U925" s="41"/>
      <c r="V925" s="41"/>
      <c r="W925" s="41"/>
    </row>
    <row r="926" spans="1:23" ht="19.5" hidden="1" customHeight="1" x14ac:dyDescent="0.25">
      <c r="A926" s="41"/>
      <c r="B926" s="41"/>
      <c r="C926" s="41"/>
      <c r="D926" s="41"/>
      <c r="E926" s="41"/>
      <c r="F926" s="41"/>
      <c r="G926" s="41"/>
      <c r="H926" s="41"/>
      <c r="I926" s="41"/>
      <c r="J926" s="41"/>
      <c r="K926" s="41"/>
      <c r="L926" s="41"/>
      <c r="M926" s="41"/>
      <c r="N926" s="41"/>
      <c r="O926" s="41"/>
      <c r="P926" s="41"/>
      <c r="Q926" s="41"/>
      <c r="R926" s="41"/>
      <c r="S926" s="41"/>
      <c r="T926" s="41"/>
      <c r="U926" s="41"/>
      <c r="V926" s="41"/>
      <c r="W926" s="41"/>
    </row>
    <row r="927" spans="1:23" ht="19.5" hidden="1" customHeight="1" x14ac:dyDescent="0.25">
      <c r="A927" s="41"/>
      <c r="B927" s="41"/>
      <c r="C927" s="41"/>
      <c r="D927" s="41"/>
      <c r="E927" s="41"/>
      <c r="F927" s="41"/>
      <c r="G927" s="41"/>
      <c r="H927" s="41"/>
      <c r="I927" s="41"/>
      <c r="J927" s="41"/>
      <c r="K927" s="41"/>
      <c r="L927" s="41"/>
      <c r="M927" s="41"/>
      <c r="N927" s="41"/>
      <c r="O927" s="41"/>
      <c r="P927" s="41"/>
      <c r="Q927" s="41"/>
      <c r="R927" s="41"/>
      <c r="S927" s="41"/>
      <c r="T927" s="41"/>
      <c r="U927" s="41"/>
      <c r="V927" s="41"/>
      <c r="W927" s="41"/>
    </row>
    <row r="928" spans="1:23" ht="19.5" hidden="1" customHeight="1" x14ac:dyDescent="0.25">
      <c r="A928" s="41"/>
      <c r="B928" s="41"/>
      <c r="C928" s="41"/>
      <c r="D928" s="41"/>
      <c r="E928" s="41"/>
      <c r="F928" s="41"/>
      <c r="G928" s="41"/>
      <c r="H928" s="41"/>
      <c r="I928" s="41"/>
      <c r="J928" s="41"/>
      <c r="K928" s="41"/>
      <c r="L928" s="41"/>
      <c r="M928" s="41"/>
      <c r="N928" s="41"/>
      <c r="O928" s="41"/>
      <c r="P928" s="41"/>
      <c r="Q928" s="41"/>
      <c r="R928" s="41"/>
      <c r="S928" s="41"/>
      <c r="T928" s="41"/>
      <c r="U928" s="41"/>
      <c r="V928" s="41"/>
      <c r="W928" s="41"/>
    </row>
    <row r="929" spans="1:23" ht="19.5" hidden="1" customHeight="1" x14ac:dyDescent="0.25">
      <c r="A929" s="41"/>
      <c r="B929" s="41"/>
      <c r="C929" s="41"/>
      <c r="D929" s="41"/>
      <c r="E929" s="41"/>
      <c r="F929" s="41"/>
      <c r="G929" s="41"/>
      <c r="H929" s="41"/>
      <c r="I929" s="41"/>
      <c r="J929" s="41"/>
      <c r="K929" s="41"/>
      <c r="L929" s="41"/>
      <c r="M929" s="41"/>
      <c r="N929" s="41"/>
      <c r="O929" s="41"/>
      <c r="P929" s="41"/>
      <c r="Q929" s="41"/>
      <c r="R929" s="41"/>
      <c r="S929" s="41"/>
      <c r="T929" s="41"/>
      <c r="U929" s="41"/>
      <c r="V929" s="41"/>
      <c r="W929" s="41"/>
    </row>
    <row r="930" spans="1:23" ht="19.5" hidden="1" customHeight="1" x14ac:dyDescent="0.25">
      <c r="A930" s="41"/>
      <c r="B930" s="41"/>
      <c r="C930" s="41"/>
      <c r="D930" s="41"/>
      <c r="E930" s="41"/>
      <c r="F930" s="41"/>
      <c r="G930" s="41"/>
      <c r="H930" s="41"/>
      <c r="I930" s="41"/>
      <c r="J930" s="41"/>
      <c r="K930" s="41"/>
      <c r="L930" s="41"/>
      <c r="M930" s="41"/>
      <c r="N930" s="41"/>
      <c r="O930" s="41"/>
      <c r="P930" s="41"/>
      <c r="Q930" s="41"/>
      <c r="R930" s="41"/>
      <c r="S930" s="41"/>
      <c r="T930" s="41"/>
      <c r="U930" s="41"/>
      <c r="V930" s="41"/>
      <c r="W930" s="41"/>
    </row>
    <row r="931" spans="1:23" ht="19.5" hidden="1" customHeight="1" x14ac:dyDescent="0.25">
      <c r="A931" s="41"/>
      <c r="B931" s="41"/>
      <c r="C931" s="41"/>
      <c r="D931" s="41"/>
      <c r="E931" s="41"/>
      <c r="F931" s="41"/>
      <c r="G931" s="41"/>
      <c r="H931" s="41"/>
      <c r="I931" s="41"/>
      <c r="J931" s="41"/>
      <c r="K931" s="41"/>
      <c r="L931" s="41"/>
      <c r="M931" s="41"/>
      <c r="N931" s="41"/>
      <c r="O931" s="41"/>
      <c r="P931" s="41"/>
      <c r="Q931" s="41"/>
      <c r="R931" s="41"/>
      <c r="S931" s="41"/>
      <c r="T931" s="41"/>
      <c r="U931" s="41"/>
      <c r="V931" s="41"/>
      <c r="W931" s="41"/>
    </row>
    <row r="932" spans="1:23" ht="19.5" hidden="1" customHeight="1" x14ac:dyDescent="0.25">
      <c r="A932" s="41"/>
      <c r="B932" s="41"/>
      <c r="C932" s="41"/>
      <c r="D932" s="41"/>
      <c r="E932" s="41"/>
      <c r="F932" s="41"/>
      <c r="G932" s="41"/>
      <c r="H932" s="41"/>
      <c r="I932" s="41"/>
      <c r="J932" s="41"/>
      <c r="K932" s="41"/>
      <c r="L932" s="41"/>
      <c r="M932" s="41"/>
      <c r="N932" s="41"/>
      <c r="O932" s="41"/>
      <c r="P932" s="41"/>
      <c r="Q932" s="41"/>
      <c r="R932" s="41"/>
      <c r="S932" s="41"/>
      <c r="T932" s="41"/>
      <c r="U932" s="41"/>
      <c r="V932" s="41"/>
      <c r="W932" s="41"/>
    </row>
    <row r="933" spans="1:23" ht="19.5" hidden="1" customHeight="1" x14ac:dyDescent="0.25">
      <c r="A933" s="41"/>
      <c r="B933" s="41"/>
      <c r="C933" s="41"/>
      <c r="D933" s="41"/>
      <c r="E933" s="41"/>
      <c r="F933" s="41"/>
      <c r="G933" s="41"/>
      <c r="H933" s="41"/>
      <c r="I933" s="41"/>
      <c r="J933" s="41"/>
      <c r="K933" s="41"/>
      <c r="L933" s="41"/>
      <c r="M933" s="41"/>
      <c r="N933" s="41"/>
      <c r="O933" s="41"/>
      <c r="P933" s="41"/>
      <c r="Q933" s="41"/>
      <c r="R933" s="41"/>
      <c r="S933" s="41"/>
      <c r="T933" s="41"/>
      <c r="U933" s="41"/>
      <c r="V933" s="41"/>
      <c r="W933" s="41"/>
    </row>
    <row r="934" spans="1:23" ht="19.5" hidden="1" customHeight="1" x14ac:dyDescent="0.25">
      <c r="A934" s="41"/>
      <c r="B934" s="41"/>
      <c r="C934" s="41"/>
      <c r="D934" s="41"/>
      <c r="E934" s="41"/>
      <c r="F934" s="41"/>
      <c r="G934" s="41"/>
      <c r="H934" s="41"/>
      <c r="I934" s="41"/>
      <c r="J934" s="41"/>
      <c r="K934" s="41"/>
      <c r="L934" s="41"/>
      <c r="M934" s="41"/>
      <c r="N934" s="41"/>
      <c r="O934" s="41"/>
      <c r="P934" s="41"/>
      <c r="Q934" s="41"/>
      <c r="R934" s="41"/>
      <c r="S934" s="41"/>
      <c r="T934" s="41"/>
      <c r="U934" s="41"/>
      <c r="V934" s="41"/>
      <c r="W934" s="41"/>
    </row>
    <row r="935" spans="1:23" ht="19.5" hidden="1" customHeight="1" x14ac:dyDescent="0.25">
      <c r="A935" s="41"/>
      <c r="B935" s="41"/>
      <c r="C935" s="41"/>
      <c r="D935" s="41"/>
      <c r="E935" s="41"/>
      <c r="F935" s="41"/>
      <c r="G935" s="41"/>
      <c r="H935" s="41"/>
      <c r="I935" s="41"/>
      <c r="J935" s="41"/>
      <c r="K935" s="41"/>
      <c r="L935" s="41"/>
      <c r="M935" s="41"/>
      <c r="N935" s="41"/>
      <c r="O935" s="41"/>
      <c r="P935" s="41"/>
      <c r="Q935" s="41"/>
      <c r="R935" s="41"/>
      <c r="S935" s="41"/>
      <c r="T935" s="41"/>
      <c r="U935" s="41"/>
      <c r="V935" s="41"/>
      <c r="W935" s="41"/>
    </row>
    <row r="936" spans="1:23" ht="19.5" hidden="1" customHeight="1" x14ac:dyDescent="0.25">
      <c r="A936" s="41"/>
      <c r="B936" s="41"/>
      <c r="C936" s="41"/>
      <c r="D936" s="41"/>
      <c r="E936" s="41"/>
      <c r="F936" s="41"/>
      <c r="G936" s="41"/>
      <c r="H936" s="41"/>
      <c r="I936" s="41"/>
      <c r="J936" s="41"/>
      <c r="K936" s="41"/>
      <c r="L936" s="41"/>
      <c r="M936" s="41"/>
      <c r="N936" s="41"/>
      <c r="O936" s="41"/>
      <c r="P936" s="41"/>
      <c r="Q936" s="41"/>
      <c r="R936" s="41"/>
      <c r="S936" s="41"/>
      <c r="T936" s="41"/>
      <c r="U936" s="41"/>
      <c r="V936" s="41"/>
      <c r="W936" s="41"/>
    </row>
    <row r="937" spans="1:23" ht="19.5" hidden="1" customHeight="1" x14ac:dyDescent="0.25">
      <c r="A937" s="41"/>
      <c r="B937" s="41"/>
      <c r="C937" s="41"/>
      <c r="D937" s="41"/>
      <c r="E937" s="41"/>
      <c r="F937" s="41"/>
      <c r="G937" s="41"/>
      <c r="H937" s="41"/>
      <c r="I937" s="41"/>
      <c r="J937" s="41"/>
      <c r="K937" s="41"/>
      <c r="L937" s="41"/>
      <c r="M937" s="41"/>
      <c r="N937" s="41"/>
      <c r="O937" s="41"/>
      <c r="P937" s="41"/>
      <c r="Q937" s="41"/>
      <c r="R937" s="41"/>
      <c r="S937" s="41"/>
      <c r="T937" s="41"/>
      <c r="U937" s="41"/>
      <c r="V937" s="41"/>
      <c r="W937" s="41"/>
    </row>
    <row r="938" spans="1:23" ht="19.5" hidden="1" customHeight="1" x14ac:dyDescent="0.25">
      <c r="A938" s="41"/>
      <c r="B938" s="41"/>
      <c r="C938" s="41"/>
      <c r="D938" s="41"/>
      <c r="E938" s="41"/>
      <c r="F938" s="41"/>
      <c r="G938" s="41"/>
      <c r="H938" s="41"/>
      <c r="I938" s="41"/>
      <c r="J938" s="41"/>
      <c r="K938" s="41"/>
      <c r="L938" s="41"/>
      <c r="M938" s="41"/>
      <c r="N938" s="41"/>
      <c r="O938" s="41"/>
      <c r="P938" s="41"/>
      <c r="Q938" s="41"/>
      <c r="R938" s="41"/>
      <c r="S938" s="41"/>
      <c r="T938" s="41"/>
      <c r="U938" s="41"/>
      <c r="V938" s="41"/>
      <c r="W938" s="41"/>
    </row>
    <row r="939" spans="1:23" ht="19.5" hidden="1" customHeight="1" x14ac:dyDescent="0.25">
      <c r="A939" s="41"/>
      <c r="B939" s="41"/>
      <c r="C939" s="41"/>
      <c r="D939" s="41"/>
      <c r="E939" s="41"/>
      <c r="F939" s="41"/>
      <c r="G939" s="41"/>
      <c r="H939" s="41"/>
      <c r="I939" s="41"/>
      <c r="J939" s="41"/>
      <c r="K939" s="41"/>
      <c r="L939" s="41"/>
      <c r="M939" s="41"/>
      <c r="N939" s="41"/>
      <c r="O939" s="41"/>
      <c r="P939" s="41"/>
      <c r="Q939" s="41"/>
      <c r="R939" s="41"/>
      <c r="S939" s="41"/>
      <c r="T939" s="41"/>
      <c r="U939" s="41"/>
      <c r="V939" s="41"/>
      <c r="W939" s="41"/>
    </row>
    <row r="940" spans="1:23" ht="19.5" hidden="1" customHeight="1" x14ac:dyDescent="0.25">
      <c r="A940" s="41"/>
      <c r="B940" s="41"/>
      <c r="C940" s="41"/>
      <c r="D940" s="41"/>
      <c r="E940" s="41"/>
      <c r="F940" s="41"/>
      <c r="G940" s="41"/>
      <c r="H940" s="41"/>
      <c r="I940" s="41"/>
      <c r="J940" s="41"/>
      <c r="K940" s="41"/>
      <c r="L940" s="41"/>
      <c r="M940" s="41"/>
      <c r="N940" s="41"/>
      <c r="O940" s="41"/>
      <c r="P940" s="41"/>
      <c r="Q940" s="41"/>
      <c r="R940" s="41"/>
      <c r="S940" s="41"/>
      <c r="T940" s="41"/>
      <c r="U940" s="41"/>
      <c r="V940" s="41"/>
      <c r="W940" s="41"/>
    </row>
    <row r="941" spans="1:23" ht="19.5" hidden="1" customHeight="1" x14ac:dyDescent="0.25">
      <c r="A941" s="41"/>
      <c r="B941" s="41"/>
      <c r="C941" s="41"/>
      <c r="D941" s="41"/>
      <c r="E941" s="41"/>
      <c r="F941" s="41"/>
      <c r="G941" s="41"/>
      <c r="H941" s="41"/>
      <c r="I941" s="41"/>
      <c r="J941" s="41"/>
      <c r="K941" s="41"/>
      <c r="L941" s="41"/>
      <c r="M941" s="41"/>
      <c r="N941" s="41"/>
      <c r="O941" s="41"/>
      <c r="P941" s="41"/>
      <c r="Q941" s="41"/>
      <c r="R941" s="41"/>
      <c r="S941" s="41"/>
      <c r="T941" s="41"/>
      <c r="U941" s="41"/>
      <c r="V941" s="41"/>
      <c r="W941" s="41"/>
    </row>
    <row r="942" spans="1:23" ht="19.5" hidden="1" customHeight="1" x14ac:dyDescent="0.25">
      <c r="A942" s="41"/>
      <c r="B942" s="41"/>
      <c r="C942" s="41"/>
      <c r="D942" s="41"/>
      <c r="E942" s="41"/>
      <c r="F942" s="41"/>
      <c r="G942" s="41"/>
      <c r="H942" s="41"/>
      <c r="I942" s="41"/>
      <c r="J942" s="41"/>
      <c r="K942" s="41"/>
      <c r="L942" s="41"/>
      <c r="M942" s="41"/>
      <c r="N942" s="41"/>
      <c r="O942" s="41"/>
      <c r="P942" s="41"/>
      <c r="Q942" s="41"/>
      <c r="R942" s="41"/>
      <c r="S942" s="41"/>
      <c r="T942" s="41"/>
      <c r="U942" s="41"/>
      <c r="V942" s="41"/>
      <c r="W942" s="41"/>
    </row>
    <row r="943" spans="1:23" ht="19.5" hidden="1" customHeight="1" x14ac:dyDescent="0.25">
      <c r="A943" s="41"/>
      <c r="B943" s="41"/>
      <c r="C943" s="41"/>
      <c r="D943" s="41"/>
      <c r="E943" s="41"/>
      <c r="F943" s="41"/>
      <c r="G943" s="41"/>
      <c r="H943" s="41"/>
      <c r="I943" s="41"/>
      <c r="J943" s="41"/>
      <c r="K943" s="41"/>
      <c r="L943" s="41"/>
      <c r="M943" s="41"/>
      <c r="N943" s="41"/>
      <c r="O943" s="41"/>
      <c r="P943" s="41"/>
      <c r="Q943" s="41"/>
      <c r="R943" s="41"/>
      <c r="S943" s="41"/>
      <c r="T943" s="41"/>
      <c r="U943" s="41"/>
      <c r="V943" s="41"/>
      <c r="W943" s="41"/>
    </row>
    <row r="944" spans="1:23" ht="19.5" hidden="1" customHeight="1" x14ac:dyDescent="0.25">
      <c r="A944" s="41"/>
      <c r="B944" s="41"/>
      <c r="C944" s="41"/>
      <c r="D944" s="41"/>
      <c r="E944" s="41"/>
      <c r="F944" s="41"/>
      <c r="G944" s="41"/>
      <c r="H944" s="41"/>
      <c r="I944" s="41"/>
      <c r="J944" s="41"/>
      <c r="K944" s="41"/>
      <c r="L944" s="41"/>
      <c r="M944" s="41"/>
      <c r="N944" s="41"/>
      <c r="O944" s="41"/>
      <c r="P944" s="41"/>
      <c r="Q944" s="41"/>
      <c r="R944" s="41"/>
      <c r="S944" s="41"/>
      <c r="T944" s="41"/>
      <c r="U944" s="41"/>
      <c r="V944" s="41"/>
      <c r="W944" s="41"/>
    </row>
    <row r="945" spans="1:23" ht="19.5" hidden="1" customHeight="1" x14ac:dyDescent="0.25">
      <c r="A945" s="41"/>
      <c r="B945" s="41"/>
      <c r="C945" s="41"/>
      <c r="D945" s="41"/>
      <c r="E945" s="41"/>
      <c r="F945" s="41"/>
      <c r="G945" s="41"/>
      <c r="H945" s="41"/>
      <c r="I945" s="41"/>
      <c r="J945" s="41"/>
      <c r="K945" s="41"/>
      <c r="L945" s="41"/>
      <c r="M945" s="41"/>
      <c r="N945" s="41"/>
      <c r="O945" s="41"/>
      <c r="P945" s="41"/>
      <c r="Q945" s="41"/>
      <c r="R945" s="41"/>
      <c r="S945" s="41"/>
      <c r="T945" s="41"/>
      <c r="U945" s="41"/>
      <c r="V945" s="41"/>
      <c r="W945" s="41"/>
    </row>
    <row r="946" spans="1:23" ht="19.5" hidden="1" customHeight="1" x14ac:dyDescent="0.25">
      <c r="A946" s="41"/>
      <c r="B946" s="41"/>
      <c r="C946" s="41"/>
      <c r="D946" s="41"/>
      <c r="E946" s="41"/>
      <c r="F946" s="41"/>
      <c r="G946" s="41"/>
      <c r="H946" s="41"/>
      <c r="I946" s="41"/>
      <c r="J946" s="41"/>
      <c r="K946" s="41"/>
      <c r="L946" s="41"/>
      <c r="M946" s="41"/>
      <c r="N946" s="41"/>
      <c r="O946" s="41"/>
      <c r="P946" s="41"/>
      <c r="Q946" s="41"/>
      <c r="R946" s="41"/>
      <c r="S946" s="41"/>
      <c r="T946" s="41"/>
      <c r="U946" s="41"/>
      <c r="V946" s="41"/>
      <c r="W946" s="41"/>
    </row>
    <row r="947" spans="1:23" ht="19.5" hidden="1" customHeight="1" x14ac:dyDescent="0.25">
      <c r="A947" s="41"/>
      <c r="B947" s="41"/>
      <c r="C947" s="41"/>
      <c r="D947" s="41"/>
      <c r="E947" s="41"/>
      <c r="F947" s="41"/>
      <c r="G947" s="41"/>
      <c r="H947" s="41"/>
      <c r="I947" s="41"/>
      <c r="J947" s="41"/>
      <c r="K947" s="41"/>
      <c r="L947" s="41"/>
      <c r="M947" s="41"/>
      <c r="N947" s="41"/>
      <c r="O947" s="41"/>
      <c r="P947" s="41"/>
      <c r="Q947" s="41"/>
      <c r="R947" s="41"/>
      <c r="S947" s="41"/>
      <c r="T947" s="41"/>
      <c r="U947" s="41"/>
      <c r="V947" s="41"/>
      <c r="W947" s="41"/>
    </row>
    <row r="948" spans="1:23" ht="19.5" hidden="1" customHeight="1" x14ac:dyDescent="0.25">
      <c r="A948" s="41"/>
      <c r="B948" s="41"/>
      <c r="C948" s="41"/>
      <c r="D948" s="41"/>
      <c r="E948" s="41"/>
      <c r="F948" s="41"/>
      <c r="G948" s="41"/>
      <c r="H948" s="41"/>
      <c r="I948" s="41"/>
      <c r="J948" s="41"/>
      <c r="K948" s="41"/>
      <c r="L948" s="41"/>
      <c r="M948" s="41"/>
      <c r="N948" s="41"/>
      <c r="O948" s="41"/>
      <c r="P948" s="41"/>
      <c r="Q948" s="41"/>
      <c r="R948" s="41"/>
      <c r="S948" s="41"/>
      <c r="T948" s="41"/>
      <c r="U948" s="41"/>
      <c r="V948" s="41"/>
      <c r="W948" s="41"/>
    </row>
    <row r="949" spans="1:23" ht="19.5" hidden="1" customHeight="1" x14ac:dyDescent="0.25">
      <c r="A949" s="41"/>
      <c r="B949" s="41"/>
      <c r="C949" s="41"/>
      <c r="D949" s="41"/>
      <c r="E949" s="41"/>
      <c r="F949" s="41"/>
      <c r="G949" s="41"/>
      <c r="H949" s="41"/>
      <c r="I949" s="41"/>
      <c r="J949" s="41"/>
      <c r="K949" s="41"/>
      <c r="L949" s="41"/>
      <c r="M949" s="41"/>
      <c r="N949" s="41"/>
      <c r="O949" s="41"/>
      <c r="P949" s="41"/>
      <c r="Q949" s="41"/>
      <c r="R949" s="41"/>
      <c r="S949" s="41"/>
      <c r="T949" s="41"/>
      <c r="U949" s="41"/>
      <c r="V949" s="41"/>
      <c r="W949" s="41"/>
    </row>
    <row r="950" spans="1:23" ht="19.5" hidden="1" customHeight="1" x14ac:dyDescent="0.25">
      <c r="A950" s="41"/>
      <c r="B950" s="41"/>
      <c r="C950" s="41"/>
      <c r="D950" s="41"/>
      <c r="E950" s="41"/>
      <c r="F950" s="41"/>
      <c r="G950" s="41"/>
      <c r="H950" s="41"/>
      <c r="I950" s="41"/>
      <c r="J950" s="41"/>
      <c r="K950" s="41"/>
      <c r="L950" s="41"/>
      <c r="M950" s="41"/>
      <c r="N950" s="41"/>
      <c r="O950" s="41"/>
      <c r="P950" s="41"/>
      <c r="Q950" s="41"/>
      <c r="R950" s="41"/>
      <c r="S950" s="41"/>
      <c r="T950" s="41"/>
      <c r="U950" s="41"/>
      <c r="V950" s="41"/>
      <c r="W950" s="41"/>
    </row>
    <row r="951" spans="1:23" ht="19.5" hidden="1" customHeight="1" x14ac:dyDescent="0.25">
      <c r="A951" s="51"/>
      <c r="B951" s="51"/>
      <c r="C951" s="64"/>
      <c r="D951" s="41"/>
      <c r="E951" s="41"/>
      <c r="F951" s="41"/>
      <c r="G951" s="41"/>
      <c r="H951" s="41"/>
      <c r="I951" s="41"/>
      <c r="J951" s="41"/>
      <c r="K951" s="41"/>
      <c r="L951" s="41"/>
      <c r="M951" s="41"/>
      <c r="N951" s="41"/>
      <c r="O951" s="41"/>
      <c r="P951" s="41"/>
      <c r="Q951" s="41"/>
      <c r="R951" s="41"/>
      <c r="S951" s="41"/>
      <c r="T951" s="41"/>
      <c r="U951" s="41"/>
      <c r="V951" s="41"/>
      <c r="W951" s="41"/>
    </row>
    <row r="952" spans="1:23" ht="19.5" hidden="1" customHeight="1" x14ac:dyDescent="0.25">
      <c r="A952" s="51"/>
      <c r="B952" s="51"/>
      <c r="C952" s="64"/>
      <c r="D952" s="41"/>
      <c r="E952" s="41"/>
      <c r="F952" s="41"/>
      <c r="G952" s="41"/>
      <c r="H952" s="41"/>
      <c r="I952" s="41"/>
      <c r="J952" s="41"/>
      <c r="K952" s="41"/>
      <c r="L952" s="41"/>
      <c r="M952" s="41"/>
      <c r="N952" s="41"/>
      <c r="O952" s="41"/>
      <c r="P952" s="41"/>
      <c r="Q952" s="41"/>
      <c r="R952" s="41"/>
      <c r="S952" s="41"/>
      <c r="T952" s="41"/>
      <c r="U952" s="41"/>
      <c r="V952" s="41"/>
      <c r="W952" s="41"/>
    </row>
    <row r="953" spans="1:23" ht="19.5" hidden="1" customHeight="1" x14ac:dyDescent="0.25">
      <c r="A953" s="51"/>
      <c r="B953" s="51"/>
      <c r="C953" s="64"/>
      <c r="D953" s="41"/>
      <c r="E953" s="41"/>
      <c r="F953" s="41"/>
      <c r="G953" s="41"/>
      <c r="H953" s="41"/>
      <c r="I953" s="41"/>
      <c r="J953" s="41"/>
      <c r="K953" s="41"/>
      <c r="L953" s="41"/>
      <c r="M953" s="41"/>
      <c r="N953" s="41"/>
      <c r="O953" s="41"/>
      <c r="P953" s="41"/>
      <c r="Q953" s="41"/>
      <c r="R953" s="41"/>
      <c r="S953" s="41"/>
      <c r="T953" s="41"/>
      <c r="U953" s="41"/>
      <c r="V953" s="41"/>
      <c r="W953" s="41"/>
    </row>
    <row r="954" spans="1:23" ht="19.5" hidden="1" customHeight="1" x14ac:dyDescent="0.25">
      <c r="A954" s="51"/>
      <c r="B954" s="51"/>
      <c r="C954" s="64"/>
      <c r="D954" s="41"/>
      <c r="E954" s="41"/>
      <c r="F954" s="41"/>
      <c r="G954" s="41"/>
      <c r="H954" s="41"/>
      <c r="I954" s="41"/>
      <c r="J954" s="41"/>
      <c r="K954" s="41"/>
      <c r="L954" s="41"/>
      <c r="M954" s="41"/>
      <c r="N954" s="41"/>
      <c r="O954" s="41"/>
      <c r="P954" s="41"/>
      <c r="Q954" s="41"/>
      <c r="R954" s="41"/>
      <c r="S954" s="41"/>
      <c r="T954" s="41"/>
      <c r="U954" s="41"/>
      <c r="V954" s="41"/>
      <c r="W954" s="41"/>
    </row>
    <row r="955" spans="1:23" ht="19.5" hidden="1" customHeight="1" x14ac:dyDescent="0.25">
      <c r="A955" s="51"/>
      <c r="B955" s="51"/>
      <c r="C955" s="64"/>
      <c r="D955" s="41"/>
      <c r="E955" s="41"/>
      <c r="F955" s="41"/>
      <c r="G955" s="41"/>
      <c r="H955" s="41"/>
      <c r="I955" s="41"/>
      <c r="J955" s="41"/>
      <c r="K955" s="41"/>
      <c r="L955" s="41"/>
      <c r="M955" s="41"/>
      <c r="N955" s="41"/>
      <c r="O955" s="41"/>
      <c r="P955" s="41"/>
      <c r="Q955" s="41"/>
      <c r="R955" s="41"/>
      <c r="S955" s="41"/>
      <c r="T955" s="41"/>
      <c r="U955" s="41"/>
      <c r="V955" s="41"/>
      <c r="W955" s="41"/>
    </row>
    <row r="956" spans="1:23" ht="19.5" hidden="1" customHeight="1" x14ac:dyDescent="0.25">
      <c r="A956" s="51"/>
      <c r="B956" s="51"/>
      <c r="C956" s="64"/>
      <c r="D956" s="41"/>
      <c r="E956" s="41"/>
      <c r="F956" s="41"/>
      <c r="G956" s="41"/>
      <c r="H956" s="41"/>
      <c r="I956" s="41"/>
      <c r="J956" s="41"/>
      <c r="K956" s="41"/>
      <c r="L956" s="41"/>
      <c r="M956" s="41"/>
      <c r="N956" s="41"/>
      <c r="O956" s="41"/>
      <c r="P956" s="41"/>
      <c r="Q956" s="41"/>
      <c r="R956" s="41"/>
      <c r="S956" s="41"/>
      <c r="T956" s="41"/>
      <c r="U956" s="41"/>
      <c r="V956" s="41"/>
      <c r="W956" s="41"/>
    </row>
    <row r="957" spans="1:23" ht="19.5" hidden="1" customHeight="1" x14ac:dyDescent="0.25">
      <c r="A957" s="51"/>
      <c r="B957" s="51"/>
      <c r="C957" s="64"/>
      <c r="D957" s="41"/>
      <c r="E957" s="41"/>
      <c r="F957" s="41"/>
      <c r="G957" s="41"/>
      <c r="H957" s="41"/>
      <c r="I957" s="41"/>
      <c r="J957" s="41"/>
      <c r="K957" s="41"/>
      <c r="L957" s="41"/>
      <c r="M957" s="41"/>
      <c r="N957" s="41"/>
      <c r="O957" s="41"/>
      <c r="P957" s="41"/>
      <c r="Q957" s="41"/>
      <c r="R957" s="41"/>
      <c r="S957" s="41"/>
      <c r="T957" s="41"/>
      <c r="U957" s="41"/>
      <c r="V957" s="41"/>
      <c r="W957" s="41"/>
    </row>
    <row r="958" spans="1:23" ht="19.5" hidden="1" customHeight="1" x14ac:dyDescent="0.25">
      <c r="A958" s="51"/>
      <c r="B958" s="51"/>
      <c r="C958" s="64"/>
      <c r="D958" s="41"/>
      <c r="E958" s="41"/>
      <c r="F958" s="41"/>
      <c r="G958" s="41"/>
      <c r="H958" s="41"/>
      <c r="I958" s="41"/>
      <c r="J958" s="41"/>
      <c r="K958" s="41"/>
      <c r="L958" s="41"/>
      <c r="M958" s="41"/>
      <c r="N958" s="41"/>
      <c r="O958" s="41"/>
      <c r="P958" s="41"/>
      <c r="Q958" s="41"/>
      <c r="R958" s="41"/>
      <c r="S958" s="41"/>
      <c r="T958" s="41"/>
      <c r="U958" s="41"/>
      <c r="V958" s="41"/>
      <c r="W958" s="41"/>
    </row>
    <row r="959" spans="1:23" ht="19.5" hidden="1" customHeight="1" x14ac:dyDescent="0.25">
      <c r="A959" s="51"/>
      <c r="B959" s="51"/>
      <c r="C959" s="64"/>
      <c r="D959" s="41"/>
      <c r="E959" s="41"/>
      <c r="F959" s="41"/>
      <c r="G959" s="41"/>
      <c r="H959" s="41"/>
      <c r="I959" s="41"/>
      <c r="J959" s="41"/>
      <c r="K959" s="41"/>
      <c r="L959" s="41"/>
      <c r="M959" s="41"/>
      <c r="N959" s="41"/>
      <c r="O959" s="41"/>
      <c r="P959" s="41"/>
      <c r="Q959" s="41"/>
      <c r="R959" s="41"/>
      <c r="S959" s="41"/>
      <c r="T959" s="41"/>
      <c r="U959" s="41"/>
      <c r="V959" s="41"/>
      <c r="W959" s="41"/>
    </row>
    <row r="960" spans="1:23" ht="19.5" hidden="1" customHeight="1" x14ac:dyDescent="0.25">
      <c r="A960" s="51"/>
      <c r="B960" s="51"/>
      <c r="C960" s="64"/>
      <c r="D960" s="41"/>
      <c r="E960" s="41"/>
      <c r="F960" s="41"/>
      <c r="G960" s="41"/>
      <c r="H960" s="41"/>
      <c r="I960" s="41"/>
      <c r="J960" s="41"/>
      <c r="K960" s="41"/>
      <c r="L960" s="41"/>
      <c r="M960" s="41"/>
      <c r="N960" s="41"/>
      <c r="O960" s="41"/>
      <c r="P960" s="41"/>
      <c r="Q960" s="41"/>
      <c r="R960" s="41"/>
      <c r="S960" s="41"/>
      <c r="T960" s="41"/>
      <c r="U960" s="41"/>
      <c r="V960" s="41"/>
      <c r="W960" s="41"/>
    </row>
    <row r="961" spans="1:23" ht="19.5" hidden="1" customHeight="1" x14ac:dyDescent="0.25">
      <c r="A961" s="51"/>
      <c r="B961" s="51"/>
      <c r="C961" s="64"/>
      <c r="D961" s="41"/>
      <c r="E961" s="41"/>
      <c r="F961" s="41"/>
      <c r="G961" s="41"/>
      <c r="H961" s="41"/>
      <c r="I961" s="41"/>
      <c r="J961" s="41"/>
      <c r="K961" s="41"/>
      <c r="L961" s="41"/>
      <c r="M961" s="41"/>
      <c r="N961" s="41"/>
      <c r="O961" s="41"/>
      <c r="P961" s="41"/>
      <c r="Q961" s="41"/>
      <c r="R961" s="41"/>
      <c r="S961" s="41"/>
      <c r="T961" s="41"/>
      <c r="U961" s="41"/>
      <c r="V961" s="41"/>
      <c r="W961" s="41"/>
    </row>
    <row r="962" spans="1:23" ht="19.5" hidden="1" customHeight="1" x14ac:dyDescent="0.25">
      <c r="A962" s="51"/>
      <c r="B962" s="51"/>
      <c r="C962" s="64"/>
      <c r="D962" s="41"/>
      <c r="E962" s="41"/>
      <c r="F962" s="41"/>
      <c r="G962" s="41"/>
      <c r="H962" s="41"/>
      <c r="I962" s="41"/>
      <c r="J962" s="41"/>
      <c r="K962" s="41"/>
      <c r="L962" s="41"/>
      <c r="M962" s="41"/>
      <c r="N962" s="41"/>
      <c r="O962" s="41"/>
      <c r="P962" s="41"/>
      <c r="Q962" s="41"/>
      <c r="R962" s="41"/>
      <c r="S962" s="41"/>
      <c r="T962" s="41"/>
      <c r="U962" s="41"/>
      <c r="V962" s="41"/>
      <c r="W962" s="41"/>
    </row>
    <row r="963" spans="1:23" ht="19.5" hidden="1" customHeight="1" x14ac:dyDescent="0.25">
      <c r="A963" s="51"/>
      <c r="B963" s="51"/>
      <c r="C963" s="64"/>
      <c r="D963" s="41"/>
      <c r="E963" s="41"/>
      <c r="F963" s="41"/>
      <c r="G963" s="41"/>
      <c r="H963" s="41"/>
      <c r="I963" s="41"/>
      <c r="J963" s="41"/>
      <c r="K963" s="41"/>
      <c r="L963" s="41"/>
      <c r="M963" s="41"/>
      <c r="N963" s="41"/>
      <c r="O963" s="41"/>
      <c r="P963" s="41"/>
      <c r="Q963" s="41"/>
      <c r="R963" s="41"/>
      <c r="S963" s="41"/>
      <c r="T963" s="41"/>
      <c r="U963" s="41"/>
      <c r="V963" s="41"/>
      <c r="W963" s="41"/>
    </row>
    <row r="964" spans="1:23" ht="19.5" hidden="1" customHeight="1" x14ac:dyDescent="0.25">
      <c r="A964" s="51"/>
      <c r="B964" s="51"/>
      <c r="C964" s="64"/>
      <c r="D964" s="41"/>
      <c r="E964" s="41"/>
      <c r="F964" s="41"/>
      <c r="G964" s="41"/>
      <c r="H964" s="41"/>
      <c r="I964" s="41"/>
      <c r="J964" s="41"/>
      <c r="K964" s="41"/>
      <c r="L964" s="41"/>
      <c r="M964" s="41"/>
      <c r="N964" s="41"/>
      <c r="O964" s="41"/>
      <c r="P964" s="41"/>
      <c r="Q964" s="41"/>
      <c r="R964" s="41"/>
      <c r="S964" s="41"/>
      <c r="T964" s="41"/>
      <c r="U964" s="41"/>
      <c r="V964" s="41"/>
      <c r="W964" s="41"/>
    </row>
    <row r="965" spans="1:23" ht="19.5" hidden="1" customHeight="1" x14ac:dyDescent="0.25">
      <c r="A965" s="51"/>
      <c r="B965" s="51"/>
      <c r="C965" s="64"/>
      <c r="D965" s="41"/>
      <c r="E965" s="41"/>
      <c r="F965" s="41"/>
      <c r="G965" s="41"/>
      <c r="H965" s="41"/>
      <c r="I965" s="41"/>
      <c r="J965" s="41"/>
      <c r="K965" s="41"/>
      <c r="L965" s="41"/>
      <c r="M965" s="41"/>
      <c r="N965" s="41"/>
      <c r="O965" s="41"/>
      <c r="P965" s="41"/>
      <c r="Q965" s="41"/>
      <c r="R965" s="41"/>
      <c r="S965" s="41"/>
      <c r="T965" s="41"/>
      <c r="U965" s="41"/>
      <c r="V965" s="41"/>
      <c r="W965" s="41"/>
    </row>
    <row r="966" spans="1:23" ht="19.5" hidden="1" customHeight="1" x14ac:dyDescent="0.25">
      <c r="A966" s="51"/>
      <c r="B966" s="51"/>
      <c r="C966" s="64"/>
      <c r="D966" s="41"/>
      <c r="E966" s="41"/>
      <c r="F966" s="41"/>
      <c r="G966" s="41"/>
      <c r="H966" s="41"/>
      <c r="I966" s="41"/>
      <c r="J966" s="41"/>
      <c r="K966" s="41"/>
      <c r="L966" s="41"/>
      <c r="M966" s="41"/>
      <c r="N966" s="41"/>
      <c r="O966" s="41"/>
      <c r="P966" s="41"/>
      <c r="Q966" s="41"/>
      <c r="R966" s="41"/>
      <c r="S966" s="41"/>
      <c r="T966" s="41"/>
      <c r="U966" s="41"/>
      <c r="V966" s="41"/>
      <c r="W966" s="41"/>
    </row>
    <row r="967" spans="1:23" ht="19.5" hidden="1" customHeight="1" x14ac:dyDescent="0.25">
      <c r="A967" s="51"/>
      <c r="B967" s="51"/>
      <c r="C967" s="64"/>
      <c r="D967" s="41"/>
      <c r="E967" s="41"/>
      <c r="F967" s="41"/>
      <c r="G967" s="41"/>
      <c r="H967" s="41"/>
      <c r="I967" s="41"/>
      <c r="J967" s="41"/>
      <c r="K967" s="41"/>
      <c r="L967" s="41"/>
      <c r="M967" s="41"/>
      <c r="N967" s="41"/>
      <c r="O967" s="41"/>
      <c r="P967" s="41"/>
      <c r="Q967" s="41"/>
      <c r="R967" s="41"/>
      <c r="S967" s="41"/>
      <c r="T967" s="41"/>
      <c r="U967" s="41"/>
      <c r="V967" s="41"/>
      <c r="W967" s="41"/>
    </row>
    <row r="968" spans="1:23" ht="19.5" hidden="1" customHeight="1" x14ac:dyDescent="0.25">
      <c r="A968" s="51"/>
      <c r="B968" s="51"/>
      <c r="C968" s="64"/>
      <c r="D968" s="41"/>
      <c r="E968" s="41"/>
      <c r="F968" s="41"/>
      <c r="G968" s="41"/>
      <c r="H968" s="41"/>
      <c r="I968" s="41"/>
      <c r="J968" s="41"/>
      <c r="K968" s="41"/>
      <c r="L968" s="41"/>
      <c r="M968" s="41"/>
      <c r="N968" s="41"/>
      <c r="O968" s="41"/>
      <c r="P968" s="41"/>
      <c r="Q968" s="41"/>
      <c r="R968" s="41"/>
      <c r="S968" s="41"/>
      <c r="T968" s="41"/>
      <c r="U968" s="41"/>
      <c r="V968" s="41"/>
      <c r="W968" s="41"/>
    </row>
    <row r="969" spans="1:23" ht="19.5" hidden="1" customHeight="1" x14ac:dyDescent="0.25">
      <c r="A969" s="51"/>
      <c r="B969" s="51"/>
      <c r="C969" s="64"/>
      <c r="D969" s="41"/>
      <c r="E969" s="41"/>
      <c r="F969" s="41"/>
      <c r="G969" s="41"/>
      <c r="H969" s="41"/>
      <c r="I969" s="41"/>
      <c r="J969" s="41"/>
      <c r="K969" s="41"/>
      <c r="L969" s="41"/>
      <c r="M969" s="41"/>
      <c r="N969" s="41"/>
      <c r="O969" s="41"/>
      <c r="P969" s="41"/>
      <c r="Q969" s="41"/>
      <c r="R969" s="41"/>
      <c r="S969" s="41"/>
      <c r="T969" s="41"/>
      <c r="U969" s="41"/>
      <c r="V969" s="41"/>
      <c r="W969" s="41"/>
    </row>
    <row r="970" spans="1:23" ht="19.5" hidden="1" customHeight="1" x14ac:dyDescent="0.25">
      <c r="A970" s="51"/>
      <c r="B970" s="51"/>
      <c r="C970" s="64"/>
      <c r="D970" s="41"/>
      <c r="E970" s="41"/>
      <c r="F970" s="41"/>
      <c r="G970" s="41"/>
      <c r="H970" s="41"/>
      <c r="I970" s="41"/>
      <c r="J970" s="41"/>
      <c r="K970" s="41"/>
      <c r="L970" s="41"/>
      <c r="M970" s="41"/>
      <c r="N970" s="41"/>
      <c r="O970" s="41"/>
      <c r="P970" s="41"/>
      <c r="Q970" s="41"/>
      <c r="R970" s="41"/>
      <c r="S970" s="41"/>
      <c r="T970" s="41"/>
      <c r="U970" s="41"/>
      <c r="V970" s="41"/>
      <c r="W970" s="41"/>
    </row>
    <row r="971" spans="1:23" ht="19.5" hidden="1" customHeight="1" x14ac:dyDescent="0.25">
      <c r="A971" s="51"/>
      <c r="B971" s="51"/>
      <c r="C971" s="64"/>
      <c r="D971" s="41"/>
      <c r="E971" s="41"/>
      <c r="F971" s="41"/>
      <c r="G971" s="41"/>
      <c r="H971" s="41"/>
      <c r="I971" s="41"/>
      <c r="J971" s="41"/>
      <c r="K971" s="41"/>
      <c r="L971" s="41"/>
      <c r="M971" s="41"/>
      <c r="N971" s="41"/>
      <c r="O971" s="41"/>
      <c r="P971" s="41"/>
      <c r="Q971" s="41"/>
      <c r="R971" s="41"/>
      <c r="S971" s="41"/>
      <c r="T971" s="41"/>
      <c r="U971" s="41"/>
      <c r="V971" s="41"/>
      <c r="W971" s="41"/>
    </row>
    <row r="972" spans="1:23" ht="19.5" hidden="1" customHeight="1" x14ac:dyDescent="0.25">
      <c r="A972" s="51"/>
      <c r="B972" s="51"/>
      <c r="C972" s="64"/>
      <c r="D972" s="41"/>
      <c r="E972" s="41"/>
      <c r="F972" s="41"/>
      <c r="G972" s="41"/>
      <c r="H972" s="41"/>
      <c r="I972" s="41"/>
      <c r="J972" s="41"/>
      <c r="K972" s="41"/>
      <c r="L972" s="41"/>
      <c r="M972" s="41"/>
      <c r="N972" s="41"/>
      <c r="O972" s="41"/>
      <c r="P972" s="41"/>
      <c r="Q972" s="41"/>
      <c r="R972" s="41"/>
      <c r="S972" s="41"/>
      <c r="T972" s="41"/>
      <c r="U972" s="41"/>
      <c r="V972" s="41"/>
      <c r="W972" s="41"/>
    </row>
    <row r="973" spans="1:23" ht="19.5" hidden="1" customHeight="1" x14ac:dyDescent="0.25">
      <c r="A973" s="51"/>
      <c r="B973" s="51"/>
      <c r="C973" s="64"/>
      <c r="D973" s="41"/>
      <c r="E973" s="41"/>
      <c r="F973" s="41"/>
      <c r="G973" s="41"/>
      <c r="H973" s="41"/>
      <c r="I973" s="41"/>
      <c r="J973" s="41"/>
      <c r="K973" s="41"/>
      <c r="L973" s="41"/>
      <c r="M973" s="41"/>
      <c r="N973" s="41"/>
      <c r="O973" s="41"/>
      <c r="P973" s="41"/>
      <c r="Q973" s="41"/>
      <c r="R973" s="41"/>
      <c r="S973" s="41"/>
      <c r="T973" s="41"/>
      <c r="U973" s="41"/>
      <c r="V973" s="41"/>
      <c r="W973" s="41"/>
    </row>
    <row r="974" spans="1:23" ht="19.5" hidden="1" customHeight="1" x14ac:dyDescent="0.25">
      <c r="A974" s="51"/>
      <c r="B974" s="51"/>
      <c r="C974" s="64"/>
      <c r="D974" s="41"/>
      <c r="E974" s="41"/>
      <c r="F974" s="41"/>
      <c r="G974" s="41"/>
      <c r="H974" s="41"/>
      <c r="I974" s="41"/>
      <c r="J974" s="41"/>
      <c r="K974" s="41"/>
      <c r="L974" s="41"/>
      <c r="M974" s="41"/>
      <c r="N974" s="41"/>
      <c r="O974" s="41"/>
      <c r="P974" s="41"/>
      <c r="Q974" s="41"/>
      <c r="R974" s="41"/>
      <c r="S974" s="41"/>
      <c r="T974" s="41"/>
      <c r="U974" s="41"/>
      <c r="V974" s="41"/>
      <c r="W974" s="41"/>
    </row>
    <row r="975" spans="1:23" ht="19.5" hidden="1" customHeight="1" x14ac:dyDescent="0.25">
      <c r="A975" s="51"/>
      <c r="B975" s="51"/>
      <c r="C975" s="64"/>
      <c r="D975" s="41"/>
      <c r="E975" s="41"/>
      <c r="F975" s="41"/>
      <c r="G975" s="41"/>
      <c r="H975" s="41"/>
      <c r="I975" s="41"/>
      <c r="J975" s="41"/>
      <c r="K975" s="41"/>
      <c r="L975" s="41"/>
      <c r="M975" s="41"/>
      <c r="N975" s="41"/>
      <c r="O975" s="41"/>
      <c r="P975" s="41"/>
      <c r="Q975" s="41"/>
      <c r="R975" s="41"/>
      <c r="S975" s="41"/>
      <c r="T975" s="41"/>
      <c r="U975" s="41"/>
      <c r="V975" s="41"/>
      <c r="W975" s="41"/>
    </row>
    <row r="976" spans="1:23" ht="19.5" hidden="1" customHeight="1" x14ac:dyDescent="0.25">
      <c r="A976" s="51"/>
      <c r="B976" s="51"/>
      <c r="C976" s="64"/>
      <c r="D976" s="41"/>
      <c r="E976" s="41"/>
      <c r="F976" s="41"/>
      <c r="G976" s="41"/>
      <c r="H976" s="41"/>
      <c r="I976" s="41"/>
      <c r="J976" s="41"/>
      <c r="K976" s="41"/>
      <c r="L976" s="41"/>
      <c r="M976" s="41"/>
      <c r="N976" s="41"/>
      <c r="O976" s="41"/>
      <c r="P976" s="41"/>
      <c r="Q976" s="41"/>
      <c r="R976" s="41"/>
      <c r="S976" s="41"/>
      <c r="T976" s="41"/>
      <c r="U976" s="41"/>
      <c r="V976" s="41"/>
      <c r="W976" s="41"/>
    </row>
    <row r="977" spans="1:23" ht="19.5" hidden="1" customHeight="1" x14ac:dyDescent="0.25">
      <c r="A977" s="51"/>
      <c r="B977" s="51"/>
      <c r="C977" s="64"/>
      <c r="D977" s="41"/>
      <c r="E977" s="41"/>
      <c r="F977" s="41"/>
      <c r="G977" s="41"/>
      <c r="H977" s="41"/>
      <c r="I977" s="41"/>
      <c r="J977" s="41"/>
      <c r="K977" s="41"/>
      <c r="L977" s="41"/>
      <c r="M977" s="41"/>
      <c r="N977" s="41"/>
      <c r="O977" s="41"/>
      <c r="P977" s="41"/>
      <c r="Q977" s="41"/>
      <c r="R977" s="41"/>
      <c r="S977" s="41"/>
      <c r="T977" s="41"/>
      <c r="U977" s="41"/>
      <c r="V977" s="41"/>
      <c r="W977" s="41"/>
    </row>
    <row r="978" spans="1:23" ht="19.5" hidden="1" customHeight="1" x14ac:dyDescent="0.25">
      <c r="A978" s="51"/>
      <c r="B978" s="51"/>
      <c r="C978" s="64"/>
      <c r="D978" s="41"/>
      <c r="E978" s="41"/>
      <c r="F978" s="41"/>
      <c r="G978" s="41"/>
      <c r="H978" s="41"/>
      <c r="I978" s="41"/>
      <c r="J978" s="41"/>
      <c r="K978" s="41"/>
      <c r="L978" s="41"/>
      <c r="M978" s="41"/>
      <c r="N978" s="41"/>
      <c r="O978" s="41"/>
      <c r="P978" s="41"/>
      <c r="Q978" s="41"/>
      <c r="R978" s="41"/>
      <c r="S978" s="41"/>
      <c r="T978" s="41"/>
      <c r="U978" s="41"/>
      <c r="V978" s="41"/>
      <c r="W978" s="41"/>
    </row>
    <row r="979" spans="1:23" ht="19.5" hidden="1" customHeight="1" x14ac:dyDescent="0.25">
      <c r="A979" s="51"/>
      <c r="B979" s="51"/>
      <c r="C979" s="64"/>
      <c r="D979" s="41"/>
      <c r="E979" s="41"/>
      <c r="F979" s="41"/>
      <c r="G979" s="41"/>
      <c r="H979" s="41"/>
      <c r="I979" s="41"/>
      <c r="J979" s="41"/>
      <c r="K979" s="41"/>
      <c r="L979" s="41"/>
      <c r="M979" s="41"/>
      <c r="N979" s="41"/>
      <c r="O979" s="41"/>
      <c r="P979" s="41"/>
      <c r="Q979" s="41"/>
      <c r="R979" s="41"/>
      <c r="S979" s="41"/>
      <c r="T979" s="41"/>
      <c r="U979" s="41"/>
      <c r="V979" s="41"/>
      <c r="W979" s="41"/>
    </row>
    <row r="980" spans="1:23" ht="19.5" hidden="1" customHeight="1" x14ac:dyDescent="0.25">
      <c r="A980" s="51"/>
      <c r="B980" s="51"/>
      <c r="C980" s="64"/>
      <c r="D980" s="41"/>
      <c r="E980" s="41"/>
      <c r="F980" s="41"/>
      <c r="G980" s="41"/>
      <c r="H980" s="41"/>
      <c r="I980" s="41"/>
      <c r="J980" s="41"/>
      <c r="K980" s="41"/>
      <c r="L980" s="41"/>
      <c r="M980" s="41"/>
      <c r="N980" s="41"/>
      <c r="O980" s="41"/>
      <c r="P980" s="41"/>
      <c r="Q980" s="41"/>
      <c r="R980" s="41"/>
      <c r="S980" s="41"/>
      <c r="T980" s="41"/>
      <c r="U980" s="41"/>
      <c r="V980" s="41"/>
      <c r="W980" s="41"/>
    </row>
    <row r="981" spans="1:23" ht="19.5" hidden="1" customHeight="1" x14ac:dyDescent="0.25">
      <c r="A981" s="51"/>
      <c r="B981" s="51"/>
      <c r="C981" s="64"/>
      <c r="D981" s="41"/>
      <c r="E981" s="41"/>
      <c r="F981" s="41"/>
      <c r="G981" s="41"/>
      <c r="H981" s="41"/>
      <c r="I981" s="41"/>
      <c r="J981" s="41"/>
      <c r="K981" s="41"/>
      <c r="L981" s="41"/>
      <c r="M981" s="41"/>
      <c r="N981" s="41"/>
      <c r="O981" s="41"/>
      <c r="P981" s="41"/>
      <c r="Q981" s="41"/>
      <c r="R981" s="41"/>
      <c r="S981" s="41"/>
      <c r="T981" s="41"/>
      <c r="U981" s="41"/>
      <c r="V981" s="41"/>
      <c r="W981" s="41"/>
    </row>
    <row r="982" spans="1:23" ht="19.5" hidden="1" customHeight="1" x14ac:dyDescent="0.25">
      <c r="A982" s="51"/>
      <c r="B982" s="51"/>
      <c r="C982" s="64"/>
      <c r="D982" s="41"/>
      <c r="E982" s="41"/>
      <c r="F982" s="41"/>
      <c r="G982" s="41"/>
      <c r="H982" s="41"/>
      <c r="I982" s="41"/>
      <c r="J982" s="41"/>
      <c r="K982" s="41"/>
      <c r="L982" s="41"/>
      <c r="M982" s="41"/>
      <c r="N982" s="41"/>
      <c r="O982" s="41"/>
      <c r="P982" s="41"/>
      <c r="Q982" s="41"/>
      <c r="R982" s="41"/>
      <c r="S982" s="41"/>
      <c r="T982" s="41"/>
      <c r="U982" s="41"/>
      <c r="V982" s="41"/>
      <c r="W982" s="41"/>
    </row>
    <row r="983" spans="1:23" ht="19.5" hidden="1" customHeight="1" x14ac:dyDescent="0.25">
      <c r="A983" s="51"/>
      <c r="B983" s="51"/>
      <c r="C983" s="64"/>
      <c r="D983" s="41"/>
      <c r="E983" s="41"/>
      <c r="F983" s="41"/>
      <c r="G983" s="41"/>
      <c r="H983" s="41"/>
      <c r="I983" s="41"/>
      <c r="J983" s="41"/>
      <c r="K983" s="41"/>
      <c r="L983" s="41"/>
      <c r="M983" s="41"/>
      <c r="N983" s="41"/>
      <c r="O983" s="41"/>
      <c r="P983" s="41"/>
      <c r="Q983" s="41"/>
      <c r="R983" s="41"/>
      <c r="S983" s="41"/>
      <c r="T983" s="41"/>
      <c r="U983" s="41"/>
      <c r="V983" s="41"/>
      <c r="W983" s="41"/>
    </row>
    <row r="984" spans="1:23" ht="19.5" hidden="1" customHeight="1" x14ac:dyDescent="0.25">
      <c r="A984" s="51"/>
      <c r="B984" s="51"/>
      <c r="C984" s="64"/>
      <c r="D984" s="41"/>
      <c r="E984" s="41"/>
      <c r="F984" s="41"/>
      <c r="G984" s="41"/>
      <c r="H984" s="41"/>
      <c r="I984" s="41"/>
      <c r="J984" s="41"/>
      <c r="K984" s="41"/>
      <c r="L984" s="41"/>
      <c r="M984" s="41"/>
      <c r="N984" s="41"/>
      <c r="O984" s="41"/>
      <c r="P984" s="41"/>
      <c r="Q984" s="41"/>
      <c r="R984" s="41"/>
      <c r="S984" s="41"/>
      <c r="T984" s="41"/>
      <c r="U984" s="41"/>
      <c r="V984" s="41"/>
      <c r="W984" s="41"/>
    </row>
    <row r="985" spans="1:23" ht="19.5" hidden="1" customHeight="1" x14ac:dyDescent="0.25">
      <c r="A985" s="51"/>
      <c r="B985" s="51"/>
      <c r="C985" s="64"/>
      <c r="D985" s="41"/>
      <c r="E985" s="41"/>
      <c r="F985" s="41"/>
      <c r="G985" s="41"/>
      <c r="H985" s="41"/>
      <c r="I985" s="41"/>
      <c r="J985" s="41"/>
      <c r="K985" s="41"/>
      <c r="L985" s="41"/>
      <c r="M985" s="41"/>
      <c r="N985" s="41"/>
      <c r="O985" s="41"/>
      <c r="P985" s="41"/>
      <c r="Q985" s="41"/>
      <c r="R985" s="41"/>
      <c r="S985" s="41"/>
      <c r="T985" s="41"/>
      <c r="U985" s="41"/>
      <c r="V985" s="41"/>
      <c r="W985" s="41"/>
    </row>
    <row r="986" spans="1:23" ht="19.5" hidden="1" customHeight="1" x14ac:dyDescent="0.25">
      <c r="A986" s="51"/>
      <c r="B986" s="51"/>
      <c r="C986" s="64"/>
      <c r="D986" s="41"/>
      <c r="E986" s="41"/>
      <c r="F986" s="41"/>
      <c r="G986" s="41"/>
      <c r="H986" s="41"/>
      <c r="I986" s="41"/>
      <c r="J986" s="41"/>
      <c r="K986" s="41"/>
      <c r="L986" s="41"/>
      <c r="M986" s="41"/>
      <c r="N986" s="41"/>
      <c r="O986" s="41"/>
      <c r="P986" s="41"/>
      <c r="Q986" s="41"/>
      <c r="R986" s="41"/>
      <c r="S986" s="41"/>
      <c r="T986" s="41"/>
      <c r="U986" s="41"/>
      <c r="V986" s="41"/>
      <c r="W986" s="41"/>
    </row>
    <row r="987" spans="1:23" ht="19.5" hidden="1" customHeight="1" x14ac:dyDescent="0.25">
      <c r="A987" s="51"/>
      <c r="B987" s="51"/>
      <c r="C987" s="64"/>
      <c r="D987" s="41"/>
      <c r="E987" s="41"/>
      <c r="F987" s="41"/>
      <c r="G987" s="41"/>
      <c r="H987" s="41"/>
      <c r="I987" s="41"/>
      <c r="J987" s="41"/>
      <c r="K987" s="41"/>
      <c r="L987" s="41"/>
      <c r="M987" s="41"/>
      <c r="N987" s="41"/>
      <c r="O987" s="41"/>
      <c r="P987" s="41"/>
      <c r="Q987" s="41"/>
      <c r="R987" s="41"/>
      <c r="S987" s="41"/>
      <c r="T987" s="41"/>
      <c r="U987" s="41"/>
      <c r="V987" s="41"/>
      <c r="W987" s="41"/>
    </row>
    <row r="988" spans="1:23" ht="19.5" hidden="1" customHeight="1" x14ac:dyDescent="0.25">
      <c r="A988" s="51"/>
      <c r="B988" s="51"/>
      <c r="C988" s="64"/>
      <c r="D988" s="41"/>
      <c r="E988" s="41"/>
      <c r="F988" s="41"/>
      <c r="G988" s="41"/>
      <c r="H988" s="41"/>
      <c r="I988" s="41"/>
      <c r="J988" s="41"/>
      <c r="K988" s="41"/>
      <c r="L988" s="41"/>
      <c r="M988" s="41"/>
      <c r="N988" s="41"/>
      <c r="O988" s="41"/>
      <c r="P988" s="41"/>
      <c r="Q988" s="41"/>
      <c r="R988" s="41"/>
      <c r="S988" s="41"/>
      <c r="T988" s="41"/>
      <c r="U988" s="41"/>
      <c r="V988" s="41"/>
      <c r="W988" s="41"/>
    </row>
    <row r="989" spans="1:23" ht="19.5" hidden="1" customHeight="1" x14ac:dyDescent="0.25">
      <c r="A989" s="51"/>
      <c r="B989" s="51"/>
      <c r="C989" s="64"/>
      <c r="D989" s="41"/>
      <c r="E989" s="41"/>
      <c r="F989" s="41"/>
      <c r="G989" s="41"/>
      <c r="H989" s="41"/>
      <c r="I989" s="41"/>
      <c r="J989" s="41"/>
      <c r="K989" s="41"/>
      <c r="L989" s="41"/>
      <c r="M989" s="41"/>
      <c r="N989" s="41"/>
      <c r="O989" s="41"/>
      <c r="P989" s="41"/>
      <c r="Q989" s="41"/>
      <c r="R989" s="41"/>
      <c r="S989" s="41"/>
      <c r="T989" s="41"/>
      <c r="U989" s="41"/>
      <c r="V989" s="41"/>
      <c r="W989" s="41"/>
    </row>
    <row r="990" spans="1:23" ht="19.5" hidden="1" customHeight="1" x14ac:dyDescent="0.25">
      <c r="A990" s="51"/>
      <c r="B990" s="51"/>
      <c r="C990" s="64"/>
      <c r="D990" s="41"/>
      <c r="E990" s="41"/>
      <c r="F990" s="41"/>
      <c r="G990" s="41"/>
      <c r="H990" s="41"/>
      <c r="I990" s="41"/>
      <c r="J990" s="41"/>
      <c r="K990" s="41"/>
      <c r="L990" s="41"/>
      <c r="M990" s="41"/>
      <c r="N990" s="41"/>
      <c r="O990" s="41"/>
      <c r="P990" s="41"/>
      <c r="Q990" s="41"/>
      <c r="R990" s="41"/>
      <c r="S990" s="41"/>
      <c r="T990" s="41"/>
      <c r="U990" s="41"/>
      <c r="V990" s="41"/>
      <c r="W990" s="41"/>
    </row>
    <row r="991" spans="1:23" ht="19.5" hidden="1" customHeight="1" x14ac:dyDescent="0.25">
      <c r="A991" s="51"/>
      <c r="B991" s="51"/>
      <c r="C991" s="64"/>
      <c r="D991" s="41"/>
      <c r="E991" s="41"/>
      <c r="F991" s="41"/>
      <c r="G991" s="41"/>
      <c r="H991" s="41"/>
      <c r="I991" s="41"/>
      <c r="J991" s="41"/>
      <c r="K991" s="41"/>
      <c r="L991" s="41"/>
      <c r="M991" s="41"/>
      <c r="N991" s="41"/>
      <c r="O991" s="41"/>
      <c r="P991" s="41"/>
      <c r="Q991" s="41"/>
      <c r="R991" s="41"/>
      <c r="S991" s="41"/>
      <c r="T991" s="41"/>
      <c r="U991" s="41"/>
      <c r="V991" s="41"/>
      <c r="W991" s="41"/>
    </row>
    <row r="992" spans="1:23" ht="19.5" hidden="1" customHeight="1" x14ac:dyDescent="0.25">
      <c r="A992" s="51"/>
      <c r="B992" s="51"/>
      <c r="C992" s="64"/>
      <c r="D992" s="41"/>
      <c r="E992" s="41"/>
      <c r="F992" s="41"/>
      <c r="G992" s="41"/>
      <c r="H992" s="41"/>
      <c r="I992" s="41"/>
      <c r="J992" s="41"/>
      <c r="K992" s="41"/>
      <c r="L992" s="41"/>
      <c r="M992" s="41"/>
      <c r="N992" s="41"/>
      <c r="O992" s="41"/>
      <c r="P992" s="41"/>
      <c r="Q992" s="41"/>
      <c r="R992" s="41"/>
      <c r="S992" s="41"/>
      <c r="T992" s="41"/>
      <c r="U992" s="41"/>
      <c r="V992" s="41"/>
      <c r="W992" s="41"/>
    </row>
    <row r="993" spans="1:23" ht="19.5" hidden="1" customHeight="1" x14ac:dyDescent="0.25">
      <c r="A993" s="51"/>
      <c r="B993" s="51"/>
      <c r="C993" s="64"/>
      <c r="D993" s="41"/>
      <c r="E993" s="41"/>
      <c r="F993" s="41"/>
      <c r="G993" s="41"/>
      <c r="H993" s="41"/>
      <c r="I993" s="41"/>
      <c r="J993" s="41"/>
      <c r="K993" s="41"/>
      <c r="L993" s="41"/>
      <c r="M993" s="41"/>
      <c r="N993" s="41"/>
      <c r="O993" s="41"/>
      <c r="P993" s="41"/>
      <c r="Q993" s="41"/>
      <c r="R993" s="41"/>
      <c r="S993" s="41"/>
      <c r="T993" s="41"/>
      <c r="U993" s="41"/>
      <c r="V993" s="41"/>
      <c r="W993" s="41"/>
    </row>
    <row r="994" spans="1:23" ht="19.5" hidden="1" customHeight="1" x14ac:dyDescent="0.25">
      <c r="A994" s="51"/>
      <c r="B994" s="51"/>
      <c r="C994" s="64"/>
      <c r="D994" s="41"/>
      <c r="E994" s="41"/>
      <c r="F994" s="41"/>
      <c r="G994" s="41"/>
      <c r="H994" s="41"/>
      <c r="I994" s="41"/>
      <c r="J994" s="41"/>
      <c r="K994" s="41"/>
      <c r="L994" s="41"/>
      <c r="M994" s="41"/>
      <c r="N994" s="41"/>
      <c r="O994" s="41"/>
      <c r="P994" s="41"/>
      <c r="Q994" s="41"/>
      <c r="R994" s="41"/>
      <c r="S994" s="41"/>
      <c r="T994" s="41"/>
      <c r="U994" s="41"/>
      <c r="V994" s="41"/>
      <c r="W994" s="41"/>
    </row>
    <row r="995" spans="1:23" ht="19.5" hidden="1" customHeight="1" x14ac:dyDescent="0.25">
      <c r="A995" s="51"/>
      <c r="B995" s="51"/>
      <c r="C995" s="64"/>
      <c r="D995" s="41"/>
      <c r="E995" s="41"/>
      <c r="F995" s="41"/>
      <c r="G995" s="41"/>
      <c r="H995" s="41"/>
      <c r="I995" s="41"/>
      <c r="J995" s="41"/>
      <c r="K995" s="41"/>
      <c r="L995" s="41"/>
      <c r="M995" s="41"/>
      <c r="N995" s="41"/>
      <c r="O995" s="41"/>
      <c r="P995" s="41"/>
      <c r="Q995" s="41"/>
      <c r="R995" s="41"/>
      <c r="S995" s="41"/>
      <c r="T995" s="41"/>
      <c r="U995" s="41"/>
      <c r="V995" s="41"/>
      <c r="W995" s="41"/>
    </row>
    <row r="996" spans="1:23" ht="19.5" hidden="1" customHeight="1" x14ac:dyDescent="0.25">
      <c r="A996" s="51"/>
      <c r="B996" s="51"/>
      <c r="C996" s="64"/>
      <c r="D996" s="41"/>
      <c r="E996" s="41"/>
      <c r="F996" s="41"/>
      <c r="G996" s="41"/>
      <c r="H996" s="41"/>
      <c r="I996" s="41"/>
      <c r="J996" s="41"/>
      <c r="K996" s="41"/>
      <c r="L996" s="41"/>
      <c r="M996" s="41"/>
      <c r="N996" s="41"/>
      <c r="O996" s="41"/>
      <c r="P996" s="41"/>
      <c r="Q996" s="41"/>
      <c r="R996" s="41"/>
      <c r="S996" s="41"/>
      <c r="T996" s="41"/>
      <c r="U996" s="41"/>
      <c r="V996" s="41"/>
      <c r="W996" s="41"/>
    </row>
    <row r="997" spans="1:23" ht="19.5" hidden="1" customHeight="1" x14ac:dyDescent="0.25">
      <c r="A997" s="51"/>
      <c r="B997" s="51"/>
      <c r="C997" s="64"/>
      <c r="D997" s="41"/>
      <c r="E997" s="41"/>
      <c r="F997" s="41"/>
      <c r="G997" s="41"/>
      <c r="H997" s="41"/>
      <c r="I997" s="41"/>
      <c r="J997" s="41"/>
      <c r="K997" s="41"/>
      <c r="L997" s="41"/>
      <c r="M997" s="41"/>
      <c r="N997" s="41"/>
      <c r="O997" s="41"/>
      <c r="P997" s="41"/>
      <c r="Q997" s="41"/>
      <c r="R997" s="41"/>
      <c r="S997" s="41"/>
      <c r="T997" s="41"/>
      <c r="U997" s="41"/>
      <c r="V997" s="41"/>
      <c r="W997" s="41"/>
    </row>
  </sheetData>
  <autoFilter ref="A1:N170" xr:uid="{00000000-0009-0000-0000-000004000000}"/>
  <conditionalFormatting sqref="B2:Q180">
    <cfRule type="containsBlanks" dxfId="3" priority="2">
      <formula>LEN(TRIM(B2))=0</formula>
    </cfRule>
  </conditionalFormatting>
  <conditionalFormatting sqref="R1">
    <cfRule type="containsBlanks" dxfId="2" priority="1">
      <formula>LEN(TRIM(R1))=0</formula>
    </cfRule>
  </conditionalFormatting>
  <conditionalFormatting sqref="A2:A180">
    <cfRule type="containsBlanks" dxfId="1" priority="3">
      <formula>LEN(TRIM(A2))=0</formula>
    </cfRule>
  </conditionalFormatting>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filterMode="1">
    <tabColor theme="1" tint="0.499984740745262"/>
  </sheetPr>
  <dimension ref="A1:AL997"/>
  <sheetViews>
    <sheetView showGridLines="0" workbookViewId="0">
      <pane ySplit="1" topLeftCell="A2" activePane="bottomLeft" state="frozen"/>
      <selection pane="bottomLeft" activeCell="B23" sqref="B23"/>
    </sheetView>
  </sheetViews>
  <sheetFormatPr baseColWidth="10" defaultColWidth="0" defaultRowHeight="15" customHeight="1" zeroHeight="1" x14ac:dyDescent="0.25"/>
  <cols>
    <col min="1" max="1" width="20.85546875" style="33" customWidth="1"/>
    <col min="2" max="2" width="22.85546875" style="33" customWidth="1"/>
    <col min="3" max="3" width="29" style="33" customWidth="1"/>
    <col min="4" max="4" width="19.7109375" style="33" customWidth="1"/>
    <col min="5" max="5" width="18.5703125" style="33" customWidth="1"/>
    <col min="6" max="7" width="14" style="33" customWidth="1"/>
    <col min="8" max="9" width="14.28515625" style="33" customWidth="1"/>
    <col min="10" max="11" width="14" style="33" customWidth="1"/>
    <col min="12" max="13" width="15.5703125" style="33" customWidth="1"/>
    <col min="14" max="15" width="14.5703125" style="33" customWidth="1"/>
    <col min="16" max="16" width="12.5703125" style="33" customWidth="1"/>
    <col min="17" max="17" width="14.5703125" style="33" customWidth="1"/>
    <col min="18" max="18" width="11.42578125" style="33" customWidth="1"/>
    <col min="19" max="38" width="11.42578125" style="33" hidden="1" customWidth="1"/>
    <col min="39" max="16384" width="14.42578125" style="33" hidden="1"/>
  </cols>
  <sheetData>
    <row r="1" spans="1:38" ht="75" x14ac:dyDescent="0.25">
      <c r="A1" s="31" t="s">
        <v>10</v>
      </c>
      <c r="B1" s="31" t="s">
        <v>379</v>
      </c>
      <c r="C1" s="31" t="s">
        <v>380</v>
      </c>
      <c r="D1" s="32" t="s">
        <v>381</v>
      </c>
      <c r="E1" s="32" t="s">
        <v>382</v>
      </c>
      <c r="F1" s="31" t="s">
        <v>383</v>
      </c>
      <c r="G1" s="31" t="s">
        <v>384</v>
      </c>
      <c r="H1" s="31" t="s">
        <v>385</v>
      </c>
      <c r="I1" s="31" t="s">
        <v>386</v>
      </c>
      <c r="J1" s="31" t="s">
        <v>387</v>
      </c>
      <c r="K1" s="31" t="s">
        <v>388</v>
      </c>
      <c r="L1" s="31" t="s">
        <v>389</v>
      </c>
      <c r="M1" s="31" t="s">
        <v>390</v>
      </c>
      <c r="N1" s="31" t="s">
        <v>391</v>
      </c>
      <c r="O1" s="31" t="s">
        <v>392</v>
      </c>
      <c r="P1" s="31" t="s">
        <v>393</v>
      </c>
      <c r="Q1" s="31" t="s">
        <v>394</v>
      </c>
    </row>
    <row r="2" spans="1:38" hidden="1" x14ac:dyDescent="0.25">
      <c r="A2" s="34" t="s">
        <v>39</v>
      </c>
      <c r="B2" s="35">
        <v>10</v>
      </c>
      <c r="C2" s="35">
        <v>1</v>
      </c>
      <c r="D2" s="35">
        <v>15</v>
      </c>
      <c r="E2" s="36">
        <v>0.6</v>
      </c>
      <c r="F2" s="37"/>
      <c r="G2" s="37"/>
      <c r="H2" s="37"/>
      <c r="I2" s="37"/>
      <c r="J2" s="37"/>
      <c r="K2" s="37"/>
      <c r="L2" s="37"/>
      <c r="M2" s="37"/>
      <c r="N2" s="37"/>
      <c r="O2" s="37"/>
      <c r="P2" s="37"/>
      <c r="Q2" s="37"/>
    </row>
    <row r="3" spans="1:38" hidden="1" x14ac:dyDescent="0.25">
      <c r="A3" s="34" t="s">
        <v>44</v>
      </c>
      <c r="B3" s="35">
        <v>3</v>
      </c>
      <c r="C3" s="35">
        <v>1</v>
      </c>
      <c r="D3" s="35">
        <v>18</v>
      </c>
      <c r="E3" s="36">
        <v>1</v>
      </c>
      <c r="F3" s="37"/>
      <c r="G3" s="37"/>
      <c r="H3" s="37"/>
      <c r="I3" s="37"/>
      <c r="J3" s="37"/>
      <c r="K3" s="37"/>
      <c r="L3" s="37"/>
      <c r="M3" s="37"/>
      <c r="N3" s="37"/>
      <c r="O3" s="37"/>
      <c r="P3" s="37"/>
      <c r="Q3" s="37"/>
    </row>
    <row r="4" spans="1:38" hidden="1" x14ac:dyDescent="0.25">
      <c r="A4" s="34" t="s">
        <v>46</v>
      </c>
      <c r="B4" s="35">
        <v>0</v>
      </c>
      <c r="C4" s="35">
        <v>1</v>
      </c>
      <c r="D4" s="35">
        <v>1</v>
      </c>
      <c r="E4" s="36">
        <v>0.33333333333333331</v>
      </c>
      <c r="F4" s="37"/>
      <c r="G4" s="37"/>
      <c r="H4" s="37"/>
      <c r="I4" s="37"/>
      <c r="J4" s="37"/>
      <c r="K4" s="37"/>
      <c r="L4" s="37"/>
      <c r="M4" s="37"/>
      <c r="N4" s="37"/>
      <c r="O4" s="37"/>
      <c r="P4" s="37"/>
      <c r="Q4" s="37"/>
    </row>
    <row r="5" spans="1:38" hidden="1" x14ac:dyDescent="0.25">
      <c r="A5" s="34" t="s">
        <v>48</v>
      </c>
      <c r="B5" s="35">
        <v>0</v>
      </c>
      <c r="C5" s="35">
        <v>1</v>
      </c>
      <c r="D5" s="35">
        <v>12</v>
      </c>
      <c r="E5" s="36">
        <v>1</v>
      </c>
      <c r="F5" s="37"/>
      <c r="G5" s="37"/>
      <c r="H5" s="37"/>
      <c r="I5" s="37"/>
      <c r="J5" s="37"/>
      <c r="K5" s="37"/>
      <c r="L5" s="37"/>
      <c r="M5" s="37"/>
      <c r="N5" s="37"/>
      <c r="O5" s="37"/>
      <c r="P5" s="37"/>
      <c r="Q5" s="37"/>
    </row>
    <row r="6" spans="1:38" hidden="1" x14ac:dyDescent="0.25">
      <c r="A6" s="34" t="s">
        <v>50</v>
      </c>
      <c r="B6" s="35">
        <v>0</v>
      </c>
      <c r="C6" s="35">
        <v>0</v>
      </c>
      <c r="D6" s="35">
        <v>2</v>
      </c>
      <c r="E6" s="36">
        <v>0.5</v>
      </c>
      <c r="F6" s="37"/>
      <c r="G6" s="37"/>
      <c r="H6" s="37"/>
      <c r="I6" s="37"/>
      <c r="J6" s="37"/>
      <c r="K6" s="37"/>
      <c r="L6" s="37"/>
      <c r="M6" s="37"/>
      <c r="N6" s="37"/>
      <c r="O6" s="37"/>
      <c r="P6" s="37"/>
      <c r="Q6" s="37"/>
    </row>
    <row r="7" spans="1:38" hidden="1" x14ac:dyDescent="0.25">
      <c r="A7" s="34" t="s">
        <v>52</v>
      </c>
      <c r="B7" s="35">
        <v>1</v>
      </c>
      <c r="C7" s="35">
        <v>1</v>
      </c>
      <c r="D7" s="35">
        <v>2</v>
      </c>
      <c r="E7" s="36">
        <v>1</v>
      </c>
      <c r="F7" s="37"/>
      <c r="G7" s="37"/>
      <c r="H7" s="37"/>
      <c r="I7" s="37"/>
      <c r="J7" s="37"/>
      <c r="K7" s="37"/>
      <c r="L7" s="37"/>
      <c r="M7" s="37"/>
      <c r="N7" s="37"/>
      <c r="O7" s="37"/>
      <c r="P7" s="37"/>
      <c r="Q7" s="37"/>
    </row>
    <row r="8" spans="1:38" hidden="1" x14ac:dyDescent="0.25">
      <c r="A8" s="34" t="s">
        <v>62</v>
      </c>
      <c r="B8" s="35">
        <v>2</v>
      </c>
      <c r="C8" s="35">
        <v>1</v>
      </c>
      <c r="D8" s="35">
        <v>6</v>
      </c>
      <c r="E8" s="36">
        <v>1</v>
      </c>
      <c r="F8" s="37"/>
      <c r="G8" s="37"/>
      <c r="H8" s="37"/>
      <c r="I8" s="37"/>
      <c r="J8" s="37"/>
      <c r="K8" s="37"/>
      <c r="L8" s="37"/>
      <c r="M8" s="37"/>
      <c r="N8" s="37"/>
      <c r="O8" s="37"/>
      <c r="P8" s="37"/>
      <c r="Q8" s="37"/>
    </row>
    <row r="9" spans="1:38" hidden="1" x14ac:dyDescent="0.25">
      <c r="A9" s="34" t="s">
        <v>64</v>
      </c>
      <c r="B9" s="35">
        <v>1</v>
      </c>
      <c r="C9" s="35">
        <v>1</v>
      </c>
      <c r="D9" s="35">
        <v>1</v>
      </c>
      <c r="E9" s="36">
        <v>1</v>
      </c>
      <c r="F9" s="37"/>
      <c r="G9" s="37"/>
      <c r="H9" s="37"/>
      <c r="I9" s="37"/>
      <c r="J9" s="37"/>
      <c r="K9" s="37"/>
      <c r="L9" s="37"/>
      <c r="M9" s="37"/>
      <c r="N9" s="37"/>
      <c r="O9" s="37"/>
      <c r="P9" s="37"/>
      <c r="Q9" s="37"/>
    </row>
    <row r="10" spans="1:38" hidden="1" x14ac:dyDescent="0.25">
      <c r="A10" s="34" t="s">
        <v>66</v>
      </c>
      <c r="B10" s="35">
        <v>0</v>
      </c>
      <c r="C10" s="35">
        <v>1</v>
      </c>
      <c r="D10" s="35">
        <v>0</v>
      </c>
      <c r="E10" s="36">
        <v>1</v>
      </c>
      <c r="F10" s="37"/>
      <c r="G10" s="37"/>
      <c r="H10" s="37"/>
      <c r="I10" s="37"/>
      <c r="J10" s="37"/>
      <c r="K10" s="37"/>
      <c r="L10" s="37"/>
      <c r="M10" s="37"/>
      <c r="N10" s="37"/>
      <c r="O10" s="37"/>
      <c r="P10" s="37"/>
      <c r="Q10" s="37"/>
    </row>
    <row r="11" spans="1:38" hidden="1" x14ac:dyDescent="0.25">
      <c r="A11" s="34" t="s">
        <v>68</v>
      </c>
      <c r="B11" s="35">
        <v>600</v>
      </c>
      <c r="C11" s="35">
        <v>1</v>
      </c>
      <c r="D11" s="35">
        <v>400</v>
      </c>
      <c r="E11" s="36">
        <v>0.5</v>
      </c>
      <c r="F11" s="37"/>
      <c r="G11" s="37"/>
      <c r="H11" s="37"/>
      <c r="I11" s="37"/>
      <c r="J11" s="37"/>
      <c r="K11" s="37"/>
      <c r="L11" s="37"/>
      <c r="M11" s="37"/>
      <c r="N11" s="37"/>
      <c r="O11" s="37"/>
      <c r="P11" s="37"/>
      <c r="Q11" s="37"/>
    </row>
    <row r="12" spans="1:38" hidden="1" x14ac:dyDescent="0.25">
      <c r="A12" s="34" t="s">
        <v>70</v>
      </c>
      <c r="B12" s="35">
        <v>45</v>
      </c>
      <c r="C12" s="35">
        <v>1</v>
      </c>
      <c r="D12" s="35">
        <v>25</v>
      </c>
      <c r="E12" s="36">
        <v>0.5</v>
      </c>
      <c r="F12" s="37"/>
      <c r="G12" s="37"/>
      <c r="H12" s="37"/>
      <c r="I12" s="37"/>
      <c r="J12" s="37"/>
      <c r="K12" s="37"/>
      <c r="L12" s="37"/>
      <c r="M12" s="37"/>
      <c r="N12" s="37"/>
      <c r="O12" s="37"/>
      <c r="P12" s="37"/>
      <c r="Q12" s="37"/>
    </row>
    <row r="13" spans="1:38" hidden="1" x14ac:dyDescent="0.25">
      <c r="A13" s="34" t="s">
        <v>72</v>
      </c>
      <c r="B13" s="35">
        <v>0</v>
      </c>
      <c r="C13" s="35">
        <v>1</v>
      </c>
      <c r="D13" s="35">
        <v>5</v>
      </c>
      <c r="E13" s="36">
        <v>0.5</v>
      </c>
      <c r="F13" s="37"/>
      <c r="G13" s="37"/>
      <c r="H13" s="37"/>
      <c r="I13" s="37"/>
      <c r="J13" s="37"/>
      <c r="K13" s="37"/>
      <c r="L13" s="37"/>
      <c r="M13" s="37"/>
      <c r="N13" s="37"/>
      <c r="O13" s="37"/>
      <c r="P13" s="37"/>
      <c r="Q13" s="37"/>
    </row>
    <row r="14" spans="1:38" hidden="1" x14ac:dyDescent="0.25">
      <c r="A14" s="34" t="s">
        <v>74</v>
      </c>
      <c r="B14" s="35">
        <v>1</v>
      </c>
      <c r="C14" s="35">
        <v>0.5</v>
      </c>
      <c r="D14" s="35">
        <v>7</v>
      </c>
      <c r="E14" s="36">
        <v>0.46666666666666667</v>
      </c>
      <c r="F14" s="37"/>
      <c r="G14" s="37"/>
      <c r="H14" s="37"/>
      <c r="I14" s="37"/>
      <c r="J14" s="37"/>
      <c r="K14" s="37"/>
      <c r="L14" s="37"/>
      <c r="M14" s="37"/>
      <c r="N14" s="37"/>
      <c r="O14" s="37"/>
      <c r="P14" s="37"/>
      <c r="Q14" s="37"/>
    </row>
    <row r="15" spans="1:38" hidden="1" x14ac:dyDescent="0.25">
      <c r="A15" s="34" t="s">
        <v>76</v>
      </c>
      <c r="B15" s="35">
        <v>2</v>
      </c>
      <c r="C15" s="35">
        <v>1</v>
      </c>
      <c r="D15" s="35">
        <v>1</v>
      </c>
      <c r="E15" s="36">
        <v>0.33333333333333331</v>
      </c>
      <c r="F15" s="37"/>
      <c r="G15" s="37"/>
      <c r="H15" s="37"/>
      <c r="I15" s="37"/>
      <c r="J15" s="37"/>
      <c r="K15" s="37"/>
      <c r="L15" s="37"/>
      <c r="M15" s="37"/>
      <c r="N15" s="37"/>
      <c r="O15" s="37"/>
      <c r="P15" s="37"/>
      <c r="Q15" s="37"/>
      <c r="AF15" s="38">
        <v>2920968</v>
      </c>
      <c r="AK15" s="33">
        <v>124296.51063829787</v>
      </c>
      <c r="AL15" s="33">
        <v>35465.857212238952</v>
      </c>
    </row>
    <row r="16" spans="1:38" hidden="1" x14ac:dyDescent="0.25">
      <c r="A16" s="34" t="s">
        <v>78</v>
      </c>
      <c r="B16" s="35">
        <v>55</v>
      </c>
      <c r="C16" s="35">
        <v>1</v>
      </c>
      <c r="D16" s="35">
        <v>28</v>
      </c>
      <c r="E16" s="36">
        <v>0.46666666666666667</v>
      </c>
      <c r="F16" s="37"/>
      <c r="G16" s="37"/>
      <c r="H16" s="37"/>
      <c r="I16" s="37"/>
      <c r="J16" s="37"/>
      <c r="K16" s="37"/>
      <c r="L16" s="37"/>
      <c r="M16" s="37"/>
      <c r="N16" s="37"/>
      <c r="O16" s="37"/>
      <c r="P16" s="37"/>
      <c r="Q16" s="37"/>
    </row>
    <row r="17" spans="1:17" hidden="1" x14ac:dyDescent="0.25">
      <c r="A17" s="34" t="s">
        <v>80</v>
      </c>
      <c r="B17" s="35">
        <v>60</v>
      </c>
      <c r="C17" s="35">
        <v>0.99999996026357174</v>
      </c>
      <c r="D17" s="35">
        <v>30</v>
      </c>
      <c r="E17" s="36">
        <v>0.74999998882412922</v>
      </c>
      <c r="F17" s="37"/>
      <c r="G17" s="37"/>
      <c r="H17" s="37"/>
      <c r="I17" s="37"/>
      <c r="J17" s="37"/>
      <c r="K17" s="37"/>
      <c r="L17" s="37"/>
      <c r="M17" s="37"/>
      <c r="N17" s="37"/>
      <c r="O17" s="37"/>
      <c r="P17" s="37"/>
      <c r="Q17" s="37"/>
    </row>
    <row r="18" spans="1:17" hidden="1" x14ac:dyDescent="0.25">
      <c r="A18" s="34" t="s">
        <v>82</v>
      </c>
      <c r="B18" s="35">
        <v>0</v>
      </c>
      <c r="C18" s="35">
        <v>1</v>
      </c>
      <c r="D18" s="35">
        <v>10</v>
      </c>
      <c r="E18" s="36">
        <v>0.66666666666666663</v>
      </c>
      <c r="F18" s="37"/>
      <c r="G18" s="37"/>
      <c r="H18" s="37"/>
      <c r="I18" s="37"/>
      <c r="J18" s="37"/>
      <c r="K18" s="37"/>
      <c r="L18" s="37"/>
      <c r="M18" s="37"/>
      <c r="N18" s="37"/>
      <c r="O18" s="37"/>
      <c r="P18" s="37"/>
      <c r="Q18" s="37"/>
    </row>
    <row r="19" spans="1:17" hidden="1" x14ac:dyDescent="0.25">
      <c r="A19" s="34" t="s">
        <v>84</v>
      </c>
      <c r="B19" s="35">
        <v>48</v>
      </c>
      <c r="C19" s="35">
        <v>1</v>
      </c>
      <c r="D19" s="35">
        <v>35</v>
      </c>
      <c r="E19" s="36">
        <v>0.50000000851494941</v>
      </c>
      <c r="F19" s="37"/>
      <c r="G19" s="37"/>
      <c r="H19" s="37"/>
      <c r="I19" s="37"/>
      <c r="J19" s="37"/>
      <c r="K19" s="37"/>
      <c r="L19" s="37"/>
      <c r="M19" s="37"/>
      <c r="N19" s="37"/>
      <c r="O19" s="37"/>
      <c r="P19" s="37"/>
      <c r="Q19" s="37"/>
    </row>
    <row r="20" spans="1:17" hidden="1" x14ac:dyDescent="0.25">
      <c r="A20" s="34" t="s">
        <v>86</v>
      </c>
      <c r="B20" s="35">
        <v>1</v>
      </c>
      <c r="C20" s="35">
        <v>1</v>
      </c>
      <c r="D20" s="35">
        <v>0</v>
      </c>
      <c r="E20" s="36">
        <v>1</v>
      </c>
      <c r="F20" s="37"/>
      <c r="G20" s="37"/>
      <c r="H20" s="37"/>
      <c r="I20" s="37"/>
      <c r="J20" s="37"/>
      <c r="K20" s="37"/>
      <c r="L20" s="37"/>
      <c r="M20" s="37"/>
      <c r="N20" s="37"/>
      <c r="O20" s="37"/>
      <c r="P20" s="37"/>
      <c r="Q20" s="37"/>
    </row>
    <row r="21" spans="1:17" ht="15.75" hidden="1" customHeight="1" x14ac:dyDescent="0.25">
      <c r="A21" s="34" t="s">
        <v>88</v>
      </c>
      <c r="B21" s="35">
        <v>0</v>
      </c>
      <c r="C21" s="35">
        <v>1</v>
      </c>
      <c r="D21" s="35">
        <v>0</v>
      </c>
      <c r="E21" s="36">
        <v>0</v>
      </c>
      <c r="F21" s="37"/>
      <c r="G21" s="37"/>
      <c r="H21" s="37"/>
      <c r="I21" s="37"/>
      <c r="J21" s="37"/>
      <c r="K21" s="37"/>
      <c r="L21" s="37"/>
      <c r="M21" s="37"/>
      <c r="N21" s="37"/>
      <c r="O21" s="37"/>
      <c r="P21" s="37"/>
      <c r="Q21" s="37"/>
    </row>
    <row r="22" spans="1:17" ht="15.75" hidden="1" customHeight="1" x14ac:dyDescent="0.25">
      <c r="A22" s="34" t="s">
        <v>229</v>
      </c>
      <c r="B22" s="35">
        <v>0</v>
      </c>
      <c r="C22" s="35">
        <v>1</v>
      </c>
      <c r="D22" s="35">
        <v>0</v>
      </c>
      <c r="E22" s="36">
        <v>0</v>
      </c>
      <c r="F22" s="37"/>
      <c r="G22" s="37"/>
      <c r="H22" s="37"/>
      <c r="I22" s="37"/>
      <c r="J22" s="37"/>
      <c r="K22" s="37"/>
      <c r="L22" s="37"/>
      <c r="M22" s="37"/>
      <c r="N22" s="37"/>
      <c r="O22" s="37"/>
      <c r="P22" s="37"/>
      <c r="Q22" s="37"/>
    </row>
    <row r="23" spans="1:17" ht="15.75" hidden="1" customHeight="1" x14ac:dyDescent="0.25">
      <c r="A23" s="34" t="s">
        <v>96</v>
      </c>
      <c r="B23" s="35">
        <v>15</v>
      </c>
      <c r="C23" s="35">
        <v>1</v>
      </c>
      <c r="D23" s="35">
        <v>15</v>
      </c>
      <c r="E23" s="36">
        <v>0.3</v>
      </c>
      <c r="F23" s="37"/>
      <c r="G23" s="37"/>
      <c r="H23" s="37"/>
      <c r="I23" s="37"/>
      <c r="J23" s="37"/>
      <c r="K23" s="37"/>
      <c r="L23" s="37"/>
      <c r="M23" s="37"/>
      <c r="N23" s="37"/>
      <c r="O23" s="37"/>
      <c r="P23" s="37"/>
      <c r="Q23" s="37"/>
    </row>
    <row r="24" spans="1:17" ht="15.75" hidden="1" customHeight="1" x14ac:dyDescent="0.25">
      <c r="A24" s="34" t="s">
        <v>98</v>
      </c>
      <c r="B24" s="35">
        <v>4</v>
      </c>
      <c r="C24" s="35">
        <v>1</v>
      </c>
      <c r="D24" s="35">
        <v>12</v>
      </c>
      <c r="E24" s="36">
        <v>0.6</v>
      </c>
      <c r="F24" s="37"/>
      <c r="G24" s="37"/>
      <c r="H24" s="37"/>
      <c r="I24" s="37"/>
      <c r="J24" s="37"/>
      <c r="K24" s="37"/>
      <c r="L24" s="37"/>
      <c r="M24" s="37"/>
      <c r="N24" s="37"/>
      <c r="O24" s="37"/>
      <c r="P24" s="37"/>
      <c r="Q24" s="37"/>
    </row>
    <row r="25" spans="1:17" ht="15.75" hidden="1" customHeight="1" x14ac:dyDescent="0.25">
      <c r="A25" s="34" t="s">
        <v>100</v>
      </c>
      <c r="B25" s="35">
        <v>0</v>
      </c>
      <c r="C25" s="35">
        <v>1</v>
      </c>
      <c r="D25" s="35">
        <v>5</v>
      </c>
      <c r="E25" s="36">
        <v>0.5</v>
      </c>
      <c r="F25" s="37"/>
      <c r="G25" s="37"/>
      <c r="H25" s="37"/>
      <c r="I25" s="37"/>
      <c r="J25" s="37"/>
      <c r="K25" s="37"/>
      <c r="L25" s="37"/>
      <c r="M25" s="37"/>
      <c r="N25" s="37"/>
      <c r="O25" s="37"/>
      <c r="P25" s="37"/>
      <c r="Q25" s="37"/>
    </row>
    <row r="26" spans="1:17" ht="15.75" hidden="1" customHeight="1" x14ac:dyDescent="0.25">
      <c r="A26" s="34" t="s">
        <v>102</v>
      </c>
      <c r="B26" s="35">
        <v>0</v>
      </c>
      <c r="C26" s="35">
        <v>1</v>
      </c>
      <c r="D26" s="35">
        <v>6</v>
      </c>
      <c r="E26" s="36">
        <v>0.54545454545454541</v>
      </c>
      <c r="F26" s="37"/>
      <c r="G26" s="37"/>
      <c r="H26" s="37"/>
      <c r="I26" s="37"/>
      <c r="J26" s="37"/>
      <c r="K26" s="37"/>
      <c r="L26" s="37"/>
      <c r="M26" s="37"/>
      <c r="N26" s="37"/>
      <c r="O26" s="37"/>
      <c r="P26" s="37"/>
      <c r="Q26" s="37"/>
    </row>
    <row r="27" spans="1:17" ht="15.75" hidden="1" customHeight="1" x14ac:dyDescent="0.25">
      <c r="A27" s="34" t="s">
        <v>104</v>
      </c>
      <c r="B27" s="35">
        <v>214</v>
      </c>
      <c r="C27" s="35">
        <v>1</v>
      </c>
      <c r="D27" s="35">
        <v>176</v>
      </c>
      <c r="E27" s="36">
        <v>0.88</v>
      </c>
      <c r="F27" s="37"/>
      <c r="G27" s="37"/>
      <c r="H27" s="37"/>
      <c r="I27" s="37"/>
      <c r="J27" s="37"/>
      <c r="K27" s="37"/>
      <c r="L27" s="37"/>
      <c r="M27" s="37"/>
      <c r="N27" s="37"/>
      <c r="O27" s="37"/>
      <c r="P27" s="37"/>
      <c r="Q27" s="37"/>
    </row>
    <row r="28" spans="1:17" ht="15.75" hidden="1" customHeight="1" x14ac:dyDescent="0.25">
      <c r="A28" s="34" t="s">
        <v>106</v>
      </c>
      <c r="B28" s="35">
        <v>4</v>
      </c>
      <c r="C28" s="35">
        <v>1</v>
      </c>
      <c r="D28" s="35">
        <v>7</v>
      </c>
      <c r="E28" s="36">
        <v>0.7</v>
      </c>
      <c r="F28" s="37"/>
      <c r="G28" s="37"/>
      <c r="H28" s="37"/>
      <c r="I28" s="37"/>
      <c r="J28" s="37"/>
      <c r="K28" s="37"/>
      <c r="L28" s="37"/>
      <c r="M28" s="37"/>
      <c r="N28" s="37"/>
      <c r="O28" s="37"/>
      <c r="P28" s="37"/>
      <c r="Q28" s="37"/>
    </row>
    <row r="29" spans="1:17" ht="15.75" hidden="1" customHeight="1" x14ac:dyDescent="0.25">
      <c r="A29" s="34" t="s">
        <v>108</v>
      </c>
      <c r="B29" s="35">
        <v>0</v>
      </c>
      <c r="C29" s="35">
        <v>1</v>
      </c>
      <c r="D29" s="35">
        <v>6</v>
      </c>
      <c r="E29" s="36">
        <v>0.4</v>
      </c>
      <c r="F29" s="37"/>
      <c r="G29" s="37"/>
      <c r="H29" s="37"/>
      <c r="I29" s="37"/>
      <c r="J29" s="37"/>
      <c r="K29" s="37"/>
      <c r="L29" s="37"/>
      <c r="M29" s="37"/>
      <c r="N29" s="37"/>
      <c r="O29" s="37"/>
      <c r="P29" s="37"/>
      <c r="Q29" s="37"/>
    </row>
    <row r="30" spans="1:17" ht="15.75" hidden="1" customHeight="1" x14ac:dyDescent="0.25">
      <c r="A30" s="34" t="s">
        <v>110</v>
      </c>
      <c r="B30" s="35">
        <v>19</v>
      </c>
      <c r="C30" s="35">
        <v>1</v>
      </c>
      <c r="D30" s="35">
        <v>19</v>
      </c>
      <c r="E30" s="36">
        <v>1</v>
      </c>
      <c r="F30" s="37"/>
      <c r="G30" s="37"/>
      <c r="H30" s="37"/>
      <c r="I30" s="37"/>
      <c r="J30" s="37"/>
      <c r="K30" s="37"/>
      <c r="L30" s="37"/>
      <c r="M30" s="37"/>
      <c r="N30" s="37"/>
      <c r="O30" s="37"/>
      <c r="P30" s="37"/>
      <c r="Q30" s="37"/>
    </row>
    <row r="31" spans="1:17" ht="15.75" hidden="1" customHeight="1" x14ac:dyDescent="0.25">
      <c r="A31" s="34" t="s">
        <v>112</v>
      </c>
      <c r="B31" s="35">
        <v>360</v>
      </c>
      <c r="C31" s="35">
        <v>1</v>
      </c>
      <c r="D31" s="35">
        <v>654</v>
      </c>
      <c r="E31" s="36">
        <v>1</v>
      </c>
      <c r="F31" s="37"/>
      <c r="G31" s="37"/>
      <c r="H31" s="37"/>
      <c r="I31" s="37"/>
      <c r="J31" s="37"/>
      <c r="K31" s="37"/>
      <c r="L31" s="37"/>
      <c r="M31" s="37"/>
      <c r="N31" s="37"/>
      <c r="O31" s="37"/>
      <c r="P31" s="37"/>
      <c r="Q31" s="37"/>
    </row>
    <row r="32" spans="1:17" ht="15.75" hidden="1" customHeight="1" x14ac:dyDescent="0.25">
      <c r="A32" s="34" t="s">
        <v>114</v>
      </c>
      <c r="B32" s="35">
        <v>0</v>
      </c>
      <c r="C32" s="35">
        <v>0</v>
      </c>
      <c r="D32" s="35">
        <v>1</v>
      </c>
      <c r="E32" s="36">
        <v>0.5</v>
      </c>
      <c r="F32" s="37"/>
      <c r="G32" s="37"/>
      <c r="H32" s="37"/>
      <c r="I32" s="37"/>
      <c r="J32" s="37"/>
      <c r="K32" s="37"/>
      <c r="L32" s="37"/>
      <c r="M32" s="37"/>
      <c r="N32" s="37"/>
      <c r="O32" s="37"/>
      <c r="P32" s="37"/>
      <c r="Q32" s="37"/>
    </row>
    <row r="33" spans="1:17" ht="15.75" hidden="1" customHeight="1" x14ac:dyDescent="0.25">
      <c r="A33" s="34" t="s">
        <v>116</v>
      </c>
      <c r="B33" s="35">
        <v>35</v>
      </c>
      <c r="C33" s="35">
        <v>1</v>
      </c>
      <c r="D33" s="35">
        <v>10</v>
      </c>
      <c r="E33" s="36">
        <v>0.5</v>
      </c>
      <c r="F33" s="37"/>
      <c r="G33" s="37"/>
      <c r="H33" s="37"/>
      <c r="I33" s="37"/>
      <c r="J33" s="37"/>
      <c r="K33" s="37"/>
      <c r="L33" s="37"/>
      <c r="M33" s="37"/>
      <c r="N33" s="37"/>
      <c r="O33" s="37"/>
      <c r="P33" s="37"/>
      <c r="Q33" s="37"/>
    </row>
    <row r="34" spans="1:17" ht="15.75" hidden="1" customHeight="1" x14ac:dyDescent="0.25">
      <c r="A34" s="34" t="s">
        <v>118</v>
      </c>
      <c r="B34" s="35">
        <v>58</v>
      </c>
      <c r="C34" s="35">
        <v>1</v>
      </c>
      <c r="D34" s="35">
        <v>58</v>
      </c>
      <c r="E34" s="36">
        <v>0.92063492063492058</v>
      </c>
      <c r="F34" s="37"/>
      <c r="G34" s="37"/>
      <c r="H34" s="37"/>
      <c r="I34" s="37"/>
      <c r="J34" s="37"/>
      <c r="K34" s="37"/>
      <c r="L34" s="37"/>
      <c r="M34" s="37"/>
      <c r="N34" s="37"/>
      <c r="O34" s="37"/>
      <c r="P34" s="37"/>
      <c r="Q34" s="37"/>
    </row>
    <row r="35" spans="1:17" ht="15.75" hidden="1" customHeight="1" x14ac:dyDescent="0.25">
      <c r="A35" s="34" t="s">
        <v>120</v>
      </c>
      <c r="B35" s="35">
        <v>46</v>
      </c>
      <c r="C35" s="35">
        <v>0.86792452830188682</v>
      </c>
      <c r="D35" s="35">
        <v>43</v>
      </c>
      <c r="E35" s="36">
        <v>0.78181818181818186</v>
      </c>
      <c r="F35" s="37"/>
      <c r="G35" s="37"/>
      <c r="H35" s="37"/>
      <c r="I35" s="37"/>
      <c r="J35" s="37"/>
      <c r="K35" s="37"/>
      <c r="L35" s="37"/>
      <c r="M35" s="37"/>
      <c r="N35" s="37"/>
      <c r="O35" s="37"/>
      <c r="P35" s="37"/>
      <c r="Q35" s="37"/>
    </row>
    <row r="36" spans="1:17" ht="15.75" hidden="1" customHeight="1" x14ac:dyDescent="0.25">
      <c r="A36" s="34" t="s">
        <v>122</v>
      </c>
      <c r="B36" s="35">
        <v>16</v>
      </c>
      <c r="C36" s="35">
        <v>1</v>
      </c>
      <c r="D36" s="35">
        <v>11</v>
      </c>
      <c r="E36" s="36">
        <v>0.73333333333333328</v>
      </c>
      <c r="F36" s="37"/>
      <c r="G36" s="37"/>
      <c r="H36" s="37"/>
      <c r="I36" s="37"/>
      <c r="J36" s="37"/>
      <c r="K36" s="37"/>
      <c r="L36" s="37"/>
      <c r="M36" s="37"/>
      <c r="N36" s="37"/>
      <c r="O36" s="37"/>
      <c r="P36" s="37"/>
      <c r="Q36" s="37"/>
    </row>
    <row r="37" spans="1:17" ht="15.75" hidden="1" customHeight="1" x14ac:dyDescent="0.25">
      <c r="A37" s="34" t="s">
        <v>124</v>
      </c>
      <c r="B37" s="35">
        <v>75400</v>
      </c>
      <c r="C37" s="35">
        <v>1</v>
      </c>
      <c r="D37" s="35">
        <v>42635</v>
      </c>
      <c r="E37" s="36">
        <v>0.43389102603244389</v>
      </c>
      <c r="F37" s="37"/>
      <c r="G37" s="37"/>
      <c r="H37" s="37"/>
      <c r="I37" s="37"/>
      <c r="J37" s="37"/>
      <c r="K37" s="37"/>
      <c r="L37" s="37"/>
      <c r="M37" s="37"/>
      <c r="N37" s="37"/>
      <c r="O37" s="37"/>
      <c r="P37" s="37"/>
      <c r="Q37" s="37"/>
    </row>
    <row r="38" spans="1:17" ht="15.75" hidden="1" customHeight="1" x14ac:dyDescent="0.25">
      <c r="A38" s="34" t="s">
        <v>126</v>
      </c>
      <c r="B38" s="35">
        <v>6010</v>
      </c>
      <c r="C38" s="35">
        <v>0.98524590163934422</v>
      </c>
      <c r="D38" s="35">
        <v>4.7279999999999998</v>
      </c>
      <c r="E38" s="36">
        <v>5.8104952685264835E-4</v>
      </c>
      <c r="F38" s="37"/>
      <c r="G38" s="37"/>
      <c r="H38" s="37"/>
      <c r="I38" s="37"/>
      <c r="J38" s="37"/>
      <c r="K38" s="37"/>
      <c r="L38" s="37"/>
      <c r="M38" s="37"/>
      <c r="N38" s="37"/>
      <c r="O38" s="37"/>
      <c r="P38" s="37"/>
      <c r="Q38" s="37"/>
    </row>
    <row r="39" spans="1:17" ht="15.75" hidden="1" customHeight="1" x14ac:dyDescent="0.25">
      <c r="A39" s="34" t="s">
        <v>128</v>
      </c>
      <c r="B39" s="35">
        <v>54</v>
      </c>
      <c r="C39" s="35">
        <v>1</v>
      </c>
      <c r="D39" s="35">
        <v>57</v>
      </c>
      <c r="E39" s="36">
        <v>0.94999996225039307</v>
      </c>
      <c r="F39" s="37"/>
      <c r="G39" s="37"/>
      <c r="H39" s="37"/>
      <c r="I39" s="37"/>
      <c r="J39" s="37"/>
      <c r="K39" s="37"/>
      <c r="L39" s="37"/>
      <c r="M39" s="37"/>
      <c r="N39" s="37"/>
      <c r="O39" s="37"/>
      <c r="P39" s="37"/>
      <c r="Q39" s="37"/>
    </row>
    <row r="40" spans="1:17" ht="15.75" hidden="1" customHeight="1" x14ac:dyDescent="0.25">
      <c r="A40" s="34" t="s">
        <v>130</v>
      </c>
      <c r="B40" s="35">
        <v>0</v>
      </c>
      <c r="C40" s="35">
        <v>1</v>
      </c>
      <c r="D40" s="35">
        <v>8</v>
      </c>
      <c r="E40" s="36">
        <v>2.6666666666666666E-3</v>
      </c>
      <c r="F40" s="37"/>
      <c r="G40" s="37"/>
      <c r="H40" s="37"/>
      <c r="I40" s="37"/>
      <c r="J40" s="37"/>
      <c r="K40" s="37"/>
      <c r="L40" s="37"/>
      <c r="M40" s="37"/>
      <c r="N40" s="37"/>
      <c r="O40" s="37"/>
      <c r="P40" s="37"/>
      <c r="Q40" s="37"/>
    </row>
    <row r="41" spans="1:17" ht="15.75" hidden="1" customHeight="1" x14ac:dyDescent="0.25">
      <c r="A41" s="34" t="s">
        <v>132</v>
      </c>
      <c r="B41" s="35"/>
      <c r="C41" s="35"/>
      <c r="D41" s="35">
        <v>15</v>
      </c>
      <c r="E41" s="36">
        <v>0.5</v>
      </c>
      <c r="F41" s="37"/>
      <c r="G41" s="37"/>
      <c r="H41" s="37"/>
      <c r="I41" s="37"/>
      <c r="J41" s="37"/>
      <c r="K41" s="37"/>
      <c r="L41" s="37"/>
      <c r="M41" s="37"/>
      <c r="N41" s="37"/>
      <c r="O41" s="37"/>
      <c r="P41" s="37"/>
      <c r="Q41" s="37"/>
    </row>
    <row r="42" spans="1:17" ht="15.75" hidden="1" customHeight="1" x14ac:dyDescent="0.25">
      <c r="A42" s="34" t="s">
        <v>134</v>
      </c>
      <c r="B42" s="35"/>
      <c r="C42" s="35"/>
      <c r="D42" s="35">
        <v>20</v>
      </c>
      <c r="E42" s="36">
        <v>0.5</v>
      </c>
      <c r="F42" s="37"/>
      <c r="G42" s="37"/>
      <c r="H42" s="37"/>
      <c r="I42" s="37"/>
      <c r="J42" s="37"/>
      <c r="K42" s="37"/>
      <c r="L42" s="37"/>
      <c r="M42" s="37"/>
      <c r="N42" s="37"/>
      <c r="O42" s="37"/>
      <c r="P42" s="37"/>
      <c r="Q42" s="37"/>
    </row>
    <row r="43" spans="1:17" ht="15.75" hidden="1" customHeight="1" x14ac:dyDescent="0.25">
      <c r="A43" s="34" t="s">
        <v>136</v>
      </c>
      <c r="B43" s="35">
        <v>52</v>
      </c>
      <c r="C43" s="35">
        <v>1</v>
      </c>
      <c r="D43" s="35">
        <v>122</v>
      </c>
      <c r="E43" s="36">
        <v>0.81333333333333335</v>
      </c>
      <c r="F43" s="37"/>
      <c r="G43" s="37"/>
      <c r="H43" s="37"/>
      <c r="I43" s="37"/>
      <c r="J43" s="37"/>
      <c r="K43" s="37"/>
      <c r="L43" s="37"/>
      <c r="M43" s="37"/>
      <c r="N43" s="37"/>
      <c r="O43" s="37"/>
      <c r="P43" s="37"/>
      <c r="Q43" s="37"/>
    </row>
    <row r="44" spans="1:17" ht="15.75" hidden="1" customHeight="1" x14ac:dyDescent="0.25">
      <c r="A44" s="34" t="s">
        <v>138</v>
      </c>
      <c r="B44" s="35">
        <v>0</v>
      </c>
      <c r="C44" s="35">
        <v>1</v>
      </c>
      <c r="D44" s="35">
        <v>20</v>
      </c>
      <c r="E44" s="36">
        <v>0.2</v>
      </c>
      <c r="F44" s="37"/>
      <c r="G44" s="37"/>
      <c r="H44" s="37"/>
      <c r="I44" s="37"/>
      <c r="J44" s="37"/>
      <c r="K44" s="37"/>
      <c r="L44" s="37"/>
      <c r="M44" s="37"/>
      <c r="N44" s="37"/>
      <c r="O44" s="37"/>
      <c r="P44" s="37"/>
      <c r="Q44" s="37"/>
    </row>
    <row r="45" spans="1:17" ht="15.75" hidden="1" customHeight="1" x14ac:dyDescent="0.25">
      <c r="A45" s="34" t="s">
        <v>140</v>
      </c>
      <c r="B45" s="35">
        <v>10</v>
      </c>
      <c r="C45" s="35">
        <v>1</v>
      </c>
      <c r="D45" s="35">
        <v>10</v>
      </c>
      <c r="E45" s="36">
        <v>0.33333332008785727</v>
      </c>
      <c r="F45" s="37"/>
      <c r="G45" s="37"/>
      <c r="H45" s="37"/>
      <c r="I45" s="37"/>
      <c r="J45" s="37"/>
      <c r="K45" s="37"/>
      <c r="L45" s="37"/>
      <c r="M45" s="37"/>
      <c r="N45" s="37"/>
      <c r="O45" s="37"/>
      <c r="P45" s="37"/>
      <c r="Q45" s="37"/>
    </row>
    <row r="46" spans="1:17" ht="15.75" hidden="1" customHeight="1" x14ac:dyDescent="0.25">
      <c r="A46" s="34" t="s">
        <v>142</v>
      </c>
      <c r="B46" s="35">
        <v>5</v>
      </c>
      <c r="C46" s="35">
        <v>1</v>
      </c>
      <c r="D46" s="35">
        <v>10</v>
      </c>
      <c r="E46" s="36">
        <v>0.28571429057997111</v>
      </c>
      <c r="F46" s="37"/>
      <c r="G46" s="37"/>
      <c r="H46" s="37"/>
      <c r="I46" s="37"/>
      <c r="J46" s="37"/>
      <c r="K46" s="37"/>
      <c r="L46" s="37"/>
      <c r="M46" s="37"/>
      <c r="N46" s="37"/>
      <c r="O46" s="37"/>
      <c r="P46" s="37"/>
      <c r="Q46" s="37"/>
    </row>
    <row r="47" spans="1:17" ht="15.75" hidden="1" customHeight="1" x14ac:dyDescent="0.25">
      <c r="A47" s="34" t="s">
        <v>144</v>
      </c>
      <c r="B47" s="35">
        <v>0</v>
      </c>
      <c r="C47" s="35">
        <v>1</v>
      </c>
      <c r="D47" s="35">
        <v>15</v>
      </c>
      <c r="E47" s="36">
        <v>0.37499999441206461</v>
      </c>
      <c r="F47" s="37"/>
      <c r="G47" s="37"/>
      <c r="H47" s="37"/>
      <c r="I47" s="37"/>
      <c r="J47" s="37"/>
      <c r="K47" s="37"/>
      <c r="L47" s="37"/>
      <c r="M47" s="37"/>
      <c r="N47" s="37"/>
      <c r="O47" s="37"/>
      <c r="P47" s="37"/>
      <c r="Q47" s="37"/>
    </row>
    <row r="48" spans="1:17" ht="15.75" hidden="1" customHeight="1" x14ac:dyDescent="0.25">
      <c r="A48" s="34" t="s">
        <v>146</v>
      </c>
      <c r="B48" s="35">
        <v>0</v>
      </c>
      <c r="C48" s="35">
        <v>1</v>
      </c>
      <c r="D48" s="35">
        <v>10</v>
      </c>
      <c r="E48" s="36">
        <v>0.2</v>
      </c>
      <c r="F48" s="37"/>
      <c r="G48" s="37"/>
      <c r="H48" s="37"/>
      <c r="I48" s="37"/>
      <c r="J48" s="37"/>
      <c r="K48" s="37"/>
      <c r="L48" s="37"/>
      <c r="M48" s="37"/>
      <c r="N48" s="37"/>
      <c r="O48" s="37"/>
      <c r="P48" s="37"/>
      <c r="Q48" s="37"/>
    </row>
    <row r="49" spans="1:17" ht="15.75" hidden="1" customHeight="1" x14ac:dyDescent="0.25">
      <c r="A49" s="34" t="s">
        <v>148</v>
      </c>
      <c r="B49" s="35">
        <v>0</v>
      </c>
      <c r="C49" s="35">
        <v>1</v>
      </c>
      <c r="D49" s="35">
        <v>5</v>
      </c>
      <c r="E49" s="36">
        <v>0.1</v>
      </c>
      <c r="F49" s="37"/>
      <c r="G49" s="37"/>
      <c r="H49" s="37"/>
      <c r="I49" s="37"/>
      <c r="J49" s="37"/>
      <c r="K49" s="37"/>
      <c r="L49" s="37"/>
      <c r="M49" s="37"/>
      <c r="N49" s="37"/>
      <c r="O49" s="37"/>
      <c r="P49" s="37"/>
      <c r="Q49" s="37"/>
    </row>
    <row r="50" spans="1:17" ht="15.75" hidden="1" customHeight="1" x14ac:dyDescent="0.25">
      <c r="A50" s="34" t="s">
        <v>150</v>
      </c>
      <c r="B50" s="35">
        <v>0</v>
      </c>
      <c r="C50" s="35">
        <v>1</v>
      </c>
      <c r="D50" s="35">
        <v>10</v>
      </c>
      <c r="E50" s="36">
        <v>0.2</v>
      </c>
      <c r="F50" s="37"/>
      <c r="G50" s="37"/>
      <c r="H50" s="37"/>
      <c r="I50" s="37"/>
      <c r="J50" s="37"/>
      <c r="K50" s="37"/>
      <c r="L50" s="37"/>
      <c r="M50" s="37"/>
      <c r="N50" s="37"/>
      <c r="O50" s="37"/>
      <c r="P50" s="37"/>
      <c r="Q50" s="37"/>
    </row>
    <row r="51" spans="1:17" ht="15.75" hidden="1" customHeight="1" x14ac:dyDescent="0.25">
      <c r="A51" s="34" t="s">
        <v>164</v>
      </c>
      <c r="B51" s="35"/>
      <c r="C51" s="35"/>
      <c r="D51" s="35">
        <v>35</v>
      </c>
      <c r="E51" s="36">
        <v>1</v>
      </c>
      <c r="F51" s="37"/>
      <c r="G51" s="37"/>
      <c r="H51" s="37"/>
      <c r="I51" s="37"/>
      <c r="J51" s="37"/>
      <c r="K51" s="37"/>
      <c r="L51" s="37"/>
      <c r="M51" s="37"/>
      <c r="N51" s="37"/>
      <c r="O51" s="37"/>
      <c r="P51" s="37"/>
      <c r="Q51" s="37"/>
    </row>
    <row r="52" spans="1:17" ht="15.75" hidden="1" customHeight="1" x14ac:dyDescent="0.25">
      <c r="A52" s="34" t="s">
        <v>166</v>
      </c>
      <c r="B52" s="35"/>
      <c r="C52" s="35"/>
      <c r="D52" s="35">
        <v>0</v>
      </c>
      <c r="E52" s="36">
        <v>0</v>
      </c>
      <c r="F52" s="37"/>
      <c r="G52" s="37"/>
      <c r="H52" s="37"/>
      <c r="I52" s="37"/>
      <c r="J52" s="37"/>
      <c r="K52" s="37"/>
      <c r="L52" s="37"/>
      <c r="M52" s="37"/>
      <c r="N52" s="37"/>
      <c r="O52" s="37"/>
      <c r="P52" s="37"/>
      <c r="Q52" s="37"/>
    </row>
    <row r="53" spans="1:17" ht="15.75" hidden="1" customHeight="1" x14ac:dyDescent="0.25">
      <c r="A53" s="34" t="s">
        <v>168</v>
      </c>
      <c r="B53" s="35"/>
      <c r="C53" s="35"/>
      <c r="D53" s="35">
        <v>20</v>
      </c>
      <c r="E53" s="36">
        <v>1</v>
      </c>
      <c r="F53" s="37"/>
      <c r="G53" s="37"/>
      <c r="H53" s="37"/>
      <c r="I53" s="37"/>
      <c r="J53" s="37"/>
      <c r="K53" s="37"/>
      <c r="L53" s="37"/>
      <c r="M53" s="37"/>
      <c r="N53" s="37"/>
      <c r="O53" s="37"/>
      <c r="P53" s="37"/>
      <c r="Q53" s="37"/>
    </row>
    <row r="54" spans="1:17" ht="15.75" hidden="1" customHeight="1" x14ac:dyDescent="0.25">
      <c r="A54" s="34" t="s">
        <v>170</v>
      </c>
      <c r="B54" s="35">
        <v>30</v>
      </c>
      <c r="C54" s="35">
        <v>1</v>
      </c>
      <c r="D54" s="35">
        <v>59</v>
      </c>
      <c r="E54" s="36">
        <v>1</v>
      </c>
      <c r="F54" s="37"/>
      <c r="G54" s="37"/>
      <c r="H54" s="37"/>
      <c r="I54" s="37"/>
      <c r="J54" s="37"/>
      <c r="K54" s="37"/>
      <c r="L54" s="37"/>
      <c r="M54" s="37"/>
      <c r="N54" s="37"/>
      <c r="O54" s="37"/>
      <c r="P54" s="37"/>
      <c r="Q54" s="37"/>
    </row>
    <row r="55" spans="1:17" ht="15.75" hidden="1" customHeight="1" x14ac:dyDescent="0.25">
      <c r="A55" s="34" t="s">
        <v>172</v>
      </c>
      <c r="B55" s="35"/>
      <c r="C55" s="35"/>
      <c r="D55" s="35">
        <v>62</v>
      </c>
      <c r="E55" s="36">
        <v>0.68333335143548513</v>
      </c>
      <c r="F55" s="37"/>
      <c r="G55" s="37"/>
      <c r="H55" s="37"/>
      <c r="I55" s="37"/>
      <c r="J55" s="37"/>
      <c r="K55" s="37"/>
      <c r="L55" s="37"/>
      <c r="M55" s="37"/>
      <c r="N55" s="37"/>
      <c r="O55" s="37"/>
      <c r="P55" s="37"/>
      <c r="Q55" s="37"/>
    </row>
    <row r="56" spans="1:17" ht="15.75" hidden="1" customHeight="1" x14ac:dyDescent="0.25">
      <c r="A56" s="34" t="s">
        <v>174</v>
      </c>
      <c r="B56" s="35">
        <v>0</v>
      </c>
      <c r="C56" s="35">
        <v>1</v>
      </c>
      <c r="D56" s="35">
        <v>13</v>
      </c>
      <c r="E56" s="36">
        <v>1</v>
      </c>
      <c r="F56" s="37"/>
      <c r="G56" s="37"/>
      <c r="H56" s="37"/>
      <c r="I56" s="37"/>
      <c r="J56" s="37"/>
      <c r="K56" s="37"/>
      <c r="L56" s="37"/>
      <c r="M56" s="37"/>
      <c r="N56" s="37"/>
      <c r="O56" s="37"/>
      <c r="P56" s="37"/>
      <c r="Q56" s="37"/>
    </row>
    <row r="57" spans="1:17" ht="15.75" hidden="1" customHeight="1" x14ac:dyDescent="0.25">
      <c r="A57" s="34" t="s">
        <v>176</v>
      </c>
      <c r="B57" s="35">
        <v>0</v>
      </c>
      <c r="C57" s="35">
        <v>1</v>
      </c>
      <c r="D57" s="35">
        <v>0</v>
      </c>
      <c r="E57" s="36">
        <v>0</v>
      </c>
      <c r="F57" s="37"/>
      <c r="G57" s="37"/>
      <c r="H57" s="37"/>
      <c r="I57" s="37"/>
      <c r="J57" s="37"/>
      <c r="K57" s="37"/>
      <c r="L57" s="37"/>
      <c r="M57" s="37"/>
      <c r="N57" s="37"/>
      <c r="O57" s="37"/>
      <c r="P57" s="37"/>
      <c r="Q57" s="37"/>
    </row>
    <row r="58" spans="1:17" ht="15.75" hidden="1" customHeight="1" x14ac:dyDescent="0.25">
      <c r="A58" s="34" t="s">
        <v>182</v>
      </c>
      <c r="B58" s="35">
        <v>0</v>
      </c>
      <c r="C58" s="35">
        <v>1</v>
      </c>
      <c r="D58" s="35">
        <v>0</v>
      </c>
      <c r="E58" s="36">
        <v>0</v>
      </c>
      <c r="F58" s="37"/>
      <c r="G58" s="37"/>
      <c r="H58" s="37"/>
      <c r="I58" s="37"/>
      <c r="J58" s="37"/>
      <c r="K58" s="37"/>
      <c r="L58" s="37"/>
      <c r="M58" s="37"/>
      <c r="N58" s="37"/>
      <c r="O58" s="37"/>
      <c r="P58" s="37"/>
      <c r="Q58" s="37"/>
    </row>
    <row r="59" spans="1:17" ht="15.75" hidden="1" customHeight="1" x14ac:dyDescent="0.25">
      <c r="A59" s="34" t="s">
        <v>184</v>
      </c>
      <c r="B59" s="35">
        <v>5</v>
      </c>
      <c r="C59" s="35">
        <v>1</v>
      </c>
      <c r="D59" s="35">
        <v>6</v>
      </c>
      <c r="E59" s="36">
        <v>1</v>
      </c>
      <c r="F59" s="37"/>
      <c r="G59" s="37"/>
      <c r="H59" s="37"/>
      <c r="I59" s="37"/>
      <c r="J59" s="37"/>
      <c r="K59" s="37"/>
      <c r="L59" s="37"/>
      <c r="M59" s="37"/>
      <c r="N59" s="37"/>
      <c r="O59" s="37"/>
      <c r="P59" s="37"/>
      <c r="Q59" s="37"/>
    </row>
    <row r="60" spans="1:17" ht="15.75" hidden="1" customHeight="1" x14ac:dyDescent="0.25">
      <c r="A60" s="34" t="s">
        <v>185</v>
      </c>
      <c r="B60" s="35">
        <v>0</v>
      </c>
      <c r="C60" s="35">
        <v>1</v>
      </c>
      <c r="D60" s="35">
        <v>0</v>
      </c>
      <c r="E60" s="36">
        <v>0</v>
      </c>
      <c r="F60" s="37"/>
      <c r="G60" s="37"/>
      <c r="H60" s="37"/>
      <c r="I60" s="37"/>
      <c r="J60" s="37"/>
      <c r="K60" s="37"/>
      <c r="L60" s="37"/>
      <c r="M60" s="37"/>
      <c r="N60" s="37"/>
      <c r="O60" s="37"/>
      <c r="P60" s="37"/>
      <c r="Q60" s="37"/>
    </row>
    <row r="61" spans="1:17" ht="15.75" hidden="1" customHeight="1" x14ac:dyDescent="0.25">
      <c r="A61" s="34" t="s">
        <v>187</v>
      </c>
      <c r="B61" s="35">
        <v>0</v>
      </c>
      <c r="C61" s="35">
        <v>1</v>
      </c>
      <c r="D61" s="35">
        <v>0</v>
      </c>
      <c r="E61" s="36">
        <v>0</v>
      </c>
      <c r="F61" s="37"/>
      <c r="G61" s="37"/>
      <c r="H61" s="37"/>
      <c r="I61" s="37"/>
      <c r="J61" s="37"/>
      <c r="K61" s="37"/>
      <c r="L61" s="37"/>
      <c r="M61" s="37"/>
      <c r="N61" s="37"/>
      <c r="O61" s="37"/>
      <c r="P61" s="37"/>
      <c r="Q61" s="37"/>
    </row>
    <row r="62" spans="1:17" ht="15.75" hidden="1" customHeight="1" x14ac:dyDescent="0.25">
      <c r="A62" s="34" t="s">
        <v>189</v>
      </c>
      <c r="B62" s="35">
        <v>56</v>
      </c>
      <c r="C62" s="35">
        <v>1</v>
      </c>
      <c r="D62" s="35">
        <v>53</v>
      </c>
      <c r="E62" s="36">
        <v>1</v>
      </c>
      <c r="F62" s="37"/>
      <c r="G62" s="37"/>
      <c r="H62" s="37"/>
      <c r="I62" s="37"/>
      <c r="J62" s="37"/>
      <c r="K62" s="37"/>
      <c r="L62" s="37"/>
      <c r="M62" s="37"/>
      <c r="N62" s="37"/>
      <c r="O62" s="37"/>
      <c r="P62" s="37"/>
      <c r="Q62" s="37"/>
    </row>
    <row r="63" spans="1:17" ht="15.75" hidden="1" customHeight="1" x14ac:dyDescent="0.25">
      <c r="A63" s="34" t="s">
        <v>191</v>
      </c>
      <c r="B63" s="35">
        <v>0</v>
      </c>
      <c r="C63" s="35">
        <v>1</v>
      </c>
      <c r="D63" s="35">
        <v>0</v>
      </c>
      <c r="E63" s="36">
        <v>0</v>
      </c>
      <c r="F63" s="37"/>
      <c r="G63" s="37"/>
      <c r="H63" s="37"/>
      <c r="I63" s="37"/>
      <c r="J63" s="37"/>
      <c r="K63" s="37"/>
      <c r="L63" s="37"/>
      <c r="M63" s="37"/>
      <c r="N63" s="37"/>
      <c r="O63" s="37"/>
      <c r="P63" s="37"/>
      <c r="Q63" s="37"/>
    </row>
    <row r="64" spans="1:17" ht="15.75" hidden="1" customHeight="1" x14ac:dyDescent="0.25">
      <c r="A64" s="34" t="s">
        <v>193</v>
      </c>
      <c r="B64" s="35">
        <v>0</v>
      </c>
      <c r="C64" s="35">
        <v>1</v>
      </c>
      <c r="D64" s="35">
        <v>1</v>
      </c>
      <c r="E64" s="36">
        <v>0.33333333333333331</v>
      </c>
      <c r="F64" s="37"/>
      <c r="G64" s="37"/>
      <c r="H64" s="37"/>
      <c r="I64" s="37"/>
      <c r="J64" s="37"/>
      <c r="K64" s="37"/>
      <c r="L64" s="37"/>
      <c r="M64" s="37"/>
      <c r="N64" s="37"/>
      <c r="O64" s="37"/>
      <c r="P64" s="37"/>
      <c r="Q64" s="37"/>
    </row>
    <row r="65" spans="1:17" ht="15.75" hidden="1" customHeight="1" x14ac:dyDescent="0.25">
      <c r="A65" s="34" t="s">
        <v>195</v>
      </c>
      <c r="B65" s="35">
        <v>0</v>
      </c>
      <c r="C65" s="35">
        <v>1</v>
      </c>
      <c r="D65" s="35">
        <v>1</v>
      </c>
      <c r="E65" s="36">
        <v>0.33333333333333331</v>
      </c>
      <c r="F65" s="37"/>
      <c r="G65" s="37"/>
      <c r="H65" s="37"/>
      <c r="I65" s="37"/>
      <c r="J65" s="37"/>
      <c r="K65" s="37"/>
      <c r="L65" s="37"/>
      <c r="M65" s="37"/>
      <c r="N65" s="37"/>
      <c r="O65" s="37"/>
      <c r="P65" s="37"/>
      <c r="Q65" s="37"/>
    </row>
    <row r="66" spans="1:17" ht="15.75" hidden="1" customHeight="1" x14ac:dyDescent="0.25">
      <c r="A66" s="34" t="s">
        <v>197</v>
      </c>
      <c r="B66" s="35">
        <v>0</v>
      </c>
      <c r="C66" s="35">
        <v>1</v>
      </c>
      <c r="D66" s="35">
        <v>0</v>
      </c>
      <c r="E66" s="36">
        <v>0</v>
      </c>
      <c r="F66" s="37"/>
      <c r="G66" s="37"/>
      <c r="H66" s="37"/>
      <c r="I66" s="37"/>
      <c r="J66" s="37"/>
      <c r="K66" s="37"/>
      <c r="L66" s="37"/>
      <c r="M66" s="37"/>
      <c r="N66" s="37"/>
      <c r="O66" s="37"/>
      <c r="P66" s="37"/>
      <c r="Q66" s="37"/>
    </row>
    <row r="67" spans="1:17" ht="15.75" hidden="1" customHeight="1" x14ac:dyDescent="0.25">
      <c r="A67" s="34" t="s">
        <v>199</v>
      </c>
      <c r="B67" s="35">
        <v>0</v>
      </c>
      <c r="C67" s="35">
        <v>1</v>
      </c>
      <c r="D67" s="35">
        <v>0</v>
      </c>
      <c r="E67" s="36">
        <v>0</v>
      </c>
      <c r="F67" s="37"/>
      <c r="G67" s="37"/>
      <c r="H67" s="37"/>
      <c r="I67" s="37"/>
      <c r="J67" s="37"/>
      <c r="K67" s="37"/>
      <c r="L67" s="37"/>
      <c r="M67" s="37"/>
      <c r="N67" s="37"/>
      <c r="O67" s="37"/>
      <c r="P67" s="37"/>
      <c r="Q67" s="37"/>
    </row>
    <row r="68" spans="1:17" ht="15.75" hidden="1" customHeight="1" x14ac:dyDescent="0.25">
      <c r="A68" s="34" t="s">
        <v>201</v>
      </c>
      <c r="B68" s="35">
        <v>0</v>
      </c>
      <c r="C68" s="35">
        <v>1</v>
      </c>
      <c r="D68" s="35">
        <v>0</v>
      </c>
      <c r="E68" s="36">
        <v>0</v>
      </c>
      <c r="F68" s="37"/>
      <c r="G68" s="37"/>
      <c r="H68" s="37"/>
      <c r="I68" s="37"/>
      <c r="J68" s="37"/>
      <c r="K68" s="37"/>
      <c r="L68" s="37"/>
      <c r="M68" s="37"/>
      <c r="N68" s="37"/>
      <c r="O68" s="37"/>
      <c r="P68" s="37"/>
      <c r="Q68" s="37"/>
    </row>
    <row r="69" spans="1:17" ht="15.75" hidden="1" customHeight="1" x14ac:dyDescent="0.25">
      <c r="A69" s="34" t="s">
        <v>203</v>
      </c>
      <c r="B69" s="35">
        <v>3</v>
      </c>
      <c r="C69" s="35">
        <v>0.29999999552965168</v>
      </c>
      <c r="D69" s="35">
        <v>10</v>
      </c>
      <c r="E69" s="36">
        <v>0.2</v>
      </c>
      <c r="F69" s="37"/>
      <c r="G69" s="37"/>
      <c r="H69" s="37"/>
      <c r="I69" s="37"/>
      <c r="J69" s="37"/>
      <c r="K69" s="37"/>
      <c r="L69" s="37"/>
      <c r="M69" s="37"/>
      <c r="N69" s="37"/>
      <c r="O69" s="37"/>
      <c r="P69" s="37"/>
      <c r="Q69" s="37"/>
    </row>
    <row r="70" spans="1:17" ht="15.75" hidden="1" customHeight="1" x14ac:dyDescent="0.25">
      <c r="A70" s="34" t="s">
        <v>207</v>
      </c>
      <c r="B70" s="35"/>
      <c r="C70" s="35"/>
      <c r="D70" s="35">
        <v>0</v>
      </c>
      <c r="E70" s="36">
        <v>1</v>
      </c>
      <c r="F70" s="37"/>
      <c r="G70" s="37"/>
      <c r="H70" s="37"/>
      <c r="I70" s="37"/>
      <c r="J70" s="37"/>
      <c r="K70" s="37"/>
      <c r="L70" s="37"/>
      <c r="M70" s="37"/>
      <c r="N70" s="37"/>
      <c r="O70" s="37"/>
      <c r="P70" s="37"/>
      <c r="Q70" s="37"/>
    </row>
    <row r="71" spans="1:17" ht="15.75" hidden="1" customHeight="1" x14ac:dyDescent="0.25">
      <c r="A71" s="34" t="s">
        <v>209</v>
      </c>
      <c r="B71" s="35"/>
      <c r="C71" s="35"/>
      <c r="D71" s="35">
        <v>0</v>
      </c>
      <c r="E71" s="36">
        <v>1</v>
      </c>
      <c r="F71" s="37"/>
      <c r="G71" s="37"/>
      <c r="H71" s="37"/>
      <c r="I71" s="37"/>
      <c r="J71" s="37"/>
      <c r="K71" s="37"/>
      <c r="L71" s="37"/>
      <c r="M71" s="37"/>
      <c r="N71" s="37"/>
      <c r="O71" s="37"/>
      <c r="P71" s="37"/>
      <c r="Q71" s="37"/>
    </row>
    <row r="72" spans="1:17" ht="15.75" hidden="1" customHeight="1" x14ac:dyDescent="0.25">
      <c r="A72" s="34" t="s">
        <v>211</v>
      </c>
      <c r="B72" s="35">
        <v>15</v>
      </c>
      <c r="C72" s="35">
        <v>1</v>
      </c>
      <c r="D72" s="35">
        <v>10</v>
      </c>
      <c r="E72" s="36">
        <v>1</v>
      </c>
      <c r="F72" s="37"/>
      <c r="G72" s="37"/>
      <c r="H72" s="37"/>
      <c r="I72" s="37"/>
      <c r="J72" s="37"/>
      <c r="K72" s="37"/>
      <c r="L72" s="37"/>
      <c r="M72" s="37"/>
      <c r="N72" s="37"/>
      <c r="O72" s="37"/>
      <c r="P72" s="37"/>
      <c r="Q72" s="37"/>
    </row>
    <row r="73" spans="1:17" ht="15.75" hidden="1" customHeight="1" x14ac:dyDescent="0.25">
      <c r="A73" s="34" t="s">
        <v>213</v>
      </c>
      <c r="B73" s="35">
        <v>1</v>
      </c>
      <c r="C73" s="35">
        <v>0.25</v>
      </c>
      <c r="D73" s="35">
        <v>3</v>
      </c>
      <c r="E73" s="36">
        <v>0.6</v>
      </c>
      <c r="F73" s="37"/>
      <c r="G73" s="37"/>
      <c r="H73" s="37"/>
      <c r="I73" s="37"/>
      <c r="J73" s="37"/>
      <c r="K73" s="37"/>
      <c r="L73" s="37"/>
      <c r="M73" s="37"/>
      <c r="N73" s="37"/>
      <c r="O73" s="37"/>
      <c r="P73" s="37"/>
      <c r="Q73" s="37"/>
    </row>
    <row r="74" spans="1:17" ht="15.75" hidden="1" customHeight="1" x14ac:dyDescent="0.25">
      <c r="A74" s="34" t="s">
        <v>215</v>
      </c>
      <c r="B74" s="35">
        <v>1</v>
      </c>
      <c r="C74" s="35">
        <v>1</v>
      </c>
      <c r="D74" s="35">
        <v>2</v>
      </c>
      <c r="E74" s="36">
        <v>1</v>
      </c>
      <c r="F74" s="37"/>
      <c r="G74" s="37"/>
      <c r="H74" s="37"/>
      <c r="I74" s="37"/>
      <c r="J74" s="37"/>
      <c r="K74" s="37"/>
      <c r="L74" s="37"/>
      <c r="M74" s="37"/>
      <c r="N74" s="37"/>
      <c r="O74" s="37"/>
      <c r="P74" s="37"/>
      <c r="Q74" s="37"/>
    </row>
    <row r="75" spans="1:17" ht="15.75" hidden="1" customHeight="1" x14ac:dyDescent="0.25">
      <c r="A75" s="34" t="s">
        <v>231</v>
      </c>
      <c r="B75" s="35">
        <v>0</v>
      </c>
      <c r="C75" s="35">
        <v>1</v>
      </c>
      <c r="D75" s="35">
        <v>0</v>
      </c>
      <c r="E75" s="36">
        <v>0</v>
      </c>
      <c r="F75" s="37"/>
      <c r="G75" s="37"/>
      <c r="H75" s="37"/>
      <c r="I75" s="37"/>
      <c r="J75" s="37"/>
      <c r="K75" s="37"/>
      <c r="L75" s="37"/>
      <c r="M75" s="37"/>
      <c r="N75" s="37"/>
      <c r="O75" s="37"/>
      <c r="P75" s="37"/>
      <c r="Q75" s="37"/>
    </row>
    <row r="76" spans="1:17" ht="15.75" hidden="1" customHeight="1" x14ac:dyDescent="0.25">
      <c r="A76" s="34" t="s">
        <v>233</v>
      </c>
      <c r="B76" s="35">
        <v>0</v>
      </c>
      <c r="C76" s="35">
        <v>1</v>
      </c>
      <c r="D76" s="35">
        <v>0</v>
      </c>
      <c r="E76" s="36">
        <v>0</v>
      </c>
      <c r="F76" s="37"/>
      <c r="G76" s="37"/>
      <c r="H76" s="37"/>
      <c r="I76" s="37"/>
      <c r="J76" s="37"/>
      <c r="K76" s="37"/>
      <c r="L76" s="37"/>
      <c r="M76" s="37"/>
      <c r="N76" s="37"/>
      <c r="O76" s="37"/>
      <c r="P76" s="37"/>
      <c r="Q76" s="37"/>
    </row>
    <row r="77" spans="1:17" ht="15.75" hidden="1" customHeight="1" x14ac:dyDescent="0.25">
      <c r="A77" s="34" t="s">
        <v>235</v>
      </c>
      <c r="B77" s="35">
        <v>0</v>
      </c>
      <c r="C77" s="35">
        <v>1</v>
      </c>
      <c r="D77" s="35">
        <v>0</v>
      </c>
      <c r="E77" s="36">
        <v>0</v>
      </c>
      <c r="F77" s="37"/>
      <c r="G77" s="37"/>
      <c r="H77" s="37"/>
      <c r="I77" s="37"/>
      <c r="J77" s="37"/>
      <c r="K77" s="37"/>
      <c r="L77" s="37"/>
      <c r="M77" s="37"/>
      <c r="N77" s="37"/>
      <c r="O77" s="37"/>
      <c r="P77" s="37"/>
      <c r="Q77" s="37"/>
    </row>
    <row r="78" spans="1:17" ht="15.75" hidden="1" customHeight="1" x14ac:dyDescent="0.25">
      <c r="A78" s="34" t="s">
        <v>237</v>
      </c>
      <c r="B78" s="35">
        <v>0</v>
      </c>
      <c r="C78" s="35">
        <v>1</v>
      </c>
      <c r="D78" s="35">
        <v>0</v>
      </c>
      <c r="E78" s="36">
        <v>0</v>
      </c>
      <c r="F78" s="37"/>
      <c r="G78" s="37"/>
      <c r="H78" s="37"/>
      <c r="I78" s="37"/>
      <c r="J78" s="37"/>
      <c r="K78" s="37"/>
      <c r="L78" s="37"/>
      <c r="M78" s="37"/>
      <c r="N78" s="37"/>
      <c r="O78" s="37"/>
      <c r="P78" s="37"/>
      <c r="Q78" s="37"/>
    </row>
    <row r="79" spans="1:17" ht="15.75" hidden="1" customHeight="1" x14ac:dyDescent="0.25">
      <c r="A79" s="34" t="s">
        <v>239</v>
      </c>
      <c r="B79" s="35">
        <v>0</v>
      </c>
      <c r="C79" s="35">
        <v>1</v>
      </c>
      <c r="D79" s="35">
        <v>0</v>
      </c>
      <c r="E79" s="36">
        <v>0</v>
      </c>
      <c r="F79" s="37"/>
      <c r="G79" s="37"/>
      <c r="H79" s="37"/>
      <c r="I79" s="37"/>
      <c r="J79" s="37"/>
      <c r="K79" s="37"/>
      <c r="L79" s="37"/>
      <c r="M79" s="37"/>
      <c r="N79" s="37"/>
      <c r="O79" s="37"/>
      <c r="P79" s="37"/>
      <c r="Q79" s="37"/>
    </row>
    <row r="80" spans="1:17" ht="15.75" hidden="1" customHeight="1" x14ac:dyDescent="0.25">
      <c r="A80" s="34" t="s">
        <v>241</v>
      </c>
      <c r="B80" s="35">
        <v>0</v>
      </c>
      <c r="C80" s="35">
        <v>1</v>
      </c>
      <c r="D80" s="35">
        <v>0</v>
      </c>
      <c r="E80" s="36">
        <v>1</v>
      </c>
      <c r="F80" s="37"/>
      <c r="G80" s="37"/>
      <c r="H80" s="37"/>
      <c r="I80" s="37"/>
      <c r="J80" s="37"/>
      <c r="K80" s="37"/>
      <c r="L80" s="37"/>
      <c r="M80" s="37"/>
      <c r="N80" s="37"/>
      <c r="O80" s="37"/>
      <c r="P80" s="37"/>
      <c r="Q80" s="37"/>
    </row>
    <row r="81" spans="1:17" ht="15.75" hidden="1" customHeight="1" x14ac:dyDescent="0.25">
      <c r="A81" s="34" t="s">
        <v>243</v>
      </c>
      <c r="B81" s="35">
        <v>0</v>
      </c>
      <c r="C81" s="35">
        <v>1</v>
      </c>
      <c r="D81" s="35">
        <v>0</v>
      </c>
      <c r="E81" s="36">
        <v>1</v>
      </c>
      <c r="F81" s="37"/>
      <c r="G81" s="37"/>
      <c r="H81" s="37"/>
      <c r="I81" s="37"/>
      <c r="J81" s="37"/>
      <c r="K81" s="37"/>
      <c r="L81" s="37"/>
      <c r="M81" s="37"/>
      <c r="N81" s="37"/>
      <c r="O81" s="37"/>
      <c r="P81" s="37"/>
      <c r="Q81" s="37"/>
    </row>
    <row r="82" spans="1:17" ht="15.75" hidden="1" customHeight="1" x14ac:dyDescent="0.25">
      <c r="A82" s="34" t="s">
        <v>245</v>
      </c>
      <c r="B82" s="35">
        <v>0</v>
      </c>
      <c r="C82" s="35">
        <v>1</v>
      </c>
      <c r="D82" s="35">
        <v>0</v>
      </c>
      <c r="E82" s="36">
        <v>1</v>
      </c>
      <c r="F82" s="37"/>
      <c r="G82" s="37"/>
      <c r="H82" s="37"/>
      <c r="I82" s="37"/>
      <c r="J82" s="37"/>
      <c r="K82" s="37"/>
      <c r="L82" s="37"/>
      <c r="M82" s="37"/>
      <c r="N82" s="37"/>
      <c r="O82" s="37"/>
      <c r="P82" s="37"/>
      <c r="Q82" s="37"/>
    </row>
    <row r="83" spans="1:17" ht="15.75" hidden="1" customHeight="1" x14ac:dyDescent="0.25">
      <c r="A83" s="34" t="s">
        <v>247</v>
      </c>
      <c r="B83" s="35">
        <v>0</v>
      </c>
      <c r="C83" s="35">
        <v>1</v>
      </c>
      <c r="D83" s="35">
        <v>11</v>
      </c>
      <c r="E83" s="36">
        <v>0.36666665209664295</v>
      </c>
      <c r="F83" s="37"/>
      <c r="G83" s="37"/>
      <c r="H83" s="37"/>
      <c r="I83" s="37"/>
      <c r="J83" s="37"/>
      <c r="K83" s="37"/>
      <c r="L83" s="37"/>
      <c r="M83" s="37"/>
      <c r="N83" s="37"/>
      <c r="O83" s="37"/>
      <c r="P83" s="37"/>
      <c r="Q83" s="37"/>
    </row>
    <row r="84" spans="1:17" ht="15.75" hidden="1" customHeight="1" x14ac:dyDescent="0.25">
      <c r="A84" s="34" t="s">
        <v>249</v>
      </c>
      <c r="B84" s="35">
        <v>127</v>
      </c>
      <c r="C84" s="35">
        <v>1</v>
      </c>
      <c r="D84" s="35">
        <v>127</v>
      </c>
      <c r="E84" s="36">
        <v>0.86986301369863017</v>
      </c>
      <c r="F84" s="37"/>
      <c r="G84" s="37"/>
      <c r="H84" s="37"/>
      <c r="I84" s="37"/>
      <c r="J84" s="37"/>
      <c r="K84" s="37"/>
      <c r="L84" s="37"/>
      <c r="M84" s="37"/>
      <c r="N84" s="37"/>
      <c r="O84" s="37"/>
      <c r="P84" s="37"/>
      <c r="Q84" s="37"/>
    </row>
    <row r="85" spans="1:17" ht="15.75" hidden="1" customHeight="1" x14ac:dyDescent="0.25">
      <c r="A85" s="34" t="s">
        <v>251</v>
      </c>
      <c r="B85" s="35">
        <v>57</v>
      </c>
      <c r="C85" s="35">
        <v>1</v>
      </c>
      <c r="D85" s="35">
        <v>57</v>
      </c>
      <c r="E85" s="36">
        <v>0.3904109589041096</v>
      </c>
      <c r="F85" s="37"/>
      <c r="G85" s="37"/>
      <c r="H85" s="37"/>
      <c r="I85" s="37"/>
      <c r="J85" s="37"/>
      <c r="K85" s="37"/>
      <c r="L85" s="37"/>
      <c r="M85" s="37"/>
      <c r="N85" s="37"/>
      <c r="O85" s="37"/>
      <c r="P85" s="37"/>
      <c r="Q85" s="37"/>
    </row>
    <row r="86" spans="1:17" ht="15.75" hidden="1" customHeight="1" x14ac:dyDescent="0.25">
      <c r="A86" s="34" t="s">
        <v>253</v>
      </c>
      <c r="B86" s="35">
        <v>70</v>
      </c>
      <c r="C86" s="35">
        <v>1</v>
      </c>
      <c r="D86" s="35">
        <v>70</v>
      </c>
      <c r="E86" s="36">
        <v>1</v>
      </c>
      <c r="F86" s="37"/>
      <c r="G86" s="37"/>
      <c r="H86" s="37"/>
      <c r="I86" s="37"/>
      <c r="J86" s="37"/>
      <c r="K86" s="37"/>
      <c r="L86" s="37"/>
      <c r="M86" s="37"/>
      <c r="N86" s="37"/>
      <c r="O86" s="37"/>
      <c r="P86" s="37"/>
      <c r="Q86" s="37"/>
    </row>
    <row r="87" spans="1:17" ht="15.75" hidden="1" customHeight="1" x14ac:dyDescent="0.25">
      <c r="A87" s="34" t="s">
        <v>255</v>
      </c>
      <c r="B87" s="35">
        <v>15</v>
      </c>
      <c r="C87" s="35">
        <v>0.99999996026357174</v>
      </c>
      <c r="D87" s="35">
        <v>15</v>
      </c>
      <c r="E87" s="36">
        <v>0.99999996026357174</v>
      </c>
      <c r="F87" s="37"/>
      <c r="G87" s="37"/>
      <c r="H87" s="37"/>
      <c r="I87" s="37"/>
      <c r="J87" s="37"/>
      <c r="K87" s="37"/>
      <c r="L87" s="37"/>
      <c r="M87" s="37"/>
      <c r="N87" s="37"/>
      <c r="O87" s="37"/>
      <c r="P87" s="37"/>
      <c r="Q87" s="37"/>
    </row>
    <row r="88" spans="1:17" ht="15.75" hidden="1" customHeight="1" x14ac:dyDescent="0.25">
      <c r="A88" s="34" t="s">
        <v>257</v>
      </c>
      <c r="B88" s="35">
        <v>70</v>
      </c>
      <c r="C88" s="35">
        <v>1</v>
      </c>
      <c r="D88" s="35">
        <v>70</v>
      </c>
      <c r="E88" s="36">
        <v>1</v>
      </c>
      <c r="F88" s="37"/>
      <c r="G88" s="37"/>
      <c r="H88" s="37"/>
      <c r="I88" s="37"/>
      <c r="J88" s="37"/>
      <c r="K88" s="37"/>
      <c r="L88" s="37"/>
      <c r="M88" s="37"/>
      <c r="N88" s="37"/>
      <c r="O88" s="37"/>
      <c r="P88" s="37"/>
      <c r="Q88" s="37"/>
    </row>
    <row r="89" spans="1:17" ht="15.75" hidden="1" customHeight="1" x14ac:dyDescent="0.25">
      <c r="A89" s="34" t="s">
        <v>259</v>
      </c>
      <c r="B89" s="35">
        <v>0</v>
      </c>
      <c r="C89" s="35">
        <v>1</v>
      </c>
      <c r="D89" s="35">
        <v>0</v>
      </c>
      <c r="E89" s="36">
        <v>1</v>
      </c>
      <c r="F89" s="37"/>
      <c r="G89" s="37"/>
      <c r="H89" s="37"/>
      <c r="I89" s="37"/>
      <c r="J89" s="37"/>
      <c r="K89" s="37"/>
      <c r="L89" s="37"/>
      <c r="M89" s="37"/>
      <c r="N89" s="37"/>
      <c r="O89" s="37"/>
      <c r="P89" s="37"/>
      <c r="Q89" s="37"/>
    </row>
    <row r="90" spans="1:17" ht="15.75" hidden="1" customHeight="1" x14ac:dyDescent="0.25">
      <c r="A90" s="34" t="s">
        <v>261</v>
      </c>
      <c r="B90" s="35">
        <v>0</v>
      </c>
      <c r="C90" s="35">
        <v>1</v>
      </c>
      <c r="D90" s="35">
        <v>0</v>
      </c>
      <c r="E90" s="36">
        <v>1</v>
      </c>
      <c r="F90" s="37"/>
      <c r="G90" s="37"/>
      <c r="H90" s="37"/>
      <c r="I90" s="37"/>
      <c r="J90" s="37"/>
      <c r="K90" s="37"/>
      <c r="L90" s="37"/>
      <c r="M90" s="37"/>
      <c r="N90" s="37"/>
      <c r="O90" s="37"/>
      <c r="P90" s="37"/>
      <c r="Q90" s="37"/>
    </row>
    <row r="91" spans="1:17" ht="15.75" hidden="1" customHeight="1" x14ac:dyDescent="0.25">
      <c r="A91" s="34" t="s">
        <v>263</v>
      </c>
      <c r="B91" s="35">
        <v>0</v>
      </c>
      <c r="C91" s="35">
        <v>1</v>
      </c>
      <c r="D91" s="35">
        <v>0</v>
      </c>
      <c r="E91" s="36">
        <v>1</v>
      </c>
      <c r="F91" s="37"/>
      <c r="G91" s="37"/>
      <c r="H91" s="37"/>
      <c r="I91" s="37"/>
      <c r="J91" s="37"/>
      <c r="K91" s="37"/>
      <c r="L91" s="37"/>
      <c r="M91" s="37"/>
      <c r="N91" s="37"/>
      <c r="O91" s="37"/>
      <c r="P91" s="37"/>
      <c r="Q91" s="37"/>
    </row>
    <row r="92" spans="1:17" ht="15.75" hidden="1" customHeight="1" x14ac:dyDescent="0.25">
      <c r="A92" s="34" t="s">
        <v>265</v>
      </c>
      <c r="B92" s="35">
        <v>50</v>
      </c>
      <c r="C92" s="35">
        <v>1</v>
      </c>
      <c r="D92" s="35">
        <v>50</v>
      </c>
      <c r="E92" s="36">
        <v>1</v>
      </c>
      <c r="F92" s="37"/>
      <c r="G92" s="37"/>
      <c r="H92" s="37"/>
      <c r="I92" s="37"/>
      <c r="J92" s="37"/>
      <c r="K92" s="37"/>
      <c r="L92" s="37"/>
      <c r="M92" s="37"/>
      <c r="N92" s="37"/>
      <c r="O92" s="37"/>
      <c r="P92" s="37"/>
      <c r="Q92" s="37"/>
    </row>
    <row r="93" spans="1:17" ht="15.75" hidden="1" customHeight="1" x14ac:dyDescent="0.25">
      <c r="A93" s="34" t="s">
        <v>267</v>
      </c>
      <c r="B93" s="35">
        <v>0</v>
      </c>
      <c r="C93" s="35">
        <v>1</v>
      </c>
      <c r="D93" s="35">
        <v>0</v>
      </c>
      <c r="E93" s="36">
        <v>1</v>
      </c>
      <c r="F93" s="37"/>
      <c r="G93" s="37"/>
      <c r="H93" s="37"/>
      <c r="I93" s="37"/>
      <c r="J93" s="37"/>
      <c r="K93" s="37"/>
      <c r="L93" s="37"/>
      <c r="M93" s="37"/>
      <c r="N93" s="37"/>
      <c r="O93" s="37"/>
      <c r="P93" s="37"/>
      <c r="Q93" s="37"/>
    </row>
    <row r="94" spans="1:17" ht="15.75" hidden="1" customHeight="1" x14ac:dyDescent="0.25">
      <c r="A94" s="34" t="s">
        <v>275</v>
      </c>
      <c r="B94" s="35">
        <v>1</v>
      </c>
      <c r="C94" s="35">
        <v>0.25</v>
      </c>
      <c r="D94" s="35">
        <v>2</v>
      </c>
      <c r="E94" s="36">
        <v>0.5</v>
      </c>
      <c r="F94" s="37"/>
      <c r="G94" s="37"/>
      <c r="H94" s="37"/>
      <c r="I94" s="37"/>
      <c r="J94" s="37"/>
      <c r="K94" s="37"/>
      <c r="L94" s="37"/>
      <c r="M94" s="37"/>
      <c r="N94" s="37"/>
      <c r="O94" s="37"/>
      <c r="P94" s="37"/>
      <c r="Q94" s="37"/>
    </row>
    <row r="95" spans="1:17" ht="15.75" hidden="1" customHeight="1" x14ac:dyDescent="0.25">
      <c r="A95" s="34" t="s">
        <v>277</v>
      </c>
      <c r="B95" s="35">
        <v>1</v>
      </c>
      <c r="C95" s="35">
        <v>0.5</v>
      </c>
      <c r="D95" s="35">
        <v>0</v>
      </c>
      <c r="E95" s="36">
        <v>0</v>
      </c>
      <c r="F95" s="37"/>
      <c r="G95" s="37"/>
      <c r="H95" s="37"/>
      <c r="I95" s="37"/>
      <c r="J95" s="37"/>
      <c r="K95" s="37"/>
      <c r="L95" s="37"/>
      <c r="M95" s="37"/>
      <c r="N95" s="37"/>
      <c r="O95" s="37"/>
      <c r="P95" s="37"/>
      <c r="Q95" s="37"/>
    </row>
    <row r="96" spans="1:17" ht="15.75" hidden="1" customHeight="1" x14ac:dyDescent="0.25">
      <c r="A96" s="34" t="s">
        <v>279</v>
      </c>
      <c r="B96" s="35">
        <v>2</v>
      </c>
      <c r="C96" s="35">
        <v>1</v>
      </c>
      <c r="D96" s="35">
        <v>0</v>
      </c>
      <c r="E96" s="36">
        <v>0</v>
      </c>
      <c r="F96" s="37"/>
      <c r="G96" s="37"/>
      <c r="H96" s="37"/>
      <c r="I96" s="37"/>
      <c r="J96" s="37"/>
      <c r="K96" s="37"/>
      <c r="L96" s="37"/>
      <c r="M96" s="37"/>
      <c r="N96" s="37"/>
      <c r="O96" s="37"/>
      <c r="P96" s="37"/>
      <c r="Q96" s="37"/>
    </row>
    <row r="97" spans="1:17" ht="15.75" hidden="1" customHeight="1" x14ac:dyDescent="0.25">
      <c r="A97" s="34" t="s">
        <v>281</v>
      </c>
      <c r="B97" s="35">
        <v>0</v>
      </c>
      <c r="C97" s="35">
        <v>1</v>
      </c>
      <c r="D97" s="35">
        <v>20</v>
      </c>
      <c r="E97" s="36">
        <v>0.4</v>
      </c>
      <c r="F97" s="37"/>
      <c r="G97" s="37"/>
      <c r="H97" s="37"/>
      <c r="I97" s="37"/>
      <c r="J97" s="37"/>
      <c r="K97" s="37"/>
      <c r="L97" s="37"/>
      <c r="M97" s="37"/>
      <c r="N97" s="37"/>
      <c r="O97" s="37"/>
      <c r="P97" s="37"/>
      <c r="Q97" s="37"/>
    </row>
    <row r="98" spans="1:17" ht="15.75" hidden="1" customHeight="1" x14ac:dyDescent="0.25">
      <c r="A98" s="34" t="s">
        <v>283</v>
      </c>
      <c r="B98" s="35">
        <v>0</v>
      </c>
      <c r="C98" s="35">
        <v>1</v>
      </c>
      <c r="D98" s="35">
        <v>0</v>
      </c>
      <c r="E98" s="36">
        <v>0</v>
      </c>
      <c r="F98" s="37"/>
      <c r="G98" s="37"/>
      <c r="H98" s="37"/>
      <c r="I98" s="37"/>
      <c r="J98" s="37"/>
      <c r="K98" s="37"/>
      <c r="L98" s="37"/>
      <c r="M98" s="37"/>
      <c r="N98" s="37"/>
      <c r="O98" s="37"/>
      <c r="P98" s="37"/>
      <c r="Q98" s="37"/>
    </row>
    <row r="99" spans="1:17" ht="15.75" hidden="1" customHeight="1" x14ac:dyDescent="0.25">
      <c r="A99" s="34" t="s">
        <v>285</v>
      </c>
      <c r="B99" s="35">
        <v>0</v>
      </c>
      <c r="C99" s="35">
        <v>1</v>
      </c>
      <c r="D99" s="35">
        <v>0</v>
      </c>
      <c r="E99" s="36">
        <v>0</v>
      </c>
      <c r="F99" s="37"/>
      <c r="G99" s="37"/>
      <c r="H99" s="37"/>
      <c r="I99" s="37"/>
      <c r="J99" s="37"/>
      <c r="K99" s="37"/>
      <c r="L99" s="37"/>
      <c r="M99" s="37"/>
      <c r="N99" s="37"/>
      <c r="O99" s="37"/>
      <c r="P99" s="37"/>
      <c r="Q99" s="37"/>
    </row>
    <row r="100" spans="1:17" ht="15.75" hidden="1" customHeight="1" x14ac:dyDescent="0.25">
      <c r="A100" s="34" t="s">
        <v>287</v>
      </c>
      <c r="B100" s="35">
        <v>0</v>
      </c>
      <c r="C100" s="35">
        <v>1</v>
      </c>
      <c r="D100" s="35">
        <v>0</v>
      </c>
      <c r="E100" s="36">
        <v>0</v>
      </c>
      <c r="F100" s="37"/>
      <c r="G100" s="37"/>
      <c r="H100" s="37"/>
      <c r="I100" s="37"/>
      <c r="J100" s="37"/>
      <c r="K100" s="37"/>
      <c r="L100" s="37"/>
      <c r="M100" s="37"/>
      <c r="N100" s="37"/>
      <c r="O100" s="37"/>
      <c r="P100" s="37"/>
      <c r="Q100" s="37"/>
    </row>
    <row r="101" spans="1:17" ht="15.75" hidden="1" customHeight="1" x14ac:dyDescent="0.25">
      <c r="A101" s="34" t="s">
        <v>289</v>
      </c>
      <c r="B101" s="35">
        <v>10</v>
      </c>
      <c r="C101" s="35">
        <v>0.99999998509883903</v>
      </c>
      <c r="D101" s="35">
        <v>30</v>
      </c>
      <c r="E101" s="36">
        <v>0.33333334216365129</v>
      </c>
      <c r="F101" s="37"/>
      <c r="G101" s="37"/>
      <c r="H101" s="37"/>
      <c r="I101" s="37"/>
      <c r="J101" s="37"/>
      <c r="K101" s="37"/>
      <c r="L101" s="37"/>
      <c r="M101" s="37"/>
      <c r="N101" s="37"/>
      <c r="O101" s="37"/>
      <c r="P101" s="37"/>
      <c r="Q101" s="37"/>
    </row>
    <row r="102" spans="1:17" ht="15.75" hidden="1" customHeight="1" x14ac:dyDescent="0.25">
      <c r="A102" s="34" t="s">
        <v>291</v>
      </c>
      <c r="B102" s="35">
        <v>0</v>
      </c>
      <c r="C102" s="35">
        <v>1</v>
      </c>
      <c r="D102" s="35">
        <v>0</v>
      </c>
      <c r="E102" s="36">
        <v>0</v>
      </c>
      <c r="F102" s="37"/>
      <c r="G102" s="37"/>
      <c r="H102" s="37"/>
      <c r="I102" s="37"/>
      <c r="J102" s="37"/>
      <c r="K102" s="37"/>
      <c r="L102" s="37"/>
      <c r="M102" s="37"/>
      <c r="N102" s="37"/>
      <c r="O102" s="37"/>
      <c r="P102" s="37"/>
      <c r="Q102" s="37"/>
    </row>
    <row r="103" spans="1:17" ht="15.75" hidden="1" customHeight="1" x14ac:dyDescent="0.25">
      <c r="A103" s="34" t="s">
        <v>293</v>
      </c>
      <c r="B103" s="35">
        <v>21771</v>
      </c>
      <c r="C103" s="35">
        <v>1</v>
      </c>
      <c r="D103" s="35">
        <v>37746</v>
      </c>
      <c r="E103" s="36">
        <v>0.75492000000000004</v>
      </c>
      <c r="F103" s="37"/>
      <c r="G103" s="37"/>
      <c r="H103" s="37"/>
      <c r="I103" s="37"/>
      <c r="J103" s="37"/>
      <c r="K103" s="37"/>
      <c r="L103" s="37"/>
      <c r="M103" s="37"/>
      <c r="N103" s="37"/>
      <c r="O103" s="37"/>
      <c r="P103" s="37"/>
      <c r="Q103" s="37"/>
    </row>
    <row r="104" spans="1:17" ht="15.75" hidden="1" customHeight="1" x14ac:dyDescent="0.25">
      <c r="A104" s="34" t="s">
        <v>295</v>
      </c>
      <c r="B104" s="35">
        <v>0</v>
      </c>
      <c r="C104" s="35">
        <v>1</v>
      </c>
      <c r="D104" s="35">
        <v>0</v>
      </c>
      <c r="E104" s="36">
        <v>0</v>
      </c>
      <c r="F104" s="37"/>
      <c r="G104" s="37"/>
      <c r="H104" s="37"/>
      <c r="I104" s="37"/>
      <c r="J104" s="37"/>
      <c r="K104" s="37"/>
      <c r="L104" s="37"/>
      <c r="M104" s="37"/>
      <c r="N104" s="37"/>
      <c r="O104" s="37"/>
      <c r="P104" s="37"/>
      <c r="Q104" s="37"/>
    </row>
    <row r="105" spans="1:17" ht="15.75" hidden="1" customHeight="1" x14ac:dyDescent="0.25">
      <c r="A105" s="34" t="s">
        <v>297</v>
      </c>
      <c r="B105" s="35">
        <v>0</v>
      </c>
      <c r="C105" s="35">
        <v>1</v>
      </c>
      <c r="D105" s="35">
        <v>0</v>
      </c>
      <c r="E105" s="36">
        <v>1</v>
      </c>
      <c r="F105" s="37"/>
      <c r="G105" s="37"/>
      <c r="H105" s="37"/>
      <c r="I105" s="37"/>
      <c r="J105" s="37"/>
      <c r="K105" s="37"/>
      <c r="L105" s="37"/>
      <c r="M105" s="37"/>
      <c r="N105" s="37"/>
      <c r="O105" s="37"/>
      <c r="P105" s="37"/>
      <c r="Q105" s="37"/>
    </row>
    <row r="106" spans="1:17" ht="15.75" hidden="1" customHeight="1" x14ac:dyDescent="0.25">
      <c r="A106" s="34" t="s">
        <v>299</v>
      </c>
      <c r="B106" s="35">
        <v>5365</v>
      </c>
      <c r="C106" s="35">
        <v>0.70592105263157889</v>
      </c>
      <c r="D106" s="35">
        <v>3468</v>
      </c>
      <c r="E106" s="36">
        <v>0.77066666666666672</v>
      </c>
      <c r="F106" s="37"/>
      <c r="G106" s="37"/>
      <c r="H106" s="37"/>
      <c r="I106" s="37"/>
      <c r="J106" s="37"/>
      <c r="K106" s="37"/>
      <c r="L106" s="37"/>
      <c r="M106" s="37"/>
      <c r="N106" s="37"/>
      <c r="O106" s="37"/>
      <c r="P106" s="37"/>
      <c r="Q106" s="37"/>
    </row>
    <row r="107" spans="1:17" ht="15.75" hidden="1" customHeight="1" x14ac:dyDescent="0.25">
      <c r="A107" s="34" t="s">
        <v>301</v>
      </c>
      <c r="B107" s="35">
        <v>0</v>
      </c>
      <c r="C107" s="35">
        <v>1</v>
      </c>
      <c r="D107" s="35">
        <v>11</v>
      </c>
      <c r="E107" s="36">
        <v>0.13749999795109036</v>
      </c>
      <c r="F107" s="37"/>
      <c r="G107" s="37"/>
      <c r="H107" s="37"/>
      <c r="I107" s="37"/>
      <c r="J107" s="37"/>
      <c r="K107" s="37"/>
      <c r="L107" s="37"/>
      <c r="M107" s="37"/>
      <c r="N107" s="37"/>
      <c r="O107" s="37"/>
      <c r="P107" s="37"/>
      <c r="Q107" s="37"/>
    </row>
    <row r="108" spans="1:17" ht="15.75" hidden="1" customHeight="1" x14ac:dyDescent="0.25">
      <c r="A108" s="34" t="s">
        <v>303</v>
      </c>
      <c r="B108" s="35">
        <v>0</v>
      </c>
      <c r="C108" s="35">
        <v>1</v>
      </c>
      <c r="D108" s="35">
        <v>0</v>
      </c>
      <c r="E108" s="36">
        <v>0</v>
      </c>
      <c r="F108" s="37"/>
      <c r="G108" s="37"/>
      <c r="H108" s="37"/>
      <c r="I108" s="37"/>
      <c r="J108" s="37"/>
      <c r="K108" s="37"/>
      <c r="L108" s="37"/>
      <c r="M108" s="37"/>
      <c r="N108" s="37"/>
      <c r="O108" s="37"/>
      <c r="P108" s="37"/>
      <c r="Q108" s="37"/>
    </row>
    <row r="109" spans="1:17" ht="15.75" hidden="1" customHeight="1" x14ac:dyDescent="0.25">
      <c r="A109" s="34" t="s">
        <v>305</v>
      </c>
      <c r="B109" s="35">
        <v>0</v>
      </c>
      <c r="C109" s="35">
        <v>1</v>
      </c>
      <c r="D109" s="35">
        <v>0</v>
      </c>
      <c r="E109" s="36">
        <v>1</v>
      </c>
      <c r="F109" s="37"/>
      <c r="G109" s="37"/>
      <c r="H109" s="37"/>
      <c r="I109" s="37"/>
      <c r="J109" s="37"/>
      <c r="K109" s="37"/>
      <c r="L109" s="37"/>
      <c r="M109" s="37"/>
      <c r="N109" s="37"/>
      <c r="O109" s="37"/>
      <c r="P109" s="37"/>
      <c r="Q109" s="37"/>
    </row>
    <row r="110" spans="1:17" ht="15.75" hidden="1" customHeight="1" x14ac:dyDescent="0.25">
      <c r="A110" s="34" t="s">
        <v>307</v>
      </c>
      <c r="B110" s="35">
        <v>94</v>
      </c>
      <c r="C110" s="35">
        <v>1</v>
      </c>
      <c r="D110" s="35">
        <v>58</v>
      </c>
      <c r="E110" s="36">
        <v>1</v>
      </c>
      <c r="F110" s="37"/>
      <c r="G110" s="37"/>
      <c r="H110" s="37"/>
      <c r="I110" s="37"/>
      <c r="J110" s="37"/>
      <c r="K110" s="37"/>
      <c r="L110" s="37"/>
      <c r="M110" s="37"/>
      <c r="N110" s="37"/>
      <c r="O110" s="37"/>
      <c r="P110" s="37"/>
      <c r="Q110" s="37"/>
    </row>
    <row r="111" spans="1:17" ht="15.75" hidden="1" customHeight="1" x14ac:dyDescent="0.25">
      <c r="A111" s="34" t="s">
        <v>309</v>
      </c>
      <c r="B111" s="35">
        <v>306</v>
      </c>
      <c r="C111" s="35">
        <v>1</v>
      </c>
      <c r="D111" s="35">
        <v>1638</v>
      </c>
      <c r="E111" s="36">
        <v>1</v>
      </c>
      <c r="F111" s="37"/>
      <c r="G111" s="37"/>
      <c r="H111" s="37"/>
      <c r="I111" s="37"/>
      <c r="J111" s="37"/>
      <c r="K111" s="37"/>
      <c r="L111" s="37"/>
      <c r="M111" s="37"/>
      <c r="N111" s="37"/>
      <c r="O111" s="37"/>
      <c r="P111" s="37"/>
      <c r="Q111" s="37"/>
    </row>
    <row r="112" spans="1:17" ht="15.75" hidden="1" customHeight="1" x14ac:dyDescent="0.25">
      <c r="A112" s="34" t="s">
        <v>311</v>
      </c>
      <c r="B112" s="35">
        <v>3</v>
      </c>
      <c r="C112" s="35">
        <v>1</v>
      </c>
      <c r="D112" s="35">
        <v>43</v>
      </c>
      <c r="E112" s="36">
        <v>1</v>
      </c>
      <c r="F112" s="37"/>
      <c r="G112" s="37"/>
      <c r="H112" s="37"/>
      <c r="I112" s="37"/>
      <c r="J112" s="37"/>
      <c r="K112" s="37"/>
      <c r="L112" s="37"/>
      <c r="M112" s="37"/>
      <c r="N112" s="37"/>
      <c r="O112" s="37"/>
      <c r="P112" s="37"/>
      <c r="Q112" s="37"/>
    </row>
    <row r="113" spans="1:17" ht="15.75" hidden="1" customHeight="1" x14ac:dyDescent="0.25">
      <c r="A113" s="34" t="s">
        <v>313</v>
      </c>
      <c r="B113" s="35">
        <v>40</v>
      </c>
      <c r="C113" s="35">
        <v>0.99999998509883903</v>
      </c>
      <c r="D113" s="35">
        <v>20</v>
      </c>
      <c r="E113" s="36">
        <v>0.66666665010982151</v>
      </c>
      <c r="F113" s="37"/>
      <c r="G113" s="37"/>
      <c r="H113" s="37"/>
      <c r="I113" s="37"/>
      <c r="J113" s="37"/>
      <c r="K113" s="37"/>
      <c r="L113" s="37"/>
      <c r="M113" s="37"/>
      <c r="N113" s="37"/>
      <c r="O113" s="37"/>
      <c r="P113" s="37"/>
      <c r="Q113" s="37"/>
    </row>
    <row r="114" spans="1:17" ht="15.75" hidden="1" customHeight="1" x14ac:dyDescent="0.25">
      <c r="A114" s="34" t="s">
        <v>315</v>
      </c>
      <c r="B114" s="35">
        <v>30</v>
      </c>
      <c r="C114" s="35">
        <v>0.99999996026357174</v>
      </c>
      <c r="D114" s="35">
        <v>20</v>
      </c>
      <c r="E114" s="36">
        <v>0.66666665010982151</v>
      </c>
      <c r="F114" s="37"/>
      <c r="G114" s="37"/>
      <c r="H114" s="37"/>
      <c r="I114" s="37"/>
      <c r="J114" s="37"/>
      <c r="K114" s="37"/>
      <c r="L114" s="37"/>
      <c r="M114" s="37"/>
      <c r="N114" s="37"/>
      <c r="O114" s="37"/>
      <c r="P114" s="37"/>
      <c r="Q114" s="37"/>
    </row>
    <row r="115" spans="1:17" ht="15.75" hidden="1" customHeight="1" x14ac:dyDescent="0.25">
      <c r="A115" s="34" t="s">
        <v>317</v>
      </c>
      <c r="B115" s="35">
        <v>20</v>
      </c>
      <c r="C115" s="35">
        <v>0.99999998509883903</v>
      </c>
      <c r="D115" s="35">
        <v>20</v>
      </c>
      <c r="E115" s="36">
        <v>0.66666665010982151</v>
      </c>
      <c r="F115" s="37"/>
      <c r="G115" s="37"/>
      <c r="H115" s="37"/>
      <c r="I115" s="37"/>
      <c r="J115" s="37"/>
      <c r="K115" s="37"/>
      <c r="L115" s="37"/>
      <c r="M115" s="37"/>
      <c r="N115" s="37"/>
      <c r="O115" s="37"/>
      <c r="P115" s="37"/>
      <c r="Q115" s="37"/>
    </row>
    <row r="116" spans="1:17" ht="15.75" hidden="1" customHeight="1" x14ac:dyDescent="0.25">
      <c r="A116" s="34" t="s">
        <v>319</v>
      </c>
      <c r="B116" s="35">
        <v>3</v>
      </c>
      <c r="C116" s="35">
        <v>1</v>
      </c>
      <c r="D116" s="35">
        <v>8</v>
      </c>
      <c r="E116" s="36">
        <v>1</v>
      </c>
      <c r="F116" s="37"/>
      <c r="G116" s="37"/>
      <c r="H116" s="37"/>
      <c r="I116" s="37"/>
      <c r="J116" s="37"/>
      <c r="K116" s="37"/>
      <c r="L116" s="37"/>
      <c r="M116" s="37"/>
      <c r="N116" s="37"/>
      <c r="O116" s="37"/>
      <c r="P116" s="37"/>
      <c r="Q116" s="37"/>
    </row>
    <row r="117" spans="1:17" ht="15.75" hidden="1" customHeight="1" x14ac:dyDescent="0.25">
      <c r="A117" s="34" t="s">
        <v>321</v>
      </c>
      <c r="B117" s="35">
        <v>0</v>
      </c>
      <c r="C117" s="35">
        <v>1</v>
      </c>
      <c r="D117" s="35">
        <v>1</v>
      </c>
      <c r="E117" s="36">
        <v>0.5</v>
      </c>
      <c r="F117" s="37"/>
      <c r="G117" s="37"/>
      <c r="H117" s="37"/>
      <c r="I117" s="37"/>
      <c r="J117" s="37"/>
      <c r="K117" s="37"/>
      <c r="L117" s="37"/>
      <c r="M117" s="37"/>
      <c r="N117" s="37"/>
      <c r="O117" s="37"/>
      <c r="P117" s="37"/>
      <c r="Q117" s="37"/>
    </row>
    <row r="118" spans="1:17" ht="15.75" hidden="1" customHeight="1" x14ac:dyDescent="0.25">
      <c r="A118" s="34" t="s">
        <v>323</v>
      </c>
      <c r="B118" s="35"/>
      <c r="C118" s="35"/>
      <c r="D118" s="35">
        <v>81</v>
      </c>
      <c r="E118" s="36">
        <v>1</v>
      </c>
      <c r="F118" s="37"/>
      <c r="G118" s="37"/>
      <c r="H118" s="37"/>
      <c r="I118" s="37"/>
      <c r="J118" s="37"/>
      <c r="K118" s="37"/>
      <c r="L118" s="37"/>
      <c r="M118" s="37"/>
      <c r="N118" s="37"/>
      <c r="O118" s="37"/>
      <c r="P118" s="37"/>
      <c r="Q118" s="37"/>
    </row>
    <row r="119" spans="1:17" ht="15.75" hidden="1" customHeight="1" x14ac:dyDescent="0.25">
      <c r="A119" s="34" t="s">
        <v>325</v>
      </c>
      <c r="B119" s="35"/>
      <c r="C119" s="35"/>
      <c r="D119" s="35">
        <v>4</v>
      </c>
      <c r="E119" s="36">
        <v>0.30769230769230771</v>
      </c>
      <c r="F119" s="37"/>
      <c r="G119" s="37"/>
      <c r="H119" s="37"/>
      <c r="I119" s="37"/>
      <c r="J119" s="37"/>
      <c r="K119" s="37"/>
      <c r="L119" s="37"/>
      <c r="M119" s="37"/>
      <c r="N119" s="37"/>
      <c r="O119" s="37"/>
      <c r="P119" s="37"/>
      <c r="Q119" s="37"/>
    </row>
    <row r="120" spans="1:17" ht="15.75" hidden="1" customHeight="1" x14ac:dyDescent="0.25">
      <c r="A120" s="34" t="s">
        <v>327</v>
      </c>
      <c r="B120" s="35"/>
      <c r="C120" s="35"/>
      <c r="D120" s="35">
        <v>0</v>
      </c>
      <c r="E120" s="36">
        <v>0</v>
      </c>
      <c r="F120" s="37"/>
      <c r="G120" s="37"/>
      <c r="H120" s="37"/>
      <c r="I120" s="37"/>
      <c r="J120" s="37"/>
      <c r="K120" s="37"/>
      <c r="L120" s="37"/>
      <c r="M120" s="37"/>
      <c r="N120" s="37"/>
      <c r="O120" s="37"/>
      <c r="P120" s="37"/>
      <c r="Q120" s="37"/>
    </row>
    <row r="121" spans="1:17" ht="15.75" hidden="1" customHeight="1" x14ac:dyDescent="0.25">
      <c r="A121" s="34" t="s">
        <v>329</v>
      </c>
      <c r="B121" s="35">
        <v>1</v>
      </c>
      <c r="C121" s="35">
        <v>1</v>
      </c>
      <c r="D121" s="35">
        <v>2</v>
      </c>
      <c r="E121" s="36">
        <v>1</v>
      </c>
      <c r="F121" s="37"/>
      <c r="G121" s="37"/>
      <c r="H121" s="37"/>
      <c r="I121" s="37"/>
      <c r="J121" s="37"/>
      <c r="K121" s="37"/>
      <c r="L121" s="37"/>
      <c r="M121" s="37"/>
      <c r="N121" s="37"/>
      <c r="O121" s="37"/>
      <c r="P121" s="37"/>
      <c r="Q121" s="37"/>
    </row>
    <row r="122" spans="1:17" ht="15.75" hidden="1" customHeight="1" x14ac:dyDescent="0.25">
      <c r="A122" s="34" t="s">
        <v>331</v>
      </c>
      <c r="B122" s="35">
        <v>5</v>
      </c>
      <c r="C122" s="35">
        <v>0.7142857142857143</v>
      </c>
      <c r="D122" s="35">
        <v>5</v>
      </c>
      <c r="E122" s="36">
        <v>0.38461538461538464</v>
      </c>
      <c r="F122" s="37"/>
      <c r="G122" s="37"/>
      <c r="H122" s="37"/>
      <c r="I122" s="37"/>
      <c r="J122" s="37"/>
      <c r="K122" s="37"/>
      <c r="L122" s="37"/>
      <c r="M122" s="37"/>
      <c r="N122" s="37"/>
      <c r="O122" s="37"/>
      <c r="P122" s="37"/>
      <c r="Q122" s="37"/>
    </row>
    <row r="123" spans="1:17" ht="15.75" hidden="1" customHeight="1" x14ac:dyDescent="0.25">
      <c r="A123" s="34" t="s">
        <v>333</v>
      </c>
      <c r="B123" s="35">
        <v>1</v>
      </c>
      <c r="C123" s="35">
        <v>1</v>
      </c>
      <c r="D123" s="35">
        <v>1</v>
      </c>
      <c r="E123" s="36">
        <v>0.5</v>
      </c>
      <c r="F123" s="37"/>
      <c r="G123" s="37"/>
      <c r="H123" s="37"/>
      <c r="I123" s="37"/>
      <c r="J123" s="37"/>
      <c r="K123" s="37"/>
      <c r="L123" s="37"/>
      <c r="M123" s="37"/>
      <c r="N123" s="37"/>
      <c r="O123" s="37"/>
      <c r="P123" s="37"/>
      <c r="Q123" s="37"/>
    </row>
    <row r="124" spans="1:17" ht="15.75" hidden="1" customHeight="1" x14ac:dyDescent="0.25">
      <c r="A124" s="34" t="s">
        <v>335</v>
      </c>
      <c r="B124" s="35">
        <v>0</v>
      </c>
      <c r="C124" s="35">
        <v>1</v>
      </c>
      <c r="D124" s="35">
        <v>0</v>
      </c>
      <c r="E124" s="36">
        <v>1</v>
      </c>
      <c r="F124" s="37"/>
      <c r="G124" s="37"/>
      <c r="H124" s="37"/>
      <c r="I124" s="37"/>
      <c r="J124" s="37"/>
      <c r="K124" s="37"/>
      <c r="L124" s="37"/>
      <c r="M124" s="37"/>
      <c r="N124" s="37"/>
      <c r="O124" s="37"/>
      <c r="P124" s="37"/>
      <c r="Q124" s="37"/>
    </row>
    <row r="125" spans="1:17" ht="15.75" hidden="1" customHeight="1" x14ac:dyDescent="0.25">
      <c r="A125" s="34" t="s">
        <v>337</v>
      </c>
      <c r="B125" s="35">
        <v>0</v>
      </c>
      <c r="C125" s="35">
        <v>1</v>
      </c>
      <c r="D125" s="35">
        <v>1</v>
      </c>
      <c r="E125" s="36">
        <v>1</v>
      </c>
      <c r="F125" s="37"/>
      <c r="G125" s="37"/>
      <c r="H125" s="37"/>
      <c r="I125" s="37"/>
      <c r="J125" s="37"/>
      <c r="K125" s="37"/>
      <c r="L125" s="37"/>
      <c r="M125" s="37"/>
      <c r="N125" s="37"/>
      <c r="O125" s="37"/>
      <c r="P125" s="37"/>
      <c r="Q125" s="37"/>
    </row>
    <row r="126" spans="1:17" ht="15.75" hidden="1" customHeight="1" x14ac:dyDescent="0.25">
      <c r="A126" s="34" t="s">
        <v>339</v>
      </c>
      <c r="B126" s="35">
        <v>0</v>
      </c>
      <c r="C126" s="35">
        <v>1</v>
      </c>
      <c r="D126" s="35">
        <v>0</v>
      </c>
      <c r="E126" s="36">
        <v>1</v>
      </c>
      <c r="F126" s="37"/>
      <c r="G126" s="37"/>
      <c r="H126" s="37"/>
      <c r="I126" s="37"/>
      <c r="J126" s="37"/>
      <c r="K126" s="37"/>
      <c r="L126" s="37"/>
      <c r="M126" s="37"/>
      <c r="N126" s="37"/>
      <c r="O126" s="37"/>
      <c r="P126" s="37"/>
      <c r="Q126" s="37"/>
    </row>
    <row r="127" spans="1:17" ht="15.75" hidden="1" customHeight="1" x14ac:dyDescent="0.25">
      <c r="A127" s="34" t="s">
        <v>341</v>
      </c>
      <c r="B127" s="35">
        <v>1</v>
      </c>
      <c r="C127" s="35">
        <v>1</v>
      </c>
      <c r="D127" s="35">
        <v>0</v>
      </c>
      <c r="E127" s="36">
        <v>0</v>
      </c>
      <c r="F127" s="37"/>
      <c r="G127" s="37"/>
      <c r="H127" s="37"/>
      <c r="I127" s="37"/>
      <c r="J127" s="37"/>
      <c r="K127" s="37"/>
      <c r="L127" s="37"/>
      <c r="M127" s="37"/>
      <c r="N127" s="37"/>
      <c r="O127" s="37"/>
      <c r="P127" s="37"/>
      <c r="Q127" s="37"/>
    </row>
    <row r="128" spans="1:17" ht="15.75" hidden="1" customHeight="1" x14ac:dyDescent="0.25">
      <c r="A128" s="34" t="s">
        <v>343</v>
      </c>
      <c r="B128" s="35">
        <v>0</v>
      </c>
      <c r="C128" s="35">
        <v>1</v>
      </c>
      <c r="D128" s="35">
        <v>0</v>
      </c>
      <c r="E128" s="36">
        <v>0</v>
      </c>
      <c r="F128" s="37"/>
      <c r="G128" s="37"/>
      <c r="H128" s="37"/>
      <c r="I128" s="37"/>
      <c r="J128" s="37"/>
      <c r="K128" s="37"/>
      <c r="L128" s="37"/>
      <c r="M128" s="37"/>
      <c r="N128" s="37"/>
      <c r="O128" s="37"/>
      <c r="P128" s="37"/>
      <c r="Q128" s="37"/>
    </row>
    <row r="129" spans="1:17" ht="15.75" hidden="1" customHeight="1" x14ac:dyDescent="0.25">
      <c r="A129" s="34" t="s">
        <v>345</v>
      </c>
      <c r="B129" s="35">
        <v>0</v>
      </c>
      <c r="C129" s="35">
        <v>0</v>
      </c>
      <c r="D129" s="35">
        <v>10</v>
      </c>
      <c r="E129" s="36">
        <v>0.66666666666666663</v>
      </c>
      <c r="F129" s="37"/>
      <c r="G129" s="37"/>
      <c r="H129" s="37"/>
      <c r="I129" s="37"/>
      <c r="J129" s="37"/>
      <c r="K129" s="37"/>
      <c r="L129" s="37"/>
      <c r="M129" s="37"/>
      <c r="N129" s="37"/>
      <c r="O129" s="37"/>
      <c r="P129" s="37"/>
      <c r="Q129" s="37"/>
    </row>
    <row r="130" spans="1:17" ht="15.75" hidden="1" customHeight="1" x14ac:dyDescent="0.25">
      <c r="A130" s="34" t="s">
        <v>347</v>
      </c>
      <c r="B130" s="35">
        <v>0</v>
      </c>
      <c r="C130" s="35">
        <v>0</v>
      </c>
      <c r="D130" s="35">
        <v>25</v>
      </c>
      <c r="E130" s="36">
        <v>0.62499999068677436</v>
      </c>
      <c r="F130" s="37"/>
      <c r="G130" s="37"/>
      <c r="H130" s="37"/>
      <c r="I130" s="37"/>
      <c r="J130" s="37"/>
      <c r="K130" s="37"/>
      <c r="L130" s="37"/>
      <c r="M130" s="37"/>
      <c r="N130" s="37"/>
      <c r="O130" s="37"/>
      <c r="P130" s="37"/>
      <c r="Q130" s="37"/>
    </row>
    <row r="131" spans="1:17" ht="15.75" hidden="1" customHeight="1" x14ac:dyDescent="0.25">
      <c r="A131" s="34" t="s">
        <v>349</v>
      </c>
      <c r="B131" s="35">
        <v>3</v>
      </c>
      <c r="C131" s="35">
        <v>0.5</v>
      </c>
      <c r="D131" s="35">
        <v>8</v>
      </c>
      <c r="E131" s="36">
        <v>0.61538461538461542</v>
      </c>
      <c r="F131" s="37"/>
      <c r="G131" s="37"/>
      <c r="H131" s="37"/>
      <c r="I131" s="37"/>
      <c r="J131" s="37"/>
      <c r="K131" s="37"/>
      <c r="L131" s="37"/>
      <c r="M131" s="37"/>
      <c r="N131" s="37"/>
      <c r="O131" s="37"/>
      <c r="P131" s="37"/>
      <c r="Q131" s="37"/>
    </row>
    <row r="132" spans="1:17" ht="15.75" hidden="1" customHeight="1" x14ac:dyDescent="0.25">
      <c r="A132" s="34" t="s">
        <v>351</v>
      </c>
      <c r="B132" s="35">
        <v>10</v>
      </c>
      <c r="C132" s="35">
        <v>1</v>
      </c>
      <c r="D132" s="35">
        <v>8</v>
      </c>
      <c r="E132" s="36">
        <v>0.4</v>
      </c>
      <c r="F132" s="37"/>
      <c r="G132" s="37"/>
      <c r="H132" s="37"/>
      <c r="I132" s="37"/>
      <c r="J132" s="37"/>
      <c r="K132" s="37"/>
      <c r="L132" s="37"/>
      <c r="M132" s="37"/>
      <c r="N132" s="37"/>
      <c r="O132" s="37"/>
      <c r="P132" s="37"/>
      <c r="Q132" s="37"/>
    </row>
    <row r="133" spans="1:17" ht="15.75" hidden="1" customHeight="1" x14ac:dyDescent="0.25">
      <c r="A133" s="34" t="s">
        <v>353</v>
      </c>
      <c r="B133" s="35">
        <v>1</v>
      </c>
      <c r="C133" s="35">
        <v>0.8</v>
      </c>
      <c r="D133" s="35">
        <v>4</v>
      </c>
      <c r="E133" s="36">
        <v>0.44444444444444442</v>
      </c>
      <c r="F133" s="37"/>
      <c r="G133" s="37"/>
      <c r="H133" s="37"/>
      <c r="I133" s="37"/>
      <c r="J133" s="37"/>
      <c r="K133" s="37"/>
      <c r="L133" s="37"/>
      <c r="M133" s="37"/>
      <c r="N133" s="37"/>
      <c r="O133" s="37"/>
      <c r="P133" s="37"/>
      <c r="Q133" s="37"/>
    </row>
    <row r="134" spans="1:17" ht="15.75" hidden="1" customHeight="1" x14ac:dyDescent="0.25">
      <c r="A134" s="34" t="s">
        <v>355</v>
      </c>
      <c r="B134" s="35">
        <v>0</v>
      </c>
      <c r="C134" s="35">
        <v>1</v>
      </c>
      <c r="D134" s="35">
        <v>0</v>
      </c>
      <c r="E134" s="36">
        <v>0</v>
      </c>
      <c r="F134" s="37"/>
      <c r="G134" s="37"/>
      <c r="H134" s="37"/>
      <c r="I134" s="37"/>
      <c r="J134" s="37"/>
      <c r="K134" s="37"/>
      <c r="L134" s="37"/>
      <c r="M134" s="37"/>
      <c r="N134" s="37"/>
      <c r="O134" s="37"/>
      <c r="P134" s="37"/>
      <c r="Q134" s="37"/>
    </row>
    <row r="135" spans="1:17" ht="15.75" hidden="1" customHeight="1" x14ac:dyDescent="0.25">
      <c r="A135" s="34" t="s">
        <v>357</v>
      </c>
      <c r="B135" s="35">
        <v>360</v>
      </c>
      <c r="C135" s="35">
        <v>1</v>
      </c>
      <c r="D135" s="35">
        <v>894</v>
      </c>
      <c r="E135" s="36">
        <v>1</v>
      </c>
      <c r="F135" s="37"/>
      <c r="G135" s="37"/>
      <c r="H135" s="37"/>
      <c r="I135" s="37"/>
      <c r="J135" s="37"/>
      <c r="K135" s="37"/>
      <c r="L135" s="37"/>
      <c r="M135" s="37"/>
      <c r="N135" s="37"/>
      <c r="O135" s="37"/>
      <c r="P135" s="37"/>
      <c r="Q135" s="37"/>
    </row>
    <row r="136" spans="1:17" ht="15.75" hidden="1" customHeight="1" x14ac:dyDescent="0.25">
      <c r="A136" s="34" t="s">
        <v>359</v>
      </c>
      <c r="B136" s="35">
        <v>487</v>
      </c>
      <c r="C136" s="35">
        <v>1</v>
      </c>
      <c r="D136" s="35">
        <v>163</v>
      </c>
      <c r="E136" s="36">
        <v>0.32600000000000001</v>
      </c>
      <c r="F136" s="37"/>
      <c r="G136" s="37"/>
      <c r="H136" s="37"/>
      <c r="I136" s="37"/>
      <c r="J136" s="37"/>
      <c r="K136" s="37"/>
      <c r="L136" s="37"/>
      <c r="M136" s="37"/>
      <c r="N136" s="37"/>
      <c r="O136" s="37"/>
      <c r="P136" s="37"/>
      <c r="Q136" s="37"/>
    </row>
    <row r="137" spans="1:17" ht="15.75" hidden="1" customHeight="1" x14ac:dyDescent="0.25">
      <c r="A137" s="34" t="s">
        <v>361</v>
      </c>
      <c r="B137" s="35">
        <v>25552</v>
      </c>
      <c r="C137" s="35">
        <v>1</v>
      </c>
      <c r="D137" s="35">
        <v>23089</v>
      </c>
      <c r="E137" s="36">
        <v>0.92356000000000005</v>
      </c>
      <c r="F137" s="37"/>
      <c r="G137" s="37"/>
      <c r="H137" s="37"/>
      <c r="I137" s="37"/>
      <c r="J137" s="37"/>
      <c r="K137" s="37"/>
      <c r="L137" s="37"/>
      <c r="M137" s="37"/>
      <c r="N137" s="37"/>
      <c r="O137" s="37"/>
      <c r="P137" s="37"/>
      <c r="Q137" s="37"/>
    </row>
    <row r="138" spans="1:17" ht="15.75" hidden="1" customHeight="1" x14ac:dyDescent="0.25">
      <c r="A138" s="34" t="s">
        <v>363</v>
      </c>
      <c r="B138" s="35">
        <v>0</v>
      </c>
      <c r="C138" s="35">
        <v>1</v>
      </c>
      <c r="D138" s="35">
        <v>3</v>
      </c>
      <c r="E138" s="36">
        <v>1</v>
      </c>
      <c r="F138" s="37"/>
      <c r="G138" s="37"/>
      <c r="H138" s="37"/>
      <c r="I138" s="37"/>
      <c r="J138" s="37"/>
      <c r="K138" s="37"/>
      <c r="L138" s="37"/>
      <c r="M138" s="37"/>
      <c r="N138" s="37"/>
      <c r="O138" s="37"/>
      <c r="P138" s="37"/>
      <c r="Q138" s="37"/>
    </row>
    <row r="139" spans="1:17" ht="15.75" hidden="1" customHeight="1" x14ac:dyDescent="0.25">
      <c r="A139" s="34" t="s">
        <v>365</v>
      </c>
      <c r="B139" s="35">
        <v>0</v>
      </c>
      <c r="C139" s="35">
        <v>1</v>
      </c>
      <c r="D139" s="35">
        <v>20</v>
      </c>
      <c r="E139" s="36">
        <v>1</v>
      </c>
      <c r="F139" s="37"/>
      <c r="G139" s="37"/>
      <c r="H139" s="37"/>
      <c r="I139" s="37"/>
      <c r="J139" s="37"/>
      <c r="K139" s="37"/>
      <c r="L139" s="37"/>
      <c r="M139" s="37"/>
      <c r="N139" s="37"/>
      <c r="O139" s="37"/>
      <c r="P139" s="37"/>
      <c r="Q139" s="37"/>
    </row>
    <row r="140" spans="1:17" ht="15.75" hidden="1" customHeight="1" x14ac:dyDescent="0.25">
      <c r="A140" s="34" t="s">
        <v>367</v>
      </c>
      <c r="B140" s="35">
        <v>0</v>
      </c>
      <c r="C140" s="35">
        <v>1</v>
      </c>
      <c r="D140" s="35">
        <v>20</v>
      </c>
      <c r="E140" s="36">
        <v>1</v>
      </c>
      <c r="F140" s="37"/>
      <c r="G140" s="37"/>
      <c r="H140" s="37"/>
      <c r="I140" s="37"/>
      <c r="J140" s="37"/>
      <c r="K140" s="37"/>
      <c r="L140" s="37"/>
      <c r="M140" s="37"/>
      <c r="N140" s="37"/>
      <c r="O140" s="37"/>
      <c r="P140" s="37"/>
      <c r="Q140" s="37"/>
    </row>
    <row r="141" spans="1:17" ht="15.75" hidden="1" customHeight="1" x14ac:dyDescent="0.25">
      <c r="A141" s="34" t="s">
        <v>369</v>
      </c>
      <c r="B141" s="35">
        <v>0</v>
      </c>
      <c r="C141" s="35">
        <v>1</v>
      </c>
      <c r="D141" s="35">
        <v>30</v>
      </c>
      <c r="E141" s="36">
        <v>1</v>
      </c>
      <c r="F141" s="37"/>
      <c r="G141" s="37"/>
      <c r="H141" s="37"/>
      <c r="I141" s="37"/>
      <c r="J141" s="37"/>
      <c r="K141" s="37"/>
      <c r="L141" s="37"/>
      <c r="M141" s="37"/>
      <c r="N141" s="37"/>
      <c r="O141" s="37"/>
      <c r="P141" s="37"/>
      <c r="Q141" s="37"/>
    </row>
    <row r="142" spans="1:17" ht="15.75" hidden="1" customHeight="1" x14ac:dyDescent="0.25">
      <c r="A142" s="34" t="s">
        <v>371</v>
      </c>
      <c r="B142" s="35">
        <v>10</v>
      </c>
      <c r="C142" s="35">
        <v>0.99999998509883903</v>
      </c>
      <c r="D142" s="35">
        <v>10</v>
      </c>
      <c r="E142" s="36">
        <v>0.24999999627470976</v>
      </c>
      <c r="F142" s="37"/>
      <c r="G142" s="37"/>
      <c r="H142" s="37"/>
      <c r="I142" s="37"/>
      <c r="J142" s="37"/>
      <c r="K142" s="37"/>
      <c r="L142" s="37"/>
      <c r="M142" s="37"/>
      <c r="N142" s="37"/>
      <c r="O142" s="37"/>
      <c r="P142" s="37"/>
      <c r="Q142" s="37"/>
    </row>
    <row r="143" spans="1:17" ht="15.75" hidden="1" customHeight="1" x14ac:dyDescent="0.25">
      <c r="A143" s="34" t="s">
        <v>373</v>
      </c>
      <c r="B143" s="35">
        <v>30</v>
      </c>
      <c r="C143" s="35">
        <v>0.99999996026357174</v>
      </c>
      <c r="D143" s="35">
        <v>10</v>
      </c>
      <c r="E143" s="36">
        <v>0.33333332008785727</v>
      </c>
      <c r="F143" s="37"/>
      <c r="G143" s="37"/>
      <c r="H143" s="37"/>
      <c r="I143" s="37"/>
      <c r="J143" s="37"/>
      <c r="K143" s="37"/>
      <c r="L143" s="37"/>
      <c r="M143" s="37"/>
      <c r="N143" s="37"/>
      <c r="O143" s="37"/>
      <c r="P143" s="37"/>
      <c r="Q143" s="37"/>
    </row>
    <row r="144" spans="1:17" ht="15.75" customHeight="1" x14ac:dyDescent="0.25">
      <c r="A144" s="34" t="s">
        <v>375</v>
      </c>
      <c r="B144" s="35">
        <v>10</v>
      </c>
      <c r="C144" s="35">
        <v>0.99999998509883903</v>
      </c>
      <c r="D144" s="35">
        <v>21</v>
      </c>
      <c r="E144" s="36">
        <v>0.52499999217689042</v>
      </c>
      <c r="F144" s="37"/>
      <c r="G144" s="37"/>
      <c r="H144" s="37"/>
      <c r="I144" s="37"/>
      <c r="J144" s="37"/>
      <c r="K144" s="37"/>
      <c r="L144" s="37"/>
      <c r="M144" s="37"/>
      <c r="N144" s="37"/>
      <c r="O144" s="37"/>
      <c r="P144" s="37"/>
      <c r="Q144" s="37"/>
    </row>
    <row r="145" spans="1:17" ht="15.75" customHeight="1" x14ac:dyDescent="0.25">
      <c r="A145" s="34" t="s">
        <v>377</v>
      </c>
      <c r="B145" s="35">
        <v>10</v>
      </c>
      <c r="C145" s="35">
        <v>0.99999998509883903</v>
      </c>
      <c r="D145" s="35">
        <v>38</v>
      </c>
      <c r="E145" s="36">
        <v>0.94999998584389711</v>
      </c>
      <c r="F145" s="37"/>
      <c r="G145" s="37"/>
      <c r="H145" s="37"/>
      <c r="I145" s="37"/>
      <c r="J145" s="37"/>
      <c r="K145" s="37"/>
      <c r="L145" s="37"/>
      <c r="M145" s="37"/>
      <c r="N145" s="37"/>
      <c r="O145" s="37"/>
      <c r="P145" s="37"/>
      <c r="Q145" s="37"/>
    </row>
    <row r="146" spans="1:17" ht="15.75" hidden="1" customHeight="1" x14ac:dyDescent="0.25">
      <c r="A146" s="34" t="s">
        <v>54</v>
      </c>
      <c r="B146" s="35">
        <v>0</v>
      </c>
      <c r="C146" s="35">
        <v>1</v>
      </c>
      <c r="D146" s="35">
        <v>22</v>
      </c>
      <c r="E146" s="36">
        <v>0.51162789846640022</v>
      </c>
      <c r="F146" s="37"/>
      <c r="G146" s="37"/>
      <c r="H146" s="37"/>
      <c r="I146" s="37"/>
      <c r="J146" s="37"/>
      <c r="K146" s="37"/>
      <c r="L146" s="37"/>
      <c r="M146" s="37"/>
      <c r="N146" s="37"/>
      <c r="O146" s="37"/>
      <c r="P146" s="37"/>
      <c r="Q146" s="37"/>
    </row>
    <row r="147" spans="1:17" ht="15.75" hidden="1" customHeight="1" x14ac:dyDescent="0.25">
      <c r="A147" s="34" t="s">
        <v>56</v>
      </c>
      <c r="B147" s="35">
        <v>0</v>
      </c>
      <c r="C147" s="35">
        <v>1</v>
      </c>
      <c r="D147" s="35">
        <v>22</v>
      </c>
      <c r="E147" s="36">
        <v>0.51162789846640022</v>
      </c>
      <c r="F147" s="37"/>
      <c r="G147" s="37"/>
      <c r="H147" s="37"/>
      <c r="I147" s="37"/>
      <c r="J147" s="37"/>
      <c r="K147" s="37"/>
      <c r="L147" s="37"/>
      <c r="M147" s="37"/>
      <c r="N147" s="37"/>
      <c r="O147" s="37"/>
      <c r="P147" s="37"/>
      <c r="Q147" s="37"/>
    </row>
    <row r="148" spans="1:17" ht="15.75" hidden="1" customHeight="1" x14ac:dyDescent="0.25">
      <c r="A148" s="34" t="s">
        <v>58</v>
      </c>
      <c r="B148" s="35">
        <v>95</v>
      </c>
      <c r="C148" s="35">
        <v>1</v>
      </c>
      <c r="D148" s="35">
        <v>30</v>
      </c>
      <c r="E148" s="36">
        <v>0.5</v>
      </c>
      <c r="F148" s="37"/>
      <c r="G148" s="37"/>
      <c r="H148" s="37"/>
      <c r="I148" s="37"/>
      <c r="J148" s="37"/>
      <c r="K148" s="37"/>
      <c r="L148" s="37"/>
      <c r="M148" s="37"/>
      <c r="N148" s="37"/>
      <c r="O148" s="37"/>
      <c r="P148" s="37"/>
      <c r="Q148" s="37"/>
    </row>
    <row r="149" spans="1:17" ht="15.75" hidden="1" customHeight="1" x14ac:dyDescent="0.25">
      <c r="A149" s="34" t="s">
        <v>60</v>
      </c>
      <c r="B149" s="35">
        <v>1</v>
      </c>
      <c r="C149" s="35">
        <v>0.5</v>
      </c>
      <c r="D149" s="35">
        <v>2</v>
      </c>
      <c r="E149" s="36">
        <v>0.66666666666666663</v>
      </c>
      <c r="F149" s="37"/>
      <c r="G149" s="37"/>
      <c r="H149" s="37"/>
      <c r="I149" s="37"/>
      <c r="J149" s="37"/>
      <c r="K149" s="37"/>
      <c r="L149" s="37"/>
      <c r="M149" s="37"/>
      <c r="N149" s="37"/>
      <c r="O149" s="37"/>
      <c r="P149" s="37"/>
      <c r="Q149" s="37"/>
    </row>
    <row r="150" spans="1:17" ht="15.75" hidden="1" customHeight="1" x14ac:dyDescent="0.25">
      <c r="A150" s="34" t="s">
        <v>152</v>
      </c>
      <c r="B150" s="35">
        <v>0</v>
      </c>
      <c r="C150" s="35">
        <v>1</v>
      </c>
      <c r="D150" s="35">
        <v>0</v>
      </c>
      <c r="E150" s="36">
        <v>0</v>
      </c>
      <c r="F150" s="37"/>
      <c r="G150" s="37"/>
      <c r="H150" s="37"/>
      <c r="I150" s="37"/>
      <c r="J150" s="37"/>
      <c r="K150" s="37"/>
      <c r="L150" s="37"/>
      <c r="M150" s="37"/>
      <c r="N150" s="37"/>
      <c r="O150" s="37"/>
      <c r="P150" s="37"/>
      <c r="Q150" s="37"/>
    </row>
    <row r="151" spans="1:17" ht="15.75" hidden="1" customHeight="1" x14ac:dyDescent="0.25">
      <c r="A151" s="34" t="s">
        <v>154</v>
      </c>
      <c r="B151" s="35">
        <v>0</v>
      </c>
      <c r="C151" s="35">
        <v>1</v>
      </c>
      <c r="D151" s="35">
        <v>0</v>
      </c>
      <c r="E151" s="36">
        <v>0</v>
      </c>
      <c r="F151" s="37"/>
      <c r="G151" s="37"/>
      <c r="H151" s="37"/>
      <c r="I151" s="37"/>
      <c r="J151" s="37"/>
      <c r="K151" s="37"/>
      <c r="L151" s="37"/>
      <c r="M151" s="37"/>
      <c r="N151" s="37"/>
      <c r="O151" s="37"/>
      <c r="P151" s="37"/>
      <c r="Q151" s="37"/>
    </row>
    <row r="152" spans="1:17" ht="15.75" hidden="1" customHeight="1" x14ac:dyDescent="0.25">
      <c r="A152" s="34" t="s">
        <v>156</v>
      </c>
      <c r="B152" s="35">
        <v>5789</v>
      </c>
      <c r="C152" s="35">
        <v>1</v>
      </c>
      <c r="D152" s="35">
        <v>1500</v>
      </c>
      <c r="E152" s="36">
        <v>0.5</v>
      </c>
      <c r="F152" s="37"/>
      <c r="G152" s="37"/>
      <c r="H152" s="37"/>
      <c r="I152" s="37"/>
      <c r="J152" s="37"/>
      <c r="K152" s="37"/>
      <c r="L152" s="37"/>
      <c r="M152" s="37"/>
      <c r="N152" s="37"/>
      <c r="O152" s="37"/>
      <c r="P152" s="37"/>
      <c r="Q152" s="37"/>
    </row>
    <row r="153" spans="1:17" ht="15.75" hidden="1" customHeight="1" x14ac:dyDescent="0.25">
      <c r="A153" s="34" t="s">
        <v>158</v>
      </c>
      <c r="B153" s="35">
        <v>10</v>
      </c>
      <c r="C153" s="35">
        <v>1</v>
      </c>
      <c r="D153" s="35">
        <v>20</v>
      </c>
      <c r="E153" s="36">
        <v>0.44444444444444448</v>
      </c>
      <c r="F153" s="37"/>
      <c r="G153" s="37"/>
      <c r="H153" s="37"/>
      <c r="I153" s="37"/>
      <c r="J153" s="37"/>
      <c r="K153" s="37"/>
      <c r="L153" s="37"/>
      <c r="M153" s="37"/>
      <c r="N153" s="37"/>
      <c r="O153" s="37"/>
      <c r="P153" s="37"/>
      <c r="Q153" s="37"/>
    </row>
    <row r="154" spans="1:17" ht="15.75" hidden="1" customHeight="1" x14ac:dyDescent="0.25">
      <c r="A154" s="34" t="s">
        <v>160</v>
      </c>
      <c r="B154" s="35">
        <v>15</v>
      </c>
      <c r="C154" s="35">
        <v>1</v>
      </c>
      <c r="D154" s="35">
        <v>7</v>
      </c>
      <c r="E154" s="36">
        <v>0.46666666666666667</v>
      </c>
      <c r="F154" s="37"/>
      <c r="G154" s="37"/>
      <c r="H154" s="37"/>
      <c r="I154" s="37"/>
      <c r="J154" s="37"/>
      <c r="K154" s="37"/>
      <c r="L154" s="37"/>
      <c r="M154" s="37"/>
      <c r="N154" s="37"/>
      <c r="O154" s="37"/>
      <c r="P154" s="37"/>
      <c r="Q154" s="37"/>
    </row>
    <row r="155" spans="1:17" ht="15.75" hidden="1" customHeight="1" x14ac:dyDescent="0.25">
      <c r="A155" s="34" t="s">
        <v>162</v>
      </c>
      <c r="B155" s="35">
        <v>15</v>
      </c>
      <c r="C155" s="35">
        <v>1</v>
      </c>
      <c r="D155" s="35">
        <v>7</v>
      </c>
      <c r="E155" s="36">
        <v>0.46666666666666667</v>
      </c>
      <c r="F155" s="37"/>
      <c r="G155" s="37"/>
      <c r="H155" s="37"/>
      <c r="I155" s="37"/>
      <c r="J155" s="37"/>
      <c r="K155" s="37"/>
      <c r="L155" s="37"/>
      <c r="M155" s="37"/>
      <c r="N155" s="37"/>
      <c r="O155" s="37"/>
      <c r="P155" s="37"/>
      <c r="Q155" s="37"/>
    </row>
    <row r="156" spans="1:17" ht="15.75" hidden="1" customHeight="1" x14ac:dyDescent="0.25">
      <c r="A156" s="34" t="s">
        <v>178</v>
      </c>
      <c r="B156" s="35">
        <v>9</v>
      </c>
      <c r="C156" s="35">
        <v>0.52941175913728233</v>
      </c>
      <c r="D156" s="35">
        <v>1</v>
      </c>
      <c r="E156" s="36">
        <v>1</v>
      </c>
      <c r="F156" s="37"/>
      <c r="G156" s="37"/>
      <c r="H156" s="37"/>
      <c r="I156" s="37"/>
      <c r="J156" s="37"/>
      <c r="K156" s="37"/>
      <c r="L156" s="37"/>
      <c r="M156" s="37"/>
      <c r="N156" s="37"/>
      <c r="O156" s="37"/>
      <c r="P156" s="37"/>
      <c r="Q156" s="37"/>
    </row>
    <row r="157" spans="1:17" ht="15.75" hidden="1" customHeight="1" x14ac:dyDescent="0.25">
      <c r="A157" s="34" t="s">
        <v>180</v>
      </c>
      <c r="B157" s="35">
        <v>16</v>
      </c>
      <c r="C157" s="35">
        <v>1</v>
      </c>
      <c r="D157" s="35">
        <v>18</v>
      </c>
      <c r="E157" s="36">
        <v>0.40000001059638157</v>
      </c>
      <c r="F157" s="37"/>
      <c r="G157" s="37"/>
      <c r="H157" s="37"/>
      <c r="I157" s="37"/>
      <c r="J157" s="37"/>
      <c r="K157" s="37"/>
      <c r="L157" s="37"/>
      <c r="M157" s="37"/>
      <c r="N157" s="37"/>
      <c r="O157" s="37"/>
      <c r="P157" s="37"/>
      <c r="Q157" s="37"/>
    </row>
    <row r="158" spans="1:17" ht="15.75" hidden="1" customHeight="1" x14ac:dyDescent="0.25">
      <c r="A158" s="34" t="s">
        <v>205</v>
      </c>
      <c r="B158" s="35">
        <v>8</v>
      </c>
      <c r="C158" s="35">
        <v>0.79999999999999993</v>
      </c>
      <c r="D158" s="35">
        <v>1</v>
      </c>
      <c r="E158" s="36">
        <v>1.6666666666666666E-2</v>
      </c>
      <c r="F158" s="37"/>
      <c r="G158" s="37"/>
      <c r="H158" s="37"/>
      <c r="I158" s="37"/>
      <c r="J158" s="37"/>
      <c r="K158" s="37"/>
      <c r="L158" s="37"/>
      <c r="M158" s="37"/>
      <c r="N158" s="37"/>
      <c r="O158" s="37"/>
      <c r="P158" s="37"/>
      <c r="Q158" s="37"/>
    </row>
    <row r="159" spans="1:17" ht="15.75" hidden="1" customHeight="1" x14ac:dyDescent="0.25">
      <c r="A159" s="34" t="s">
        <v>217</v>
      </c>
      <c r="B159" s="35">
        <v>0</v>
      </c>
      <c r="C159" s="35">
        <v>1</v>
      </c>
      <c r="D159" s="35">
        <v>0</v>
      </c>
      <c r="E159" s="36">
        <v>0</v>
      </c>
      <c r="F159" s="37"/>
      <c r="G159" s="37"/>
      <c r="H159" s="37"/>
      <c r="I159" s="37"/>
      <c r="J159" s="37"/>
      <c r="K159" s="37"/>
      <c r="L159" s="37"/>
      <c r="M159" s="37"/>
      <c r="N159" s="37"/>
      <c r="O159" s="37"/>
      <c r="P159" s="37"/>
      <c r="Q159" s="37"/>
    </row>
    <row r="160" spans="1:17" ht="15.75" hidden="1" customHeight="1" x14ac:dyDescent="0.25">
      <c r="A160" s="34" t="s">
        <v>219</v>
      </c>
      <c r="B160" s="35">
        <v>0</v>
      </c>
      <c r="C160" s="35">
        <v>1</v>
      </c>
      <c r="D160" s="35">
        <v>0</v>
      </c>
      <c r="E160" s="36">
        <v>0</v>
      </c>
      <c r="F160" s="37"/>
      <c r="G160" s="37"/>
      <c r="H160" s="37"/>
      <c r="I160" s="37"/>
      <c r="J160" s="37"/>
      <c r="K160" s="37"/>
      <c r="L160" s="37"/>
      <c r="M160" s="37"/>
      <c r="N160" s="37"/>
      <c r="O160" s="37"/>
      <c r="P160" s="37"/>
      <c r="Q160" s="37"/>
    </row>
    <row r="161" spans="1:17" ht="15.75" hidden="1" customHeight="1" x14ac:dyDescent="0.25">
      <c r="A161" s="34" t="s">
        <v>221</v>
      </c>
      <c r="B161" s="35">
        <v>17</v>
      </c>
      <c r="C161" s="35">
        <v>1</v>
      </c>
      <c r="D161" s="35">
        <v>43</v>
      </c>
      <c r="E161" s="36">
        <v>1</v>
      </c>
      <c r="F161" s="37"/>
      <c r="G161" s="37"/>
      <c r="H161" s="37"/>
      <c r="I161" s="37"/>
      <c r="J161" s="37"/>
      <c r="K161" s="37"/>
      <c r="L161" s="37"/>
      <c r="M161" s="37"/>
      <c r="N161" s="37"/>
      <c r="O161" s="37"/>
      <c r="P161" s="37"/>
      <c r="Q161" s="37"/>
    </row>
    <row r="162" spans="1:17" ht="15.75" hidden="1" customHeight="1" x14ac:dyDescent="0.25">
      <c r="A162" s="34" t="s">
        <v>223</v>
      </c>
      <c r="B162" s="35">
        <v>25</v>
      </c>
      <c r="C162" s="35">
        <v>0.25</v>
      </c>
      <c r="D162" s="35">
        <v>1.8</v>
      </c>
      <c r="E162" s="36">
        <v>0.36</v>
      </c>
      <c r="F162" s="37"/>
      <c r="G162" s="37"/>
      <c r="H162" s="37"/>
      <c r="I162" s="37"/>
      <c r="J162" s="37"/>
      <c r="K162" s="37"/>
      <c r="L162" s="37"/>
      <c r="M162" s="37"/>
      <c r="N162" s="37"/>
      <c r="O162" s="37"/>
      <c r="P162" s="37"/>
      <c r="Q162" s="37"/>
    </row>
    <row r="163" spans="1:17" ht="15.75" hidden="1" customHeight="1" x14ac:dyDescent="0.25">
      <c r="A163" s="34" t="s">
        <v>225</v>
      </c>
      <c r="B163" s="35">
        <v>0</v>
      </c>
      <c r="C163" s="35">
        <v>1</v>
      </c>
      <c r="D163" s="35">
        <v>0</v>
      </c>
      <c r="E163" s="36">
        <v>0</v>
      </c>
      <c r="F163" s="37"/>
      <c r="G163" s="37"/>
      <c r="H163" s="37"/>
      <c r="I163" s="37"/>
      <c r="J163" s="37"/>
      <c r="K163" s="37"/>
      <c r="L163" s="37"/>
      <c r="M163" s="37"/>
      <c r="N163" s="37"/>
      <c r="O163" s="37"/>
      <c r="P163" s="37"/>
      <c r="Q163" s="37"/>
    </row>
    <row r="164" spans="1:17" ht="15.75" hidden="1" customHeight="1" x14ac:dyDescent="0.25">
      <c r="A164" s="34" t="s">
        <v>227</v>
      </c>
      <c r="B164" s="35">
        <v>0</v>
      </c>
      <c r="C164" s="35">
        <v>1</v>
      </c>
      <c r="D164" s="35">
        <v>0</v>
      </c>
      <c r="E164" s="36">
        <v>1</v>
      </c>
      <c r="F164" s="37"/>
      <c r="G164" s="37"/>
      <c r="H164" s="37"/>
      <c r="I164" s="37"/>
      <c r="J164" s="37"/>
      <c r="K164" s="37"/>
      <c r="L164" s="37"/>
      <c r="M164" s="37"/>
      <c r="N164" s="37"/>
      <c r="O164" s="37"/>
      <c r="P164" s="37"/>
      <c r="Q164" s="37"/>
    </row>
    <row r="165" spans="1:17" ht="15.75" hidden="1" customHeight="1" x14ac:dyDescent="0.25">
      <c r="A165" s="34" t="s">
        <v>269</v>
      </c>
      <c r="B165" s="35">
        <v>1</v>
      </c>
      <c r="C165" s="35">
        <v>0.33333333333333331</v>
      </c>
      <c r="D165" s="35">
        <v>0</v>
      </c>
      <c r="E165" s="36">
        <v>0</v>
      </c>
      <c r="F165" s="37"/>
      <c r="G165" s="37"/>
      <c r="H165" s="37"/>
      <c r="I165" s="37"/>
      <c r="J165" s="37"/>
      <c r="K165" s="37"/>
      <c r="L165" s="37"/>
      <c r="M165" s="37"/>
      <c r="N165" s="37"/>
      <c r="O165" s="37"/>
      <c r="P165" s="37"/>
      <c r="Q165" s="37"/>
    </row>
    <row r="166" spans="1:17" ht="15.75" hidden="1" customHeight="1" x14ac:dyDescent="0.25">
      <c r="A166" s="34" t="s">
        <v>271</v>
      </c>
      <c r="B166" s="35">
        <v>35</v>
      </c>
      <c r="C166" s="35">
        <v>1</v>
      </c>
      <c r="D166" s="35">
        <v>50</v>
      </c>
      <c r="E166" s="36">
        <v>1</v>
      </c>
      <c r="F166" s="37"/>
      <c r="G166" s="37"/>
      <c r="H166" s="37"/>
      <c r="I166" s="37"/>
      <c r="J166" s="37"/>
      <c r="K166" s="37"/>
      <c r="L166" s="37"/>
      <c r="M166" s="37"/>
      <c r="N166" s="37"/>
      <c r="O166" s="37"/>
      <c r="P166" s="37"/>
      <c r="Q166" s="37"/>
    </row>
    <row r="167" spans="1:17" ht="15.75" hidden="1" customHeight="1" x14ac:dyDescent="0.25">
      <c r="A167" s="34" t="s">
        <v>273</v>
      </c>
      <c r="B167" s="35">
        <v>20</v>
      </c>
      <c r="C167" s="35">
        <v>1</v>
      </c>
      <c r="D167" s="35">
        <v>40</v>
      </c>
      <c r="E167" s="36">
        <v>0.8</v>
      </c>
      <c r="F167" s="37"/>
      <c r="G167" s="37"/>
      <c r="H167" s="37"/>
      <c r="I167" s="37"/>
      <c r="J167" s="37"/>
      <c r="K167" s="37"/>
      <c r="L167" s="37"/>
      <c r="M167" s="37"/>
      <c r="N167" s="37"/>
      <c r="O167" s="37"/>
      <c r="P167" s="37"/>
      <c r="Q167" s="37"/>
    </row>
    <row r="168" spans="1:17" ht="15.75" hidden="1" customHeight="1" x14ac:dyDescent="0.25">
      <c r="A168" s="34" t="s">
        <v>90</v>
      </c>
      <c r="B168" s="35">
        <v>0</v>
      </c>
      <c r="C168" s="35">
        <v>1</v>
      </c>
      <c r="D168" s="35"/>
      <c r="E168" s="37"/>
      <c r="F168" s="37"/>
      <c r="G168" s="37"/>
      <c r="H168" s="37"/>
      <c r="I168" s="37"/>
      <c r="J168" s="37"/>
      <c r="K168" s="37"/>
      <c r="L168" s="37"/>
      <c r="M168" s="37"/>
      <c r="N168" s="37"/>
      <c r="O168" s="37"/>
      <c r="P168" s="37"/>
      <c r="Q168" s="37"/>
    </row>
    <row r="169" spans="1:17" ht="15.75" hidden="1" customHeight="1" x14ac:dyDescent="0.25">
      <c r="A169" s="34" t="s">
        <v>92</v>
      </c>
      <c r="B169" s="35">
        <v>0</v>
      </c>
      <c r="C169" s="35">
        <v>1</v>
      </c>
      <c r="D169" s="35"/>
      <c r="E169" s="37"/>
      <c r="F169" s="37"/>
      <c r="G169" s="37"/>
      <c r="H169" s="37"/>
      <c r="I169" s="37"/>
      <c r="J169" s="37"/>
      <c r="K169" s="37"/>
      <c r="L169" s="37"/>
      <c r="M169" s="37"/>
      <c r="N169" s="37"/>
      <c r="O169" s="37"/>
      <c r="P169" s="37"/>
      <c r="Q169" s="37"/>
    </row>
    <row r="170" spans="1:17" ht="15.75" hidden="1" customHeight="1" x14ac:dyDescent="0.25">
      <c r="A170" s="34" t="s">
        <v>94</v>
      </c>
      <c r="B170" s="35">
        <v>0</v>
      </c>
      <c r="C170" s="35">
        <v>1</v>
      </c>
      <c r="D170" s="35"/>
      <c r="E170" s="37"/>
      <c r="F170" s="37"/>
      <c r="G170" s="37"/>
      <c r="H170" s="37"/>
      <c r="I170" s="37"/>
      <c r="J170" s="37"/>
      <c r="K170" s="37"/>
      <c r="L170" s="37"/>
      <c r="M170" s="37"/>
      <c r="N170" s="37"/>
      <c r="O170" s="37"/>
      <c r="P170" s="37"/>
      <c r="Q170" s="37"/>
    </row>
    <row r="171" spans="1:17" ht="15.75" hidden="1" customHeight="1" x14ac:dyDescent="0.25">
      <c r="A171" s="34">
        <v>0</v>
      </c>
      <c r="B171" s="35"/>
      <c r="C171" s="35"/>
      <c r="D171" s="35"/>
      <c r="E171" s="37"/>
      <c r="F171" s="37"/>
      <c r="G171" s="37"/>
      <c r="H171" s="37"/>
      <c r="I171" s="37"/>
      <c r="J171" s="37"/>
      <c r="K171" s="37"/>
      <c r="L171" s="37"/>
      <c r="M171" s="37"/>
      <c r="N171" s="37"/>
      <c r="O171" s="37"/>
      <c r="P171" s="37"/>
      <c r="Q171" s="37"/>
    </row>
    <row r="172" spans="1:17" ht="15.75" hidden="1" customHeight="1" x14ac:dyDescent="0.25">
      <c r="A172" s="34">
        <v>0</v>
      </c>
      <c r="B172" s="35"/>
      <c r="C172" s="35"/>
      <c r="D172" s="35"/>
      <c r="E172" s="37"/>
      <c r="F172" s="37"/>
      <c r="G172" s="37"/>
      <c r="H172" s="37"/>
      <c r="I172" s="37"/>
      <c r="J172" s="37"/>
      <c r="K172" s="37"/>
      <c r="L172" s="37"/>
      <c r="M172" s="37"/>
      <c r="N172" s="37"/>
      <c r="O172" s="37"/>
      <c r="P172" s="37"/>
      <c r="Q172" s="37"/>
    </row>
    <row r="173" spans="1:17" ht="15.75" hidden="1" customHeight="1" x14ac:dyDescent="0.25">
      <c r="A173" s="34">
        <v>0</v>
      </c>
      <c r="B173" s="35"/>
      <c r="C173" s="35"/>
      <c r="D173" s="35"/>
      <c r="E173" s="37"/>
      <c r="F173" s="37"/>
      <c r="G173" s="37"/>
      <c r="H173" s="37"/>
      <c r="I173" s="37"/>
      <c r="J173" s="37"/>
      <c r="K173" s="37"/>
      <c r="L173" s="37"/>
      <c r="M173" s="37"/>
      <c r="N173" s="37"/>
      <c r="O173" s="37"/>
      <c r="P173" s="37"/>
      <c r="Q173" s="37"/>
    </row>
    <row r="174" spans="1:17" ht="15.75" hidden="1" customHeight="1" x14ac:dyDescent="0.25">
      <c r="A174" s="34">
        <v>0</v>
      </c>
      <c r="B174" s="35"/>
      <c r="C174" s="35"/>
      <c r="D174" s="35"/>
      <c r="E174" s="37"/>
      <c r="F174" s="37"/>
      <c r="G174" s="37"/>
      <c r="H174" s="37"/>
      <c r="I174" s="37"/>
      <c r="J174" s="37"/>
      <c r="K174" s="37"/>
      <c r="L174" s="37"/>
      <c r="M174" s="37"/>
      <c r="N174" s="37"/>
      <c r="O174" s="37"/>
      <c r="P174" s="37"/>
      <c r="Q174" s="37"/>
    </row>
    <row r="175" spans="1:17" ht="15.75" hidden="1" customHeight="1" x14ac:dyDescent="0.25">
      <c r="A175" s="34">
        <v>0</v>
      </c>
      <c r="B175" s="35"/>
      <c r="C175" s="35"/>
      <c r="D175" s="35"/>
      <c r="E175" s="37"/>
      <c r="F175" s="37"/>
      <c r="G175" s="37"/>
      <c r="H175" s="37"/>
      <c r="I175" s="37"/>
      <c r="J175" s="37"/>
      <c r="K175" s="37"/>
      <c r="L175" s="37"/>
      <c r="M175" s="37"/>
      <c r="N175" s="37"/>
      <c r="O175" s="37"/>
      <c r="P175" s="37"/>
      <c r="Q175" s="37"/>
    </row>
    <row r="176" spans="1:17" ht="15.75" hidden="1" customHeight="1" x14ac:dyDescent="0.25">
      <c r="A176" s="34">
        <v>0</v>
      </c>
      <c r="B176" s="35"/>
      <c r="C176" s="35"/>
      <c r="D176" s="35"/>
      <c r="E176" s="37"/>
      <c r="F176" s="37"/>
      <c r="G176" s="37"/>
      <c r="H176" s="37"/>
      <c r="I176" s="37"/>
      <c r="J176" s="37"/>
      <c r="K176" s="37"/>
      <c r="L176" s="37"/>
      <c r="M176" s="37"/>
      <c r="N176" s="37"/>
      <c r="O176" s="37"/>
      <c r="P176" s="37"/>
      <c r="Q176" s="37"/>
    </row>
    <row r="177" spans="1:17" ht="15.75" hidden="1" customHeight="1" x14ac:dyDescent="0.25">
      <c r="A177" s="34">
        <v>0</v>
      </c>
      <c r="B177" s="35"/>
      <c r="C177" s="35"/>
      <c r="D177" s="35"/>
      <c r="E177" s="37"/>
      <c r="F177" s="37"/>
      <c r="G177" s="37"/>
      <c r="H177" s="37"/>
      <c r="I177" s="37"/>
      <c r="J177" s="37"/>
      <c r="K177" s="37"/>
      <c r="L177" s="37"/>
      <c r="M177" s="37"/>
      <c r="N177" s="37"/>
      <c r="O177" s="37"/>
      <c r="P177" s="37"/>
      <c r="Q177" s="37"/>
    </row>
    <row r="178" spans="1:17" ht="15.75" hidden="1" customHeight="1" x14ac:dyDescent="0.25">
      <c r="A178" s="34">
        <v>0</v>
      </c>
      <c r="B178" s="35"/>
      <c r="C178" s="35"/>
      <c r="D178" s="35"/>
      <c r="E178" s="37"/>
      <c r="F178" s="37"/>
      <c r="G178" s="37"/>
      <c r="H178" s="37"/>
      <c r="I178" s="37"/>
      <c r="J178" s="37"/>
      <c r="K178" s="37"/>
      <c r="L178" s="37"/>
      <c r="M178" s="37"/>
      <c r="N178" s="37"/>
      <c r="O178" s="37"/>
      <c r="P178" s="37"/>
      <c r="Q178" s="37"/>
    </row>
    <row r="179" spans="1:17" ht="15.75" hidden="1" customHeight="1" x14ac:dyDescent="0.25">
      <c r="A179" s="34">
        <v>0</v>
      </c>
      <c r="B179" s="35"/>
      <c r="C179" s="35"/>
      <c r="D179" s="35"/>
      <c r="E179" s="37"/>
      <c r="F179" s="37"/>
      <c r="G179" s="37"/>
      <c r="H179" s="37"/>
      <c r="I179" s="37"/>
      <c r="J179" s="37"/>
      <c r="K179" s="37"/>
      <c r="L179" s="37"/>
      <c r="M179" s="37"/>
      <c r="N179" s="37"/>
      <c r="O179" s="37"/>
      <c r="P179" s="37"/>
      <c r="Q179" s="37"/>
    </row>
    <row r="180" spans="1:17" ht="15.75" hidden="1" customHeight="1" x14ac:dyDescent="0.25">
      <c r="A180" s="34">
        <v>0</v>
      </c>
      <c r="B180" s="35"/>
      <c r="C180" s="35"/>
      <c r="D180" s="35"/>
      <c r="E180" s="37"/>
      <c r="F180" s="37"/>
      <c r="G180" s="37"/>
      <c r="H180" s="37"/>
      <c r="I180" s="37"/>
      <c r="J180" s="37"/>
      <c r="K180" s="37"/>
      <c r="L180" s="37"/>
      <c r="M180" s="37"/>
      <c r="N180" s="37"/>
      <c r="O180" s="37"/>
      <c r="P180" s="37"/>
      <c r="Q180" s="37"/>
    </row>
    <row r="181" spans="1:17" ht="15.75" customHeight="1" x14ac:dyDescent="0.25">
      <c r="B181" s="39"/>
      <c r="C181" s="39"/>
    </row>
    <row r="182" spans="1:17" ht="15.75" hidden="1" customHeight="1" x14ac:dyDescent="0.25">
      <c r="B182" s="39"/>
      <c r="C182" s="39"/>
    </row>
    <row r="183" spans="1:17" ht="15.75" hidden="1" customHeight="1" x14ac:dyDescent="0.25">
      <c r="B183" s="39"/>
      <c r="C183" s="39"/>
    </row>
    <row r="184" spans="1:17" ht="15.75" hidden="1" customHeight="1" x14ac:dyDescent="0.25">
      <c r="B184" s="39"/>
      <c r="C184" s="39"/>
    </row>
    <row r="185" spans="1:17" ht="15.75" hidden="1" customHeight="1" x14ac:dyDescent="0.25">
      <c r="B185" s="39"/>
      <c r="C185" s="39"/>
    </row>
    <row r="186" spans="1:17" ht="15.75" hidden="1" customHeight="1" x14ac:dyDescent="0.25">
      <c r="B186" s="39"/>
      <c r="C186" s="39"/>
    </row>
    <row r="187" spans="1:17" ht="15.75" hidden="1" customHeight="1" x14ac:dyDescent="0.25">
      <c r="B187" s="39"/>
      <c r="C187" s="39"/>
    </row>
    <row r="188" spans="1:17" ht="15.75" hidden="1" customHeight="1" x14ac:dyDescent="0.25">
      <c r="B188" s="39"/>
      <c r="C188" s="39"/>
    </row>
    <row r="189" spans="1:17" ht="15.75" hidden="1" customHeight="1" x14ac:dyDescent="0.25">
      <c r="B189" s="39"/>
      <c r="C189" s="39"/>
    </row>
    <row r="190" spans="1:17" ht="15.75" hidden="1" customHeight="1" x14ac:dyDescent="0.25">
      <c r="B190" s="39"/>
      <c r="C190" s="39"/>
    </row>
    <row r="191" spans="1:17" ht="15.75" hidden="1" customHeight="1" x14ac:dyDescent="0.25">
      <c r="B191" s="39"/>
      <c r="C191" s="39"/>
    </row>
    <row r="192" spans="1:17" ht="15.75" hidden="1" customHeight="1" x14ac:dyDescent="0.25">
      <c r="B192" s="39"/>
      <c r="C192" s="39"/>
    </row>
    <row r="193" spans="2:3" ht="15.75" hidden="1" customHeight="1" x14ac:dyDescent="0.25">
      <c r="B193" s="39"/>
      <c r="C193" s="39"/>
    </row>
    <row r="194" spans="2:3" ht="15.75" hidden="1" customHeight="1" x14ac:dyDescent="0.25">
      <c r="B194" s="39"/>
      <c r="C194" s="39"/>
    </row>
    <row r="195" spans="2:3" ht="15.75" hidden="1" customHeight="1" x14ac:dyDescent="0.25">
      <c r="B195" s="39"/>
      <c r="C195" s="39"/>
    </row>
    <row r="196" spans="2:3" ht="15.75" hidden="1" customHeight="1" x14ac:dyDescent="0.25">
      <c r="B196" s="39"/>
      <c r="C196" s="39"/>
    </row>
    <row r="197" spans="2:3" ht="15.75" hidden="1" customHeight="1" x14ac:dyDescent="0.25">
      <c r="B197" s="39"/>
      <c r="C197" s="39"/>
    </row>
    <row r="198" spans="2:3" ht="15.75" hidden="1" customHeight="1" x14ac:dyDescent="0.25"/>
    <row r="199" spans="2:3" ht="15.75" hidden="1" customHeight="1" x14ac:dyDescent="0.25"/>
    <row r="200" spans="2:3" ht="15.75" hidden="1" customHeight="1" x14ac:dyDescent="0.25"/>
    <row r="201" spans="2:3" ht="15.75" hidden="1" customHeight="1" x14ac:dyDescent="0.25"/>
    <row r="202" spans="2:3" ht="15.75" hidden="1" customHeight="1" x14ac:dyDescent="0.25"/>
    <row r="203" spans="2:3" ht="15.75" hidden="1" customHeight="1" x14ac:dyDescent="0.25"/>
    <row r="204" spans="2:3" ht="15.75" hidden="1" customHeight="1" x14ac:dyDescent="0.25"/>
    <row r="205" spans="2:3" ht="15.75" hidden="1" customHeight="1" x14ac:dyDescent="0.25"/>
    <row r="206" spans="2:3" ht="15.75" hidden="1" customHeight="1" x14ac:dyDescent="0.25"/>
    <row r="207" spans="2:3" ht="15.75" hidden="1" customHeight="1" x14ac:dyDescent="0.25"/>
    <row r="208" spans="2:3" ht="15.75" hidden="1" customHeight="1" x14ac:dyDescent="0.25"/>
    <row r="209" ht="15.75" hidden="1" customHeight="1" x14ac:dyDescent="0.25"/>
    <row r="210" ht="15.75" hidden="1" customHeight="1" x14ac:dyDescent="0.25"/>
    <row r="211" ht="15.75" hidden="1" customHeight="1" x14ac:dyDescent="0.25"/>
    <row r="212" ht="15.75" hidden="1" customHeight="1" x14ac:dyDescent="0.25"/>
    <row r="213" ht="15.75" hidden="1" customHeight="1" x14ac:dyDescent="0.25"/>
    <row r="214" ht="15.75" hidden="1" customHeight="1" x14ac:dyDescent="0.25"/>
    <row r="215" ht="15.75" hidden="1" customHeight="1" x14ac:dyDescent="0.25"/>
    <row r="216" ht="15.75" hidden="1" customHeight="1" x14ac:dyDescent="0.25"/>
    <row r="217" ht="15.75" hidden="1" customHeight="1" x14ac:dyDescent="0.25"/>
    <row r="218" ht="15.75" hidden="1" customHeight="1" x14ac:dyDescent="0.25"/>
    <row r="219" ht="15.75" hidden="1" customHeight="1" x14ac:dyDescent="0.25"/>
    <row r="220" ht="15.75" hidden="1" customHeight="1" x14ac:dyDescent="0.25"/>
    <row r="221" ht="15.75" hidden="1" customHeight="1" x14ac:dyDescent="0.25"/>
    <row r="222" ht="15.75" hidden="1" customHeight="1" x14ac:dyDescent="0.25"/>
    <row r="223" ht="15.75" hidden="1" customHeight="1" x14ac:dyDescent="0.25"/>
    <row r="224" ht="15.75" hidden="1" customHeight="1" x14ac:dyDescent="0.25"/>
    <row r="225" ht="15.75" hidden="1" customHeight="1" x14ac:dyDescent="0.25"/>
    <row r="226" ht="15.75" hidden="1" customHeight="1" x14ac:dyDescent="0.25"/>
    <row r="227" ht="15.75" hidden="1" customHeight="1" x14ac:dyDescent="0.25"/>
    <row r="228" ht="15.75" hidden="1" customHeight="1" x14ac:dyDescent="0.25"/>
    <row r="229" ht="15.75" hidden="1" customHeight="1" x14ac:dyDescent="0.25"/>
    <row r="230" ht="15.75" hidden="1" customHeight="1" x14ac:dyDescent="0.25"/>
    <row r="231" ht="15.75" hidden="1" customHeight="1" x14ac:dyDescent="0.25"/>
    <row r="232" ht="15.75" hidden="1" customHeight="1" x14ac:dyDescent="0.25"/>
    <row r="233" ht="15.75" hidden="1" customHeight="1" x14ac:dyDescent="0.25"/>
    <row r="234" ht="15.75" hidden="1" customHeight="1" x14ac:dyDescent="0.25"/>
    <row r="235" ht="15.75" hidden="1" customHeight="1" x14ac:dyDescent="0.25"/>
    <row r="236" ht="15.75" hidden="1" customHeight="1" x14ac:dyDescent="0.25"/>
    <row r="237" ht="15.75" hidden="1" customHeight="1" x14ac:dyDescent="0.25"/>
    <row r="238" ht="15.75" hidden="1" customHeight="1" x14ac:dyDescent="0.25"/>
    <row r="239" ht="15.75" hidden="1" customHeight="1" x14ac:dyDescent="0.25"/>
    <row r="240" ht="15.75" hidden="1" customHeight="1" x14ac:dyDescent="0.25"/>
    <row r="241" ht="15.75" hidden="1" customHeight="1" x14ac:dyDescent="0.25"/>
    <row r="242" ht="15.75" hidden="1" customHeight="1" x14ac:dyDescent="0.25"/>
    <row r="243" ht="15.75" hidden="1" customHeight="1" x14ac:dyDescent="0.25"/>
    <row r="244" ht="15.75" hidden="1" customHeight="1" x14ac:dyDescent="0.25"/>
    <row r="245" ht="15.75" hidden="1" customHeight="1" x14ac:dyDescent="0.25"/>
    <row r="246" ht="15.75" hidden="1" customHeight="1" x14ac:dyDescent="0.25"/>
    <row r="247" ht="15.75" hidden="1" customHeight="1" x14ac:dyDescent="0.25"/>
    <row r="248" ht="15.75" hidden="1" customHeight="1" x14ac:dyDescent="0.25"/>
    <row r="249" ht="15.75" hidden="1" customHeight="1" x14ac:dyDescent="0.25"/>
    <row r="250" ht="15.75" hidden="1" customHeight="1" x14ac:dyDescent="0.25"/>
    <row r="251" ht="15.75" hidden="1" customHeight="1" x14ac:dyDescent="0.25"/>
    <row r="252" ht="15.75" hidden="1" customHeight="1" x14ac:dyDescent="0.25"/>
    <row r="253" ht="15.75" hidden="1" customHeight="1" x14ac:dyDescent="0.25"/>
    <row r="254" ht="15.75" hidden="1" customHeight="1" x14ac:dyDescent="0.25"/>
    <row r="255" ht="15.75" hidden="1" customHeight="1" x14ac:dyDescent="0.25"/>
    <row r="256" ht="15.75" hidden="1" customHeight="1" x14ac:dyDescent="0.25"/>
    <row r="257" ht="15.75" hidden="1" customHeight="1" x14ac:dyDescent="0.25"/>
    <row r="258" ht="15.75" hidden="1" customHeight="1" x14ac:dyDescent="0.25"/>
    <row r="259" ht="15.75" hidden="1" customHeight="1" x14ac:dyDescent="0.25"/>
    <row r="260" ht="15.75" hidden="1" customHeight="1" x14ac:dyDescent="0.25"/>
    <row r="261" ht="15.75" hidden="1" customHeight="1" x14ac:dyDescent="0.25"/>
    <row r="262" ht="15.75" hidden="1" customHeight="1" x14ac:dyDescent="0.25"/>
    <row r="263" ht="15.75" hidden="1" customHeight="1" x14ac:dyDescent="0.25"/>
    <row r="264" ht="15.75" hidden="1" customHeight="1" x14ac:dyDescent="0.25"/>
    <row r="265" ht="15.75" hidden="1" customHeight="1" x14ac:dyDescent="0.25"/>
    <row r="266" ht="15.75" hidden="1" customHeight="1" x14ac:dyDescent="0.25"/>
    <row r="267" ht="15.75" hidden="1" customHeight="1" x14ac:dyDescent="0.25"/>
    <row r="268" ht="15.75" hidden="1" customHeight="1" x14ac:dyDescent="0.25"/>
    <row r="269" ht="15.75" hidden="1" customHeight="1" x14ac:dyDescent="0.25"/>
    <row r="270" ht="15.75" hidden="1" customHeight="1" x14ac:dyDescent="0.25"/>
    <row r="271" ht="15.75" hidden="1" customHeight="1" x14ac:dyDescent="0.25"/>
    <row r="272" ht="15.75" hidden="1" customHeight="1" x14ac:dyDescent="0.25"/>
    <row r="273" ht="15.75" hidden="1" customHeight="1" x14ac:dyDescent="0.25"/>
    <row r="274" ht="15.75" hidden="1" customHeight="1" x14ac:dyDescent="0.25"/>
    <row r="275" ht="15.75" hidden="1" customHeight="1" x14ac:dyDescent="0.25"/>
    <row r="276" ht="15.75" hidden="1" customHeight="1" x14ac:dyDescent="0.25"/>
    <row r="277" ht="15.75" hidden="1" customHeight="1" x14ac:dyDescent="0.25"/>
    <row r="278" ht="15.75" hidden="1" customHeight="1" x14ac:dyDescent="0.25"/>
    <row r="279" ht="15.75" hidden="1" customHeight="1" x14ac:dyDescent="0.25"/>
    <row r="280" ht="15.75" hidden="1" customHeight="1" x14ac:dyDescent="0.25"/>
    <row r="281" ht="15.75" hidden="1" customHeight="1" x14ac:dyDescent="0.25"/>
    <row r="282" ht="15.75" hidden="1" customHeight="1" x14ac:dyDescent="0.25"/>
    <row r="283" ht="15.75" hidden="1" customHeight="1" x14ac:dyDescent="0.25"/>
    <row r="284" ht="15.75" hidden="1" customHeight="1" x14ac:dyDescent="0.25"/>
    <row r="285" ht="15.75" hidden="1" customHeight="1" x14ac:dyDescent="0.25"/>
    <row r="286" ht="15.75" hidden="1" customHeight="1" x14ac:dyDescent="0.25"/>
    <row r="287" ht="15.75" hidden="1" customHeight="1" x14ac:dyDescent="0.25"/>
    <row r="288" ht="15.75" hidden="1" customHeight="1" x14ac:dyDescent="0.25"/>
    <row r="289" ht="15.75" hidden="1" customHeight="1" x14ac:dyDescent="0.25"/>
    <row r="290" ht="15.75" hidden="1" customHeight="1" x14ac:dyDescent="0.25"/>
    <row r="291" ht="15.75" hidden="1" customHeight="1" x14ac:dyDescent="0.25"/>
    <row r="292" ht="15.75" hidden="1" customHeight="1" x14ac:dyDescent="0.25"/>
    <row r="293" ht="15.75" hidden="1" customHeight="1" x14ac:dyDescent="0.25"/>
    <row r="294" ht="15.75" hidden="1" customHeight="1" x14ac:dyDescent="0.25"/>
    <row r="295" ht="15.75" hidden="1" customHeight="1" x14ac:dyDescent="0.25"/>
    <row r="296" ht="15.75" hidden="1" customHeight="1" x14ac:dyDescent="0.25"/>
    <row r="297" ht="15.75" hidden="1" customHeight="1" x14ac:dyDescent="0.25"/>
    <row r="298" ht="15.75" hidden="1" customHeight="1" x14ac:dyDescent="0.25"/>
    <row r="299" ht="15.75" hidden="1" customHeight="1" x14ac:dyDescent="0.25"/>
    <row r="300" ht="15.75" hidden="1" customHeight="1" x14ac:dyDescent="0.25"/>
    <row r="301" ht="15.75" hidden="1" customHeight="1" x14ac:dyDescent="0.25"/>
    <row r="302" ht="15.75" hidden="1" customHeight="1" x14ac:dyDescent="0.25"/>
    <row r="303" ht="15.75" hidden="1" customHeight="1" x14ac:dyDescent="0.25"/>
    <row r="304" ht="15.75" hidden="1" customHeight="1" x14ac:dyDescent="0.25"/>
    <row r="305" ht="15.75" hidden="1" customHeight="1" x14ac:dyDescent="0.25"/>
    <row r="306" ht="15.75" hidden="1" customHeight="1" x14ac:dyDescent="0.25"/>
    <row r="307" ht="15.75" hidden="1" customHeight="1" x14ac:dyDescent="0.25"/>
    <row r="308" ht="15.75" hidden="1" customHeight="1" x14ac:dyDescent="0.25"/>
    <row r="309" ht="15.75" hidden="1" customHeight="1" x14ac:dyDescent="0.25"/>
    <row r="310" ht="15.75" hidden="1" customHeight="1" x14ac:dyDescent="0.25"/>
    <row r="311" ht="15.75" hidden="1" customHeight="1" x14ac:dyDescent="0.25"/>
    <row r="312" ht="15.75" hidden="1" customHeight="1" x14ac:dyDescent="0.25"/>
    <row r="313" ht="15.75" hidden="1" customHeight="1" x14ac:dyDescent="0.25"/>
    <row r="314" ht="15.75" hidden="1" customHeight="1" x14ac:dyDescent="0.25"/>
    <row r="315" ht="15.75" hidden="1" customHeight="1" x14ac:dyDescent="0.25"/>
    <row r="316" ht="15.75" hidden="1" customHeight="1" x14ac:dyDescent="0.25"/>
    <row r="317" ht="15.75" hidden="1" customHeight="1" x14ac:dyDescent="0.25"/>
    <row r="318" ht="15.75" hidden="1" customHeight="1" x14ac:dyDescent="0.25"/>
    <row r="319" ht="15.75" hidden="1" customHeight="1" x14ac:dyDescent="0.25"/>
    <row r="320" ht="15.75" hidden="1" customHeight="1" x14ac:dyDescent="0.25"/>
    <row r="321" ht="15.75" hidden="1" customHeight="1" x14ac:dyDescent="0.25"/>
    <row r="322" ht="15.75" hidden="1" customHeight="1" x14ac:dyDescent="0.25"/>
    <row r="323" ht="15.75" hidden="1" customHeight="1" x14ac:dyDescent="0.25"/>
    <row r="324" ht="15.75" hidden="1" customHeight="1" x14ac:dyDescent="0.25"/>
    <row r="325" ht="15.75" hidden="1" customHeight="1" x14ac:dyDescent="0.25"/>
    <row r="326" ht="15.75" hidden="1" customHeight="1" x14ac:dyDescent="0.25"/>
    <row r="327" ht="15.75" hidden="1" customHeight="1" x14ac:dyDescent="0.25"/>
    <row r="328" ht="15.75" hidden="1" customHeight="1" x14ac:dyDescent="0.25"/>
    <row r="329" ht="15.75" hidden="1" customHeight="1" x14ac:dyDescent="0.25"/>
    <row r="330" ht="15.75" hidden="1" customHeight="1" x14ac:dyDescent="0.25"/>
    <row r="331" ht="15.75" hidden="1" customHeight="1" x14ac:dyDescent="0.25"/>
    <row r="332" ht="15.75" hidden="1" customHeight="1" x14ac:dyDescent="0.25"/>
    <row r="333" ht="15.75" hidden="1" customHeight="1" x14ac:dyDescent="0.25"/>
    <row r="334" ht="15.75" hidden="1" customHeight="1" x14ac:dyDescent="0.25"/>
    <row r="335" ht="15.75" hidden="1" customHeight="1" x14ac:dyDescent="0.25"/>
    <row r="336" ht="15.75" hidden="1" customHeight="1" x14ac:dyDescent="0.25"/>
    <row r="337" ht="15.75" hidden="1" customHeight="1" x14ac:dyDescent="0.25"/>
    <row r="338" ht="15.75" hidden="1" customHeight="1" x14ac:dyDescent="0.25"/>
    <row r="339" ht="15.75" hidden="1" customHeight="1" x14ac:dyDescent="0.25"/>
    <row r="340" ht="15.75" hidden="1" customHeight="1" x14ac:dyDescent="0.25"/>
    <row r="341" ht="15.75" hidden="1" customHeight="1" x14ac:dyDescent="0.25"/>
    <row r="342" ht="15.75" hidden="1" customHeight="1" x14ac:dyDescent="0.25"/>
    <row r="343" ht="15.75" hidden="1" customHeight="1" x14ac:dyDescent="0.25"/>
    <row r="344" ht="15.75" hidden="1" customHeight="1" x14ac:dyDescent="0.25"/>
    <row r="345" ht="15.75" hidden="1" customHeight="1" x14ac:dyDescent="0.25"/>
    <row r="346" ht="15.75" hidden="1" customHeight="1" x14ac:dyDescent="0.25"/>
    <row r="347" ht="15.75" hidden="1" customHeight="1" x14ac:dyDescent="0.25"/>
    <row r="348" ht="15.75" hidden="1" customHeight="1" x14ac:dyDescent="0.25"/>
    <row r="349" ht="15.75" hidden="1" customHeight="1" x14ac:dyDescent="0.25"/>
    <row r="350" ht="15.75" hidden="1" customHeight="1" x14ac:dyDescent="0.25"/>
    <row r="351" ht="15.75" hidden="1" customHeight="1" x14ac:dyDescent="0.25"/>
    <row r="352" ht="15.75" hidden="1" customHeight="1" x14ac:dyDescent="0.25"/>
    <row r="353" ht="15.75" hidden="1" customHeight="1" x14ac:dyDescent="0.25"/>
    <row r="354" ht="15.75" hidden="1" customHeight="1" x14ac:dyDescent="0.25"/>
    <row r="355" ht="15.75" hidden="1" customHeight="1" x14ac:dyDescent="0.25"/>
    <row r="356" ht="15.75" hidden="1" customHeight="1" x14ac:dyDescent="0.25"/>
    <row r="357" ht="15.75" hidden="1" customHeight="1" x14ac:dyDescent="0.25"/>
    <row r="358" ht="15.75" hidden="1" customHeight="1" x14ac:dyDescent="0.25"/>
    <row r="359" ht="15.75" hidden="1" customHeight="1" x14ac:dyDescent="0.25"/>
    <row r="360" ht="15.75" hidden="1" customHeight="1" x14ac:dyDescent="0.25"/>
    <row r="361" ht="15.75" hidden="1" customHeight="1" x14ac:dyDescent="0.25"/>
    <row r="362" ht="15.75" hidden="1" customHeight="1" x14ac:dyDescent="0.25"/>
    <row r="363" ht="15.75" hidden="1" customHeight="1" x14ac:dyDescent="0.25"/>
    <row r="364" ht="15.75" hidden="1" customHeight="1" x14ac:dyDescent="0.25"/>
    <row r="365" ht="15.75" hidden="1" customHeight="1" x14ac:dyDescent="0.25"/>
    <row r="366" ht="15.75" hidden="1" customHeight="1" x14ac:dyDescent="0.25"/>
    <row r="367" ht="15.75" hidden="1" customHeight="1" x14ac:dyDescent="0.25"/>
    <row r="368" ht="15.75" hidden="1" customHeight="1" x14ac:dyDescent="0.25"/>
    <row r="369" ht="15.75" hidden="1" customHeight="1" x14ac:dyDescent="0.25"/>
    <row r="370" ht="15.75" hidden="1" customHeight="1" x14ac:dyDescent="0.25"/>
    <row r="371" ht="15.75" hidden="1" customHeight="1" x14ac:dyDescent="0.25"/>
    <row r="372" ht="15.75" hidden="1" customHeight="1" x14ac:dyDescent="0.25"/>
    <row r="373" ht="15.75" hidden="1" customHeight="1" x14ac:dyDescent="0.25"/>
    <row r="374" ht="15.75" hidden="1" customHeight="1" x14ac:dyDescent="0.25"/>
    <row r="375" ht="15.75" hidden="1" customHeight="1" x14ac:dyDescent="0.25"/>
    <row r="376" ht="15.75" hidden="1" customHeight="1" x14ac:dyDescent="0.25"/>
    <row r="377" ht="15.75" hidden="1" customHeight="1" x14ac:dyDescent="0.25"/>
    <row r="378" ht="15.75" hidden="1" customHeight="1" x14ac:dyDescent="0.25"/>
    <row r="379" ht="15.75" hidden="1" customHeight="1" x14ac:dyDescent="0.25"/>
    <row r="380" ht="15.75" hidden="1" customHeight="1" x14ac:dyDescent="0.25"/>
    <row r="381" ht="15.75" hidden="1" customHeight="1" x14ac:dyDescent="0.25"/>
    <row r="382" ht="15.75" hidden="1" customHeight="1" x14ac:dyDescent="0.25"/>
    <row r="383" ht="15.75" hidden="1" customHeight="1" x14ac:dyDescent="0.25"/>
    <row r="384" ht="15.75" hidden="1" customHeight="1" x14ac:dyDescent="0.25"/>
    <row r="385" ht="15.75" hidden="1" customHeight="1" x14ac:dyDescent="0.25"/>
    <row r="386" ht="15.75" hidden="1" customHeight="1" x14ac:dyDescent="0.25"/>
    <row r="387" ht="15.75" hidden="1" customHeight="1" x14ac:dyDescent="0.25"/>
    <row r="388" ht="15.75" hidden="1" customHeight="1" x14ac:dyDescent="0.25"/>
    <row r="389" ht="15.75" hidden="1" customHeight="1" x14ac:dyDescent="0.25"/>
    <row r="390" ht="15.75" hidden="1" customHeight="1" x14ac:dyDescent="0.25"/>
    <row r="391" ht="15.75" hidden="1" customHeight="1" x14ac:dyDescent="0.25"/>
    <row r="392" ht="15.75" hidden="1" customHeight="1" x14ac:dyDescent="0.25"/>
    <row r="393" ht="15.75" hidden="1" customHeight="1" x14ac:dyDescent="0.25"/>
    <row r="394" ht="15.75" hidden="1" customHeight="1" x14ac:dyDescent="0.25"/>
    <row r="395" ht="15.75" hidden="1" customHeight="1" x14ac:dyDescent="0.25"/>
    <row r="396" ht="15.75" hidden="1" customHeight="1" x14ac:dyDescent="0.25"/>
    <row r="397" ht="15.75" hidden="1" customHeight="1" x14ac:dyDescent="0.25"/>
    <row r="398" ht="15.75" hidden="1" customHeight="1" x14ac:dyDescent="0.25"/>
    <row r="399" ht="15.75" hidden="1" customHeight="1" x14ac:dyDescent="0.25"/>
    <row r="400" ht="15.75" hidden="1" customHeight="1" x14ac:dyDescent="0.25"/>
    <row r="401" ht="15.75" hidden="1" customHeight="1" x14ac:dyDescent="0.25"/>
    <row r="402" ht="15.75" hidden="1" customHeight="1" x14ac:dyDescent="0.25"/>
    <row r="403" ht="15.75" hidden="1" customHeight="1" x14ac:dyDescent="0.25"/>
    <row r="404" ht="15.75" hidden="1" customHeight="1" x14ac:dyDescent="0.25"/>
    <row r="405" ht="15.75" hidden="1" customHeight="1" x14ac:dyDescent="0.25"/>
    <row r="406" ht="15.75" hidden="1" customHeight="1" x14ac:dyDescent="0.25"/>
    <row r="407" ht="15.75" hidden="1" customHeight="1" x14ac:dyDescent="0.25"/>
    <row r="408" ht="15.75" hidden="1" customHeight="1" x14ac:dyDescent="0.25"/>
    <row r="409" ht="15.75" hidden="1" customHeight="1" x14ac:dyDescent="0.25"/>
    <row r="410" ht="15.75" hidden="1" customHeight="1" x14ac:dyDescent="0.25"/>
    <row r="411" ht="15.75" hidden="1" customHeight="1" x14ac:dyDescent="0.25"/>
    <row r="412" ht="15.75" hidden="1" customHeight="1" x14ac:dyDescent="0.25"/>
    <row r="413" ht="15.75" hidden="1" customHeight="1" x14ac:dyDescent="0.25"/>
    <row r="414" ht="15.75" hidden="1" customHeight="1" x14ac:dyDescent="0.25"/>
    <row r="415" ht="15.75" hidden="1" customHeight="1" x14ac:dyDescent="0.25"/>
    <row r="416" ht="15.75" hidden="1" customHeight="1" x14ac:dyDescent="0.25"/>
    <row r="417" ht="15.75" hidden="1" customHeight="1" x14ac:dyDescent="0.25"/>
    <row r="418" ht="15.75" hidden="1" customHeight="1" x14ac:dyDescent="0.25"/>
    <row r="419" ht="15.75" hidden="1" customHeight="1" x14ac:dyDescent="0.25"/>
    <row r="420" ht="15.75" hidden="1" customHeight="1" x14ac:dyDescent="0.25"/>
    <row r="421" ht="15.75" hidden="1" customHeight="1" x14ac:dyDescent="0.25"/>
    <row r="422" ht="15.75" hidden="1" customHeight="1" x14ac:dyDescent="0.25"/>
    <row r="423" ht="15.75" hidden="1" customHeight="1" x14ac:dyDescent="0.25"/>
    <row r="424" ht="15.75" hidden="1" customHeight="1" x14ac:dyDescent="0.25"/>
    <row r="425" ht="15.75" hidden="1" customHeight="1" x14ac:dyDescent="0.25"/>
    <row r="426" ht="15.75" hidden="1" customHeight="1" x14ac:dyDescent="0.25"/>
    <row r="427" ht="15.75" hidden="1" customHeight="1" x14ac:dyDescent="0.25"/>
    <row r="428" ht="15.75" hidden="1" customHeight="1" x14ac:dyDescent="0.25"/>
    <row r="429" ht="15.75" hidden="1" customHeight="1" x14ac:dyDescent="0.25"/>
    <row r="430" ht="15.75" hidden="1" customHeight="1" x14ac:dyDescent="0.25"/>
    <row r="431" ht="15.75" hidden="1" customHeight="1" x14ac:dyDescent="0.25"/>
    <row r="432" ht="15.75" hidden="1" customHeight="1" x14ac:dyDescent="0.25"/>
    <row r="433" ht="15.75" hidden="1" customHeight="1" x14ac:dyDescent="0.25"/>
    <row r="434" ht="15.75" hidden="1" customHeight="1" x14ac:dyDescent="0.25"/>
    <row r="435" ht="15.75" hidden="1" customHeight="1" x14ac:dyDescent="0.25"/>
    <row r="436" ht="15.75" hidden="1" customHeight="1" x14ac:dyDescent="0.25"/>
    <row r="437" ht="15.75" hidden="1" customHeight="1" x14ac:dyDescent="0.25"/>
    <row r="438" ht="15.75" hidden="1" customHeight="1" x14ac:dyDescent="0.25"/>
    <row r="439" ht="15.75" hidden="1" customHeight="1" x14ac:dyDescent="0.25"/>
    <row r="440" ht="15.75" hidden="1" customHeight="1" x14ac:dyDescent="0.25"/>
    <row r="441" ht="15.75" hidden="1" customHeight="1" x14ac:dyDescent="0.25"/>
    <row r="442" ht="15.75" hidden="1" customHeight="1" x14ac:dyDescent="0.25"/>
    <row r="443" ht="15.75" hidden="1" customHeight="1" x14ac:dyDescent="0.25"/>
    <row r="444" ht="15.75" hidden="1" customHeight="1" x14ac:dyDescent="0.25"/>
    <row r="445" ht="15.75" hidden="1" customHeight="1" x14ac:dyDescent="0.25"/>
    <row r="446" ht="15.75" hidden="1" customHeight="1" x14ac:dyDescent="0.25"/>
    <row r="447" ht="15.75" hidden="1" customHeight="1" x14ac:dyDescent="0.25"/>
    <row r="448" ht="15.75" hidden="1" customHeight="1" x14ac:dyDescent="0.25"/>
    <row r="449" spans="4:4" ht="15.75" hidden="1" customHeight="1" x14ac:dyDescent="0.25"/>
    <row r="450" spans="4:4" ht="15.75" hidden="1" customHeight="1" x14ac:dyDescent="0.25"/>
    <row r="451" spans="4:4" ht="15.75" hidden="1" customHeight="1" x14ac:dyDescent="0.25"/>
    <row r="452" spans="4:4" ht="15.75" hidden="1" customHeight="1" x14ac:dyDescent="0.25"/>
    <row r="453" spans="4:4" ht="15.75" hidden="1" customHeight="1" x14ac:dyDescent="0.25"/>
    <row r="454" spans="4:4" ht="15.75" hidden="1" customHeight="1" x14ac:dyDescent="0.25"/>
    <row r="455" spans="4:4" ht="15.75" hidden="1" customHeight="1" x14ac:dyDescent="0.25"/>
    <row r="456" spans="4:4" ht="15.75" hidden="1" customHeight="1" x14ac:dyDescent="0.25"/>
    <row r="457" spans="4:4" ht="15.75" hidden="1" customHeight="1" x14ac:dyDescent="0.25"/>
    <row r="458" spans="4:4" ht="15.75" hidden="1" customHeight="1" x14ac:dyDescent="0.25"/>
    <row r="459" spans="4:4" ht="15.75" hidden="1" customHeight="1" x14ac:dyDescent="0.25"/>
    <row r="460" spans="4:4" ht="15.75" hidden="1" customHeight="1" x14ac:dyDescent="0.25"/>
    <row r="461" spans="4:4" ht="15.75" hidden="1" customHeight="1" x14ac:dyDescent="0.25"/>
    <row r="462" spans="4:4" ht="15.75" hidden="1" customHeight="1" x14ac:dyDescent="0.25"/>
    <row r="463" spans="4:4" ht="15.75" hidden="1" customHeight="1" x14ac:dyDescent="0.25">
      <c r="D463" s="33">
        <v>0</v>
      </c>
    </row>
    <row r="464" spans="4:4" ht="15.75" hidden="1" customHeight="1" x14ac:dyDescent="0.25">
      <c r="D464" s="33">
        <v>0</v>
      </c>
    </row>
    <row r="465" spans="4:4" ht="15.75" hidden="1" customHeight="1" x14ac:dyDescent="0.25">
      <c r="D465" s="33">
        <v>0</v>
      </c>
    </row>
    <row r="466" spans="4:4" ht="15.75" hidden="1" customHeight="1" x14ac:dyDescent="0.25">
      <c r="D466" s="33">
        <v>0</v>
      </c>
    </row>
    <row r="467" spans="4:4" ht="15.75" hidden="1" customHeight="1" x14ac:dyDescent="0.25">
      <c r="D467" s="33">
        <v>0</v>
      </c>
    </row>
    <row r="468" spans="4:4" ht="15.75" hidden="1" customHeight="1" x14ac:dyDescent="0.25">
      <c r="D468" s="33">
        <v>0</v>
      </c>
    </row>
    <row r="469" spans="4:4" ht="15.75" hidden="1" customHeight="1" x14ac:dyDescent="0.25">
      <c r="D469" s="33">
        <v>0</v>
      </c>
    </row>
    <row r="470" spans="4:4" ht="15.75" hidden="1" customHeight="1" x14ac:dyDescent="0.25">
      <c r="D470" s="33">
        <v>0</v>
      </c>
    </row>
    <row r="471" spans="4:4" ht="15.75" hidden="1" customHeight="1" x14ac:dyDescent="0.25">
      <c r="D471" s="33">
        <v>0</v>
      </c>
    </row>
    <row r="472" spans="4:4" ht="15.75" hidden="1" customHeight="1" x14ac:dyDescent="0.25">
      <c r="D472" s="33">
        <v>0</v>
      </c>
    </row>
    <row r="473" spans="4:4" ht="15.75" hidden="1" customHeight="1" x14ac:dyDescent="0.25">
      <c r="D473" s="33">
        <v>0</v>
      </c>
    </row>
    <row r="474" spans="4:4" ht="15.75" hidden="1" customHeight="1" x14ac:dyDescent="0.25">
      <c r="D474" s="33">
        <v>0</v>
      </c>
    </row>
    <row r="475" spans="4:4" ht="15.75" hidden="1" customHeight="1" x14ac:dyDescent="0.25">
      <c r="D475" s="33">
        <v>0</v>
      </c>
    </row>
    <row r="476" spans="4:4" ht="15.75" hidden="1" customHeight="1" x14ac:dyDescent="0.25">
      <c r="D476" s="33">
        <v>0</v>
      </c>
    </row>
    <row r="477" spans="4:4" ht="15.75" hidden="1" customHeight="1" x14ac:dyDescent="0.25">
      <c r="D477" s="33">
        <v>0</v>
      </c>
    </row>
    <row r="478" spans="4:4" ht="15.75" hidden="1" customHeight="1" x14ac:dyDescent="0.25">
      <c r="D478" s="33">
        <v>0</v>
      </c>
    </row>
    <row r="479" spans="4:4" ht="15.75" hidden="1" customHeight="1" x14ac:dyDescent="0.25">
      <c r="D479" s="33">
        <v>0</v>
      </c>
    </row>
    <row r="480" spans="4:4" ht="15.75" hidden="1" customHeight="1" x14ac:dyDescent="0.25">
      <c r="D480" s="33">
        <v>0</v>
      </c>
    </row>
    <row r="481" spans="4:4" ht="15.75" hidden="1" customHeight="1" x14ac:dyDescent="0.25">
      <c r="D481" s="33">
        <v>0</v>
      </c>
    </row>
    <row r="482" spans="4:4" ht="15.75" hidden="1" customHeight="1" x14ac:dyDescent="0.25">
      <c r="D482" s="33">
        <v>0</v>
      </c>
    </row>
    <row r="483" spans="4:4" ht="15.75" hidden="1" customHeight="1" x14ac:dyDescent="0.25">
      <c r="D483" s="33">
        <v>0</v>
      </c>
    </row>
    <row r="484" spans="4:4" ht="15.75" hidden="1" customHeight="1" x14ac:dyDescent="0.25">
      <c r="D484" s="33">
        <v>0</v>
      </c>
    </row>
    <row r="485" spans="4:4" ht="15.75" hidden="1" customHeight="1" x14ac:dyDescent="0.25">
      <c r="D485" s="33">
        <v>0</v>
      </c>
    </row>
    <row r="486" spans="4:4" ht="15.75" hidden="1" customHeight="1" x14ac:dyDescent="0.25">
      <c r="D486" s="33">
        <v>0</v>
      </c>
    </row>
    <row r="487" spans="4:4" ht="15.75" hidden="1" customHeight="1" x14ac:dyDescent="0.25">
      <c r="D487" s="33">
        <v>0</v>
      </c>
    </row>
    <row r="488" spans="4:4" ht="15.75" hidden="1" customHeight="1" x14ac:dyDescent="0.25">
      <c r="D488" s="33">
        <v>0</v>
      </c>
    </row>
    <row r="489" spans="4:4" ht="15.75" hidden="1" customHeight="1" x14ac:dyDescent="0.25">
      <c r="D489" s="33">
        <v>0</v>
      </c>
    </row>
    <row r="490" spans="4:4" ht="15.75" hidden="1" customHeight="1" x14ac:dyDescent="0.25">
      <c r="D490" s="33">
        <v>0</v>
      </c>
    </row>
    <row r="491" spans="4:4" ht="15.75" hidden="1" customHeight="1" x14ac:dyDescent="0.25">
      <c r="D491" s="33">
        <v>0</v>
      </c>
    </row>
    <row r="492" spans="4:4" ht="15.75" hidden="1" customHeight="1" x14ac:dyDescent="0.25">
      <c r="D492" s="33">
        <v>0</v>
      </c>
    </row>
    <row r="493" spans="4:4" ht="15.75" hidden="1" customHeight="1" x14ac:dyDescent="0.25">
      <c r="D493" s="33">
        <v>0</v>
      </c>
    </row>
    <row r="494" spans="4:4" ht="15.75" hidden="1" customHeight="1" x14ac:dyDescent="0.25">
      <c r="D494" s="33">
        <v>0</v>
      </c>
    </row>
    <row r="495" spans="4:4" ht="15.75" hidden="1" customHeight="1" x14ac:dyDescent="0.25">
      <c r="D495" s="33">
        <v>0</v>
      </c>
    </row>
    <row r="496" spans="4:4" ht="15.75" hidden="1" customHeight="1" x14ac:dyDescent="0.25"/>
    <row r="497" ht="15.75" hidden="1" customHeight="1" x14ac:dyDescent="0.25"/>
    <row r="498" ht="15.75" hidden="1" customHeight="1" x14ac:dyDescent="0.25"/>
    <row r="499" ht="15.75" hidden="1" customHeight="1" x14ac:dyDescent="0.25"/>
    <row r="500" ht="15.75" hidden="1" customHeight="1" x14ac:dyDescent="0.25"/>
    <row r="501" ht="15.75" hidden="1" customHeight="1" x14ac:dyDescent="0.25"/>
    <row r="502" ht="15.75" hidden="1" customHeight="1" x14ac:dyDescent="0.25"/>
    <row r="503" ht="15.75" hidden="1" customHeight="1" x14ac:dyDescent="0.25"/>
    <row r="504" ht="15.75" hidden="1" customHeight="1" x14ac:dyDescent="0.25"/>
    <row r="505" ht="15.75" hidden="1" customHeight="1" x14ac:dyDescent="0.25"/>
    <row r="506" ht="15.75" hidden="1" customHeight="1" x14ac:dyDescent="0.25"/>
    <row r="507" ht="15.75" hidden="1" customHeight="1" x14ac:dyDescent="0.25"/>
    <row r="508" ht="15.75" hidden="1" customHeight="1" x14ac:dyDescent="0.25"/>
    <row r="509" ht="15.75" hidden="1" customHeight="1" x14ac:dyDescent="0.25"/>
    <row r="510" ht="15.75" hidden="1" customHeight="1" x14ac:dyDescent="0.25"/>
    <row r="511" ht="15.75" hidden="1" customHeight="1" x14ac:dyDescent="0.25"/>
    <row r="512" ht="15.75" hidden="1" customHeight="1" x14ac:dyDescent="0.25"/>
    <row r="513" ht="15.75" hidden="1" customHeight="1" x14ac:dyDescent="0.25"/>
    <row r="514" ht="15.75" hidden="1" customHeight="1" x14ac:dyDescent="0.25"/>
    <row r="515" ht="15.75" hidden="1" customHeight="1" x14ac:dyDescent="0.25"/>
    <row r="516" ht="15.75" hidden="1" customHeight="1" x14ac:dyDescent="0.25"/>
    <row r="517" ht="15.75" hidden="1" customHeight="1" x14ac:dyDescent="0.25"/>
    <row r="518" ht="15.75" hidden="1" customHeight="1" x14ac:dyDescent="0.25"/>
    <row r="519" ht="15.75" hidden="1" customHeight="1" x14ac:dyDescent="0.25"/>
    <row r="520" ht="15.75" hidden="1" customHeight="1" x14ac:dyDescent="0.25"/>
    <row r="521" ht="15.75" hidden="1" customHeight="1" x14ac:dyDescent="0.25"/>
    <row r="522" ht="15.75" hidden="1" customHeight="1" x14ac:dyDescent="0.25"/>
    <row r="523" ht="15.75" hidden="1" customHeight="1" x14ac:dyDescent="0.25"/>
    <row r="524" ht="15.75" hidden="1" customHeight="1" x14ac:dyDescent="0.25"/>
    <row r="525" ht="15.75" hidden="1" customHeight="1" x14ac:dyDescent="0.25"/>
    <row r="526" ht="15.75" hidden="1" customHeight="1" x14ac:dyDescent="0.25"/>
    <row r="527" ht="15.75" hidden="1" customHeight="1" x14ac:dyDescent="0.25"/>
    <row r="528" ht="15.75" hidden="1" customHeight="1" x14ac:dyDescent="0.25"/>
    <row r="529" ht="15.75" hidden="1" customHeight="1" x14ac:dyDescent="0.25"/>
    <row r="530" ht="15.75" hidden="1" customHeight="1" x14ac:dyDescent="0.25"/>
    <row r="531" ht="15.75" hidden="1" customHeight="1" x14ac:dyDescent="0.25"/>
    <row r="532" ht="15.75" hidden="1" customHeight="1" x14ac:dyDescent="0.25"/>
    <row r="533" ht="15.75" hidden="1" customHeight="1" x14ac:dyDescent="0.25"/>
    <row r="534" ht="15.75" hidden="1" customHeight="1" x14ac:dyDescent="0.25"/>
    <row r="535" ht="15.75" hidden="1" customHeight="1" x14ac:dyDescent="0.25"/>
    <row r="536" ht="15.75" hidden="1" customHeight="1" x14ac:dyDescent="0.25"/>
    <row r="537" ht="15.75" hidden="1" customHeight="1" x14ac:dyDescent="0.25"/>
    <row r="538" ht="15.75" hidden="1" customHeight="1" x14ac:dyDescent="0.25"/>
    <row r="539" ht="15.75" hidden="1" customHeight="1" x14ac:dyDescent="0.25"/>
    <row r="540" ht="15.75" hidden="1" customHeight="1" x14ac:dyDescent="0.25"/>
    <row r="541" ht="15.75" hidden="1" customHeight="1" x14ac:dyDescent="0.25"/>
    <row r="542" ht="15.75" hidden="1" customHeight="1" x14ac:dyDescent="0.25"/>
    <row r="543" ht="15.75" hidden="1" customHeight="1" x14ac:dyDescent="0.25"/>
    <row r="544" ht="15.75" hidden="1" customHeight="1" x14ac:dyDescent="0.25"/>
    <row r="545" ht="15.75" hidden="1" customHeight="1" x14ac:dyDescent="0.25"/>
    <row r="546" ht="15.75" hidden="1" customHeight="1" x14ac:dyDescent="0.25"/>
    <row r="547" ht="15.75" hidden="1" customHeight="1" x14ac:dyDescent="0.25"/>
    <row r="548" ht="15.75" hidden="1" customHeight="1" x14ac:dyDescent="0.25"/>
    <row r="549" ht="15.75" hidden="1" customHeight="1" x14ac:dyDescent="0.25"/>
    <row r="550" ht="15.75" hidden="1" customHeight="1" x14ac:dyDescent="0.25"/>
    <row r="551" ht="15.75" hidden="1" customHeight="1" x14ac:dyDescent="0.25"/>
    <row r="552" ht="15.75" hidden="1" customHeight="1" x14ac:dyDescent="0.25"/>
    <row r="553" ht="15.75" hidden="1" customHeight="1" x14ac:dyDescent="0.25"/>
    <row r="554" ht="15.75" hidden="1" customHeight="1" x14ac:dyDescent="0.25"/>
    <row r="555" ht="15.75" hidden="1" customHeight="1" x14ac:dyDescent="0.25"/>
    <row r="556" ht="15.75" hidden="1" customHeight="1" x14ac:dyDescent="0.25"/>
    <row r="557" ht="15.75" hidden="1" customHeight="1" x14ac:dyDescent="0.25"/>
    <row r="558" ht="15.75" hidden="1" customHeight="1" x14ac:dyDescent="0.25"/>
    <row r="559" ht="15.75" hidden="1" customHeight="1" x14ac:dyDescent="0.25"/>
    <row r="560" ht="15.75" hidden="1" customHeight="1" x14ac:dyDescent="0.25"/>
    <row r="561" ht="15.75" hidden="1" customHeight="1" x14ac:dyDescent="0.25"/>
    <row r="562" ht="15.75" hidden="1" customHeight="1" x14ac:dyDescent="0.25"/>
    <row r="563" ht="15.75" hidden="1" customHeight="1" x14ac:dyDescent="0.25"/>
    <row r="564" ht="15.75" hidden="1" customHeight="1" x14ac:dyDescent="0.25"/>
    <row r="565" ht="15.75" hidden="1" customHeight="1" x14ac:dyDescent="0.25"/>
    <row r="566" ht="15.75" hidden="1" customHeight="1" x14ac:dyDescent="0.25"/>
    <row r="567" ht="15.75" hidden="1" customHeight="1" x14ac:dyDescent="0.25"/>
    <row r="568" ht="15.75" hidden="1" customHeight="1" x14ac:dyDescent="0.25"/>
    <row r="569" ht="15.75" hidden="1" customHeight="1" x14ac:dyDescent="0.25"/>
    <row r="570" ht="15.75" hidden="1" customHeight="1" x14ac:dyDescent="0.25"/>
    <row r="571" ht="15.75" hidden="1" customHeight="1" x14ac:dyDescent="0.25"/>
    <row r="572" ht="15.75" hidden="1" customHeight="1" x14ac:dyDescent="0.25"/>
    <row r="573" ht="15.75" hidden="1" customHeight="1" x14ac:dyDescent="0.25"/>
    <row r="574" ht="15.75" hidden="1" customHeight="1" x14ac:dyDescent="0.25"/>
    <row r="575" ht="15.75" hidden="1" customHeight="1" x14ac:dyDescent="0.25"/>
    <row r="576" ht="15.75" hidden="1" customHeight="1" x14ac:dyDescent="0.25"/>
    <row r="577" ht="15.75" hidden="1" customHeight="1" x14ac:dyDescent="0.25"/>
    <row r="578" ht="15.75" hidden="1" customHeight="1" x14ac:dyDescent="0.25"/>
    <row r="579" ht="15.75" hidden="1" customHeight="1" x14ac:dyDescent="0.25"/>
    <row r="580" ht="15.75" hidden="1" customHeight="1" x14ac:dyDescent="0.25"/>
    <row r="581" ht="15.75" hidden="1" customHeight="1" x14ac:dyDescent="0.25"/>
    <row r="582" ht="15.75" hidden="1" customHeight="1" x14ac:dyDescent="0.25"/>
    <row r="583" ht="15.75" hidden="1" customHeight="1" x14ac:dyDescent="0.25"/>
    <row r="584" ht="15.75" hidden="1" customHeight="1" x14ac:dyDescent="0.25"/>
    <row r="585" ht="15.75" hidden="1" customHeight="1" x14ac:dyDescent="0.25"/>
    <row r="586" ht="15.75" hidden="1" customHeight="1" x14ac:dyDescent="0.25"/>
    <row r="587" ht="15.75" hidden="1" customHeight="1" x14ac:dyDescent="0.25"/>
    <row r="588" ht="15.75" hidden="1" customHeight="1" x14ac:dyDescent="0.25"/>
    <row r="589" ht="15.75" hidden="1" customHeight="1" x14ac:dyDescent="0.25"/>
    <row r="590" ht="15.75" hidden="1" customHeight="1" x14ac:dyDescent="0.25"/>
    <row r="591" ht="15.75" hidden="1" customHeight="1" x14ac:dyDescent="0.25"/>
    <row r="592" ht="15.75" hidden="1" customHeight="1" x14ac:dyDescent="0.25"/>
    <row r="593" ht="15.75" hidden="1" customHeight="1" x14ac:dyDescent="0.25"/>
    <row r="594" ht="15.75" hidden="1" customHeight="1" x14ac:dyDescent="0.25"/>
    <row r="595" ht="15.75" hidden="1" customHeight="1" x14ac:dyDescent="0.25"/>
    <row r="596" ht="15.75" hidden="1" customHeight="1" x14ac:dyDescent="0.25"/>
    <row r="597" ht="15.75" hidden="1" customHeight="1" x14ac:dyDescent="0.25"/>
    <row r="598" ht="15.75" hidden="1" customHeight="1" x14ac:dyDescent="0.25"/>
    <row r="599" ht="15.75" hidden="1" customHeight="1" x14ac:dyDescent="0.25"/>
    <row r="600" ht="15.75" hidden="1" customHeight="1" x14ac:dyDescent="0.25"/>
    <row r="601" ht="15.75" hidden="1" customHeight="1" x14ac:dyDescent="0.25"/>
    <row r="602" ht="15.75" hidden="1" customHeight="1" x14ac:dyDescent="0.25"/>
    <row r="603" ht="15.75" hidden="1" customHeight="1" x14ac:dyDescent="0.25"/>
    <row r="604" ht="15.75" hidden="1" customHeight="1" x14ac:dyDescent="0.25"/>
    <row r="605" ht="15.75" hidden="1" customHeight="1" x14ac:dyDescent="0.25"/>
    <row r="606" ht="15.75" hidden="1" customHeight="1" x14ac:dyDescent="0.25"/>
    <row r="607" ht="15.75" hidden="1" customHeight="1" x14ac:dyDescent="0.25"/>
    <row r="608" ht="15.75" hidden="1" customHeight="1" x14ac:dyDescent="0.25"/>
    <row r="609" ht="15.75" hidden="1" customHeight="1" x14ac:dyDescent="0.25"/>
    <row r="610" ht="15.75" hidden="1" customHeight="1" x14ac:dyDescent="0.25"/>
    <row r="611" ht="15.75" hidden="1" customHeight="1" x14ac:dyDescent="0.25"/>
    <row r="612" ht="15.75" hidden="1" customHeight="1" x14ac:dyDescent="0.25"/>
    <row r="613" ht="15.75" hidden="1" customHeight="1" x14ac:dyDescent="0.25"/>
    <row r="614" ht="15.75" hidden="1" customHeight="1" x14ac:dyDescent="0.25"/>
    <row r="615" ht="15.75" hidden="1" customHeight="1" x14ac:dyDescent="0.25"/>
    <row r="616" ht="15.75" hidden="1" customHeight="1" x14ac:dyDescent="0.25"/>
    <row r="617" ht="15.75" hidden="1" customHeight="1" x14ac:dyDescent="0.25"/>
    <row r="618" ht="15.75" hidden="1" customHeight="1" x14ac:dyDescent="0.25"/>
    <row r="619" ht="15.75" hidden="1" customHeight="1" x14ac:dyDescent="0.25"/>
    <row r="620" ht="15.75" hidden="1" customHeight="1" x14ac:dyDescent="0.25"/>
    <row r="621" ht="15.75" hidden="1" customHeight="1" x14ac:dyDescent="0.25"/>
    <row r="622" ht="15.75" hidden="1" customHeight="1" x14ac:dyDescent="0.25"/>
    <row r="623" ht="15.75" hidden="1" customHeight="1" x14ac:dyDescent="0.25"/>
    <row r="624" ht="15.75" hidden="1" customHeight="1" x14ac:dyDescent="0.25"/>
    <row r="625" ht="15.75" hidden="1" customHeight="1" x14ac:dyDescent="0.25"/>
    <row r="626" ht="15.75" hidden="1" customHeight="1" x14ac:dyDescent="0.25"/>
    <row r="627" ht="15.75" hidden="1" customHeight="1" x14ac:dyDescent="0.25"/>
    <row r="628" ht="15.75" hidden="1" customHeight="1" x14ac:dyDescent="0.25"/>
    <row r="629" ht="15.75" hidden="1" customHeight="1" x14ac:dyDescent="0.25"/>
    <row r="630" ht="15.75" hidden="1" customHeight="1" x14ac:dyDescent="0.25"/>
    <row r="631" ht="15.75" hidden="1" customHeight="1" x14ac:dyDescent="0.25"/>
    <row r="632" ht="15.75" hidden="1" customHeight="1" x14ac:dyDescent="0.25"/>
    <row r="633" ht="15.75" hidden="1" customHeight="1" x14ac:dyDescent="0.25"/>
    <row r="634" ht="15.75" hidden="1" customHeight="1" x14ac:dyDescent="0.25"/>
    <row r="635" ht="15.75" hidden="1" customHeight="1" x14ac:dyDescent="0.25"/>
    <row r="636" ht="15.75" hidden="1" customHeight="1" x14ac:dyDescent="0.25"/>
    <row r="637" ht="15.75" hidden="1" customHeight="1" x14ac:dyDescent="0.25"/>
    <row r="638" ht="15.75" hidden="1" customHeight="1" x14ac:dyDescent="0.25"/>
    <row r="639" ht="15.75" hidden="1" customHeight="1" x14ac:dyDescent="0.25"/>
    <row r="640" ht="15.75" hidden="1" customHeight="1" x14ac:dyDescent="0.25"/>
    <row r="641" ht="15.75" hidden="1" customHeight="1" x14ac:dyDescent="0.25"/>
    <row r="642" ht="15.75" hidden="1" customHeight="1" x14ac:dyDescent="0.25"/>
    <row r="643" ht="15.75" hidden="1" customHeight="1" x14ac:dyDescent="0.25"/>
    <row r="644" ht="15.75" hidden="1" customHeight="1" x14ac:dyDescent="0.25"/>
    <row r="645" ht="15.75" hidden="1" customHeight="1" x14ac:dyDescent="0.25"/>
    <row r="646" ht="15.75" hidden="1" customHeight="1" x14ac:dyDescent="0.25"/>
    <row r="647" ht="15.75" hidden="1" customHeight="1" x14ac:dyDescent="0.25"/>
    <row r="648" ht="15.75" hidden="1" customHeight="1" x14ac:dyDescent="0.25"/>
    <row r="649" ht="15.75" hidden="1" customHeight="1" x14ac:dyDescent="0.25"/>
    <row r="650" ht="15.75" hidden="1" customHeight="1" x14ac:dyDescent="0.25"/>
    <row r="651" ht="15.75" hidden="1" customHeight="1" x14ac:dyDescent="0.25"/>
    <row r="652" ht="15.75" hidden="1" customHeight="1" x14ac:dyDescent="0.25"/>
    <row r="653" ht="15.75" hidden="1" customHeight="1" x14ac:dyDescent="0.25"/>
    <row r="654" ht="15.75" hidden="1" customHeight="1" x14ac:dyDescent="0.25"/>
    <row r="655" ht="15.75" hidden="1" customHeight="1" x14ac:dyDescent="0.25"/>
    <row r="656" ht="15.75" hidden="1" customHeight="1" x14ac:dyDescent="0.25"/>
    <row r="657" ht="15.75" hidden="1" customHeight="1" x14ac:dyDescent="0.25"/>
    <row r="658" ht="15.75" hidden="1" customHeight="1" x14ac:dyDescent="0.25"/>
    <row r="659" ht="15.75" hidden="1" customHeight="1" x14ac:dyDescent="0.25"/>
    <row r="660" ht="15.75" hidden="1" customHeight="1" x14ac:dyDescent="0.25"/>
    <row r="661" ht="15.75" hidden="1" customHeight="1" x14ac:dyDescent="0.25"/>
    <row r="662" ht="15.75" hidden="1" customHeight="1" x14ac:dyDescent="0.25"/>
    <row r="663" ht="15.75" hidden="1" customHeight="1" x14ac:dyDescent="0.25"/>
    <row r="664" ht="15.75" hidden="1" customHeight="1" x14ac:dyDescent="0.25"/>
    <row r="665" ht="15.75" hidden="1" customHeight="1" x14ac:dyDescent="0.25"/>
    <row r="666" ht="15.75" hidden="1" customHeight="1" x14ac:dyDescent="0.25"/>
    <row r="667" ht="15.75" hidden="1" customHeight="1" x14ac:dyDescent="0.25"/>
    <row r="668" ht="15.75" hidden="1" customHeight="1" x14ac:dyDescent="0.25"/>
    <row r="669" ht="15.75" hidden="1" customHeight="1" x14ac:dyDescent="0.25"/>
    <row r="670" ht="15.75" hidden="1" customHeight="1" x14ac:dyDescent="0.25"/>
    <row r="671" ht="15.75" hidden="1" customHeight="1" x14ac:dyDescent="0.25"/>
    <row r="672" ht="15.75" hidden="1" customHeight="1" x14ac:dyDescent="0.25"/>
    <row r="673" ht="15.75" hidden="1" customHeight="1" x14ac:dyDescent="0.25"/>
    <row r="674" ht="15.75" hidden="1" customHeight="1" x14ac:dyDescent="0.25"/>
    <row r="675" ht="15.75" hidden="1" customHeight="1" x14ac:dyDescent="0.25"/>
    <row r="676" ht="15.75" hidden="1" customHeight="1" x14ac:dyDescent="0.25"/>
    <row r="677" ht="15.75" hidden="1" customHeight="1" x14ac:dyDescent="0.25"/>
    <row r="678" ht="15.75" hidden="1" customHeight="1" x14ac:dyDescent="0.25"/>
    <row r="679" ht="15.75" hidden="1" customHeight="1" x14ac:dyDescent="0.25"/>
    <row r="680" ht="15.75" hidden="1" customHeight="1" x14ac:dyDescent="0.25"/>
    <row r="681" ht="15.75" hidden="1" customHeight="1" x14ac:dyDescent="0.25"/>
    <row r="682" ht="15.75" hidden="1" customHeight="1" x14ac:dyDescent="0.25"/>
    <row r="683" ht="15.75" hidden="1" customHeight="1" x14ac:dyDescent="0.25"/>
    <row r="684" ht="15.75" hidden="1" customHeight="1" x14ac:dyDescent="0.25"/>
    <row r="685" ht="15.75" hidden="1" customHeight="1" x14ac:dyDescent="0.25"/>
    <row r="686" ht="15.75" hidden="1" customHeight="1" x14ac:dyDescent="0.25"/>
    <row r="687" ht="15.75" hidden="1" customHeight="1" x14ac:dyDescent="0.25"/>
    <row r="688" ht="15.75" hidden="1" customHeight="1" x14ac:dyDescent="0.25"/>
    <row r="689" ht="15.75" hidden="1" customHeight="1" x14ac:dyDescent="0.25"/>
    <row r="690" ht="15.75" hidden="1" customHeight="1" x14ac:dyDescent="0.25"/>
    <row r="691" ht="15.75" hidden="1" customHeight="1" x14ac:dyDescent="0.25"/>
    <row r="692" ht="15.75" hidden="1" customHeight="1" x14ac:dyDescent="0.25"/>
    <row r="693" ht="15.75" hidden="1" customHeight="1" x14ac:dyDescent="0.25"/>
    <row r="694" ht="15.75" hidden="1" customHeight="1" x14ac:dyDescent="0.25"/>
    <row r="695" ht="15.75" hidden="1" customHeight="1" x14ac:dyDescent="0.25"/>
    <row r="696" ht="15.75" hidden="1" customHeight="1" x14ac:dyDescent="0.25"/>
    <row r="697" ht="15.75" hidden="1" customHeight="1" x14ac:dyDescent="0.25"/>
    <row r="698" ht="15.75" hidden="1" customHeight="1" x14ac:dyDescent="0.25"/>
    <row r="699" ht="15.75" hidden="1" customHeight="1" x14ac:dyDescent="0.25"/>
    <row r="700" ht="15.75" hidden="1" customHeight="1" x14ac:dyDescent="0.25"/>
    <row r="701" ht="15.75" hidden="1" customHeight="1" x14ac:dyDescent="0.25"/>
    <row r="702" ht="15.75" hidden="1" customHeight="1" x14ac:dyDescent="0.25"/>
    <row r="703" ht="15.75" hidden="1" customHeight="1" x14ac:dyDescent="0.25"/>
    <row r="704" ht="15.75" hidden="1" customHeight="1" x14ac:dyDescent="0.25"/>
    <row r="705" ht="15.75" hidden="1" customHeight="1" x14ac:dyDescent="0.25"/>
    <row r="706" ht="15.75" hidden="1" customHeight="1" x14ac:dyDescent="0.25"/>
    <row r="707" ht="15.75" hidden="1" customHeight="1" x14ac:dyDescent="0.25"/>
    <row r="708" ht="15.75" hidden="1" customHeight="1" x14ac:dyDescent="0.25"/>
    <row r="709" ht="15.75" hidden="1" customHeight="1" x14ac:dyDescent="0.25"/>
    <row r="710" ht="15.75" hidden="1" customHeight="1" x14ac:dyDescent="0.25"/>
    <row r="711" ht="15.75" hidden="1" customHeight="1" x14ac:dyDescent="0.25"/>
    <row r="712" ht="15.75" hidden="1" customHeight="1" x14ac:dyDescent="0.25"/>
    <row r="713" ht="15.75" hidden="1" customHeight="1" x14ac:dyDescent="0.25"/>
    <row r="714" ht="15.75" hidden="1" customHeight="1" x14ac:dyDescent="0.25"/>
    <row r="715" ht="15.75" hidden="1" customHeight="1" x14ac:dyDescent="0.25"/>
    <row r="716" ht="15.75" hidden="1" customHeight="1" x14ac:dyDescent="0.25"/>
    <row r="717" ht="15.75" hidden="1" customHeight="1" x14ac:dyDescent="0.25"/>
    <row r="718" ht="15.75" hidden="1" customHeight="1" x14ac:dyDescent="0.25"/>
    <row r="719" ht="15.75" hidden="1" customHeight="1" x14ac:dyDescent="0.25"/>
    <row r="720" ht="15.75" hidden="1" customHeight="1" x14ac:dyDescent="0.25"/>
    <row r="721" ht="15.75" hidden="1" customHeight="1" x14ac:dyDescent="0.25"/>
    <row r="722" ht="15.75" hidden="1" customHeight="1" x14ac:dyDescent="0.25"/>
    <row r="723" ht="15.75" hidden="1" customHeight="1" x14ac:dyDescent="0.25"/>
    <row r="724" ht="15.75" hidden="1" customHeight="1" x14ac:dyDescent="0.25"/>
    <row r="725" ht="15.75" hidden="1" customHeight="1" x14ac:dyDescent="0.25"/>
    <row r="726" ht="15.75" hidden="1" customHeight="1" x14ac:dyDescent="0.25"/>
    <row r="727" ht="15.75" hidden="1" customHeight="1" x14ac:dyDescent="0.25"/>
    <row r="728" ht="15.75" hidden="1" customHeight="1" x14ac:dyDescent="0.25"/>
    <row r="729" ht="15.75" hidden="1" customHeight="1" x14ac:dyDescent="0.25"/>
    <row r="730" ht="15.75" hidden="1" customHeight="1" x14ac:dyDescent="0.25"/>
    <row r="731" ht="15.75" hidden="1" customHeight="1" x14ac:dyDescent="0.25"/>
    <row r="732" ht="15.75" hidden="1" customHeight="1" x14ac:dyDescent="0.25"/>
    <row r="733" ht="15.75" hidden="1" customHeight="1" x14ac:dyDescent="0.25"/>
    <row r="734" ht="15.75" hidden="1" customHeight="1" x14ac:dyDescent="0.25"/>
    <row r="735" ht="15.75" hidden="1" customHeight="1" x14ac:dyDescent="0.25"/>
    <row r="736" ht="15.75" hidden="1" customHeight="1" x14ac:dyDescent="0.25"/>
    <row r="737" ht="15.75" hidden="1" customHeight="1" x14ac:dyDescent="0.25"/>
    <row r="738" ht="15.75" hidden="1" customHeight="1" x14ac:dyDescent="0.25"/>
    <row r="739" ht="15.75" hidden="1" customHeight="1" x14ac:dyDescent="0.25"/>
    <row r="740" ht="15.75" hidden="1" customHeight="1" x14ac:dyDescent="0.25"/>
    <row r="741" ht="15.75" hidden="1" customHeight="1" x14ac:dyDescent="0.25"/>
    <row r="742" ht="15.75" hidden="1" customHeight="1" x14ac:dyDescent="0.25"/>
    <row r="743" ht="15.75" hidden="1" customHeight="1" x14ac:dyDescent="0.25"/>
    <row r="744" ht="15.75" hidden="1" customHeight="1" x14ac:dyDescent="0.25"/>
    <row r="745" ht="15.75" hidden="1" customHeight="1" x14ac:dyDescent="0.25"/>
    <row r="746" ht="15.75" hidden="1" customHeight="1" x14ac:dyDescent="0.25"/>
    <row r="747" ht="15.75" hidden="1" customHeight="1" x14ac:dyDescent="0.25"/>
    <row r="748" ht="15.75" hidden="1" customHeight="1" x14ac:dyDescent="0.25"/>
    <row r="749" ht="15.75" hidden="1" customHeight="1" x14ac:dyDescent="0.25"/>
    <row r="750" ht="15.75" hidden="1" customHeight="1" x14ac:dyDescent="0.25"/>
    <row r="751" ht="15.75" hidden="1" customHeight="1" x14ac:dyDescent="0.25"/>
    <row r="752" ht="15.75" hidden="1" customHeight="1" x14ac:dyDescent="0.25"/>
    <row r="753" ht="15.75" hidden="1" customHeight="1" x14ac:dyDescent="0.25"/>
    <row r="754" ht="15.75" hidden="1" customHeight="1" x14ac:dyDescent="0.25"/>
    <row r="755" ht="15.75" hidden="1" customHeight="1" x14ac:dyDescent="0.25"/>
    <row r="756" ht="15.75" hidden="1" customHeight="1" x14ac:dyDescent="0.25"/>
    <row r="757" ht="15.75" hidden="1" customHeight="1" x14ac:dyDescent="0.25"/>
    <row r="758" ht="15.75" hidden="1" customHeight="1" x14ac:dyDescent="0.25"/>
    <row r="759" ht="15.75" hidden="1" customHeight="1" x14ac:dyDescent="0.25"/>
    <row r="760" ht="15.75" hidden="1" customHeight="1" x14ac:dyDescent="0.25"/>
    <row r="761" ht="15.75" hidden="1" customHeight="1" x14ac:dyDescent="0.25"/>
    <row r="762" ht="15.75" hidden="1" customHeight="1" x14ac:dyDescent="0.25"/>
    <row r="763" ht="15.75" hidden="1" customHeight="1" x14ac:dyDescent="0.25"/>
    <row r="764" ht="15.75" hidden="1" customHeight="1" x14ac:dyDescent="0.25"/>
    <row r="765" ht="15.75" hidden="1" customHeight="1" x14ac:dyDescent="0.25"/>
    <row r="766" ht="15.75" hidden="1" customHeight="1" x14ac:dyDescent="0.25"/>
    <row r="767" ht="15.75" hidden="1" customHeight="1" x14ac:dyDescent="0.25"/>
    <row r="768" ht="15.75" hidden="1" customHeight="1" x14ac:dyDescent="0.25"/>
    <row r="769" ht="15.75" hidden="1" customHeight="1" x14ac:dyDescent="0.25"/>
    <row r="770" ht="15.75" hidden="1" customHeight="1" x14ac:dyDescent="0.25"/>
    <row r="771" ht="15.75" hidden="1" customHeight="1" x14ac:dyDescent="0.25"/>
    <row r="772" ht="15.75" hidden="1" customHeight="1" x14ac:dyDescent="0.25"/>
    <row r="773" ht="15.75" hidden="1" customHeight="1" x14ac:dyDescent="0.25"/>
    <row r="774" ht="15.75" hidden="1" customHeight="1" x14ac:dyDescent="0.25"/>
    <row r="775" ht="15.75" hidden="1" customHeight="1" x14ac:dyDescent="0.25"/>
    <row r="776" ht="15.75" hidden="1" customHeight="1" x14ac:dyDescent="0.25"/>
    <row r="777" ht="15.75" hidden="1" customHeight="1" x14ac:dyDescent="0.25"/>
    <row r="778" ht="15.75" hidden="1" customHeight="1" x14ac:dyDescent="0.25"/>
    <row r="779" ht="15.75" hidden="1" customHeight="1" x14ac:dyDescent="0.25"/>
    <row r="780" ht="15.75" hidden="1" customHeight="1" x14ac:dyDescent="0.25"/>
    <row r="781" ht="15.75" hidden="1" customHeight="1" x14ac:dyDescent="0.25"/>
    <row r="782" ht="15.75" hidden="1" customHeight="1" x14ac:dyDescent="0.25"/>
    <row r="783" ht="15.75" hidden="1" customHeight="1" x14ac:dyDescent="0.25"/>
    <row r="784" ht="15.75" hidden="1" customHeight="1" x14ac:dyDescent="0.25"/>
    <row r="785" ht="15.75" hidden="1" customHeight="1" x14ac:dyDescent="0.25"/>
    <row r="786" ht="15.75" hidden="1" customHeight="1" x14ac:dyDescent="0.25"/>
    <row r="787" ht="15.75" hidden="1" customHeight="1" x14ac:dyDescent="0.25"/>
    <row r="788" ht="15.75" hidden="1" customHeight="1" x14ac:dyDescent="0.25"/>
    <row r="789" ht="15.75" hidden="1" customHeight="1" x14ac:dyDescent="0.25"/>
    <row r="790" ht="15.75" hidden="1" customHeight="1" x14ac:dyDescent="0.25"/>
    <row r="791" ht="15.75" hidden="1" customHeight="1" x14ac:dyDescent="0.25"/>
    <row r="792" ht="15.75" hidden="1" customHeight="1" x14ac:dyDescent="0.25"/>
    <row r="793" ht="15.75" hidden="1" customHeight="1" x14ac:dyDescent="0.25"/>
    <row r="794" ht="15.75" hidden="1" customHeight="1" x14ac:dyDescent="0.25"/>
    <row r="795" ht="15.75" hidden="1" customHeight="1" x14ac:dyDescent="0.25"/>
    <row r="796" ht="15.75" hidden="1" customHeight="1" x14ac:dyDescent="0.25"/>
    <row r="797" ht="15.75" hidden="1" customHeight="1" x14ac:dyDescent="0.25"/>
    <row r="798" ht="15.75" hidden="1" customHeight="1" x14ac:dyDescent="0.25"/>
    <row r="799" ht="15.75" hidden="1" customHeight="1" x14ac:dyDescent="0.25"/>
    <row r="800" ht="15.75" hidden="1" customHeight="1" x14ac:dyDescent="0.25"/>
    <row r="801" ht="15.75" hidden="1" customHeight="1" x14ac:dyDescent="0.25"/>
    <row r="802" ht="15.75" hidden="1" customHeight="1" x14ac:dyDescent="0.25"/>
    <row r="803" ht="15.75" hidden="1" customHeight="1" x14ac:dyDescent="0.25"/>
    <row r="804" ht="15.75" hidden="1" customHeight="1" x14ac:dyDescent="0.25"/>
    <row r="805" ht="15.75" hidden="1" customHeight="1" x14ac:dyDescent="0.25"/>
    <row r="806" ht="15.75" hidden="1" customHeight="1" x14ac:dyDescent="0.25"/>
    <row r="807" ht="15.75" hidden="1" customHeight="1" x14ac:dyDescent="0.25"/>
    <row r="808" ht="15.75" hidden="1" customHeight="1" x14ac:dyDescent="0.25"/>
    <row r="809" ht="15.75" hidden="1" customHeight="1" x14ac:dyDescent="0.25"/>
    <row r="810" ht="15.75" hidden="1" customHeight="1" x14ac:dyDescent="0.25"/>
    <row r="811" ht="15.75" hidden="1" customHeight="1" x14ac:dyDescent="0.25"/>
    <row r="812" ht="15.75" hidden="1" customHeight="1" x14ac:dyDescent="0.25"/>
    <row r="813" ht="15.75" hidden="1" customHeight="1" x14ac:dyDescent="0.25"/>
    <row r="814" ht="15.75" hidden="1" customHeight="1" x14ac:dyDescent="0.25"/>
    <row r="815" ht="15.75" hidden="1" customHeight="1" x14ac:dyDescent="0.25"/>
    <row r="816" ht="15.75" hidden="1" customHeight="1" x14ac:dyDescent="0.25"/>
    <row r="817" ht="15.75" hidden="1" customHeight="1" x14ac:dyDescent="0.25"/>
    <row r="818" ht="15.75" hidden="1" customHeight="1" x14ac:dyDescent="0.25"/>
    <row r="819" ht="15.75" hidden="1" customHeight="1" x14ac:dyDescent="0.25"/>
    <row r="820" ht="15.75" hidden="1" customHeight="1" x14ac:dyDescent="0.25"/>
    <row r="821" ht="15.75" hidden="1" customHeight="1" x14ac:dyDescent="0.25"/>
    <row r="822" ht="15.75" hidden="1" customHeight="1" x14ac:dyDescent="0.25"/>
    <row r="823" ht="15.75" hidden="1" customHeight="1" x14ac:dyDescent="0.25"/>
    <row r="824" ht="15.75" hidden="1" customHeight="1" x14ac:dyDescent="0.25"/>
    <row r="825" ht="15.75" hidden="1" customHeight="1" x14ac:dyDescent="0.25"/>
    <row r="826" ht="15.75" hidden="1" customHeight="1" x14ac:dyDescent="0.25"/>
    <row r="827" ht="15.75" hidden="1" customHeight="1" x14ac:dyDescent="0.25"/>
    <row r="828" ht="15.75" hidden="1" customHeight="1" x14ac:dyDescent="0.25"/>
    <row r="829" ht="15.75" hidden="1" customHeight="1" x14ac:dyDescent="0.25"/>
    <row r="830" ht="15.75" hidden="1" customHeight="1" x14ac:dyDescent="0.25"/>
    <row r="831" ht="15.75" hidden="1" customHeight="1" x14ac:dyDescent="0.25"/>
    <row r="832" ht="15.75" hidden="1" customHeight="1" x14ac:dyDescent="0.25"/>
    <row r="833" ht="15.75" hidden="1" customHeight="1" x14ac:dyDescent="0.25"/>
    <row r="834" ht="15.75" hidden="1" customHeight="1" x14ac:dyDescent="0.25"/>
    <row r="835" ht="15.75" hidden="1" customHeight="1" x14ac:dyDescent="0.25"/>
    <row r="836" ht="15.75" hidden="1" customHeight="1" x14ac:dyDescent="0.25"/>
    <row r="837" ht="15.75" hidden="1" customHeight="1" x14ac:dyDescent="0.25"/>
    <row r="838" ht="15.75" hidden="1" customHeight="1" x14ac:dyDescent="0.25"/>
    <row r="839" ht="15.75" hidden="1" customHeight="1" x14ac:dyDescent="0.25"/>
    <row r="840" ht="15.75" hidden="1" customHeight="1" x14ac:dyDescent="0.25"/>
    <row r="841" ht="15.75" hidden="1" customHeight="1" x14ac:dyDescent="0.25"/>
    <row r="842" ht="15.75" hidden="1" customHeight="1" x14ac:dyDescent="0.25"/>
    <row r="843" ht="15.75" hidden="1" customHeight="1" x14ac:dyDescent="0.25"/>
    <row r="844" ht="15.75" hidden="1" customHeight="1" x14ac:dyDescent="0.25"/>
    <row r="845" ht="15.75" hidden="1" customHeight="1" x14ac:dyDescent="0.25"/>
    <row r="846" ht="15.75" hidden="1" customHeight="1" x14ac:dyDescent="0.25"/>
    <row r="847" ht="15.75" hidden="1" customHeight="1" x14ac:dyDescent="0.25"/>
    <row r="848" ht="15.75" hidden="1" customHeight="1" x14ac:dyDescent="0.25"/>
    <row r="849" ht="15.75" hidden="1" customHeight="1" x14ac:dyDescent="0.25"/>
    <row r="850" ht="15.75" hidden="1" customHeight="1" x14ac:dyDescent="0.25"/>
    <row r="851" ht="15.75" hidden="1" customHeight="1" x14ac:dyDescent="0.25"/>
    <row r="852" ht="15.75" hidden="1" customHeight="1" x14ac:dyDescent="0.25"/>
    <row r="853" ht="15.75" hidden="1" customHeight="1" x14ac:dyDescent="0.25"/>
    <row r="854" ht="15.75" hidden="1" customHeight="1" x14ac:dyDescent="0.25"/>
    <row r="855" ht="15.75" hidden="1" customHeight="1" x14ac:dyDescent="0.25"/>
    <row r="856" ht="15.75" hidden="1" customHeight="1" x14ac:dyDescent="0.25"/>
    <row r="857" ht="15.75" hidden="1" customHeight="1" x14ac:dyDescent="0.25"/>
    <row r="858" ht="15.75" hidden="1" customHeight="1" x14ac:dyDescent="0.25"/>
    <row r="859" ht="15.75" hidden="1" customHeight="1" x14ac:dyDescent="0.25"/>
    <row r="860" ht="15.75" hidden="1" customHeight="1" x14ac:dyDescent="0.25"/>
    <row r="861" ht="15.75" hidden="1" customHeight="1" x14ac:dyDescent="0.25"/>
    <row r="862" ht="15.75" hidden="1" customHeight="1" x14ac:dyDescent="0.25"/>
    <row r="863" ht="15.75" hidden="1" customHeight="1" x14ac:dyDescent="0.25"/>
    <row r="864" ht="15.75" hidden="1" customHeight="1" x14ac:dyDescent="0.25"/>
    <row r="865" ht="15.75" hidden="1" customHeight="1" x14ac:dyDescent="0.25"/>
    <row r="866" ht="15.75" hidden="1" customHeight="1" x14ac:dyDescent="0.25"/>
    <row r="867" ht="15.75" hidden="1" customHeight="1" x14ac:dyDescent="0.25"/>
    <row r="868" ht="15.75" hidden="1" customHeight="1" x14ac:dyDescent="0.25"/>
    <row r="869" ht="15.75" hidden="1" customHeight="1" x14ac:dyDescent="0.25"/>
    <row r="870" ht="15.75" hidden="1" customHeight="1" x14ac:dyDescent="0.25"/>
    <row r="871" ht="15.75" hidden="1" customHeight="1" x14ac:dyDescent="0.25"/>
    <row r="872" ht="15.75" hidden="1" customHeight="1" x14ac:dyDescent="0.25"/>
    <row r="873" ht="15.75" hidden="1" customHeight="1" x14ac:dyDescent="0.25"/>
    <row r="874" ht="15.75" hidden="1" customHeight="1" x14ac:dyDescent="0.25"/>
    <row r="875" ht="15.75" hidden="1" customHeight="1" x14ac:dyDescent="0.25"/>
    <row r="876" ht="15.75" hidden="1" customHeight="1" x14ac:dyDescent="0.25"/>
    <row r="877" ht="15.75" hidden="1" customHeight="1" x14ac:dyDescent="0.25"/>
    <row r="878" ht="15.75" hidden="1" customHeight="1" x14ac:dyDescent="0.25"/>
    <row r="879" ht="15.75" hidden="1" customHeight="1" x14ac:dyDescent="0.25"/>
    <row r="880" ht="15.75" hidden="1" customHeight="1" x14ac:dyDescent="0.25"/>
    <row r="881" ht="15.75" hidden="1" customHeight="1" x14ac:dyDescent="0.25"/>
    <row r="882" ht="15.75" hidden="1" customHeight="1" x14ac:dyDescent="0.25"/>
    <row r="883" ht="15.75" hidden="1" customHeight="1" x14ac:dyDescent="0.25"/>
    <row r="884" ht="15.75" hidden="1" customHeight="1" x14ac:dyDescent="0.25"/>
    <row r="885" ht="15.75" hidden="1" customHeight="1" x14ac:dyDescent="0.25"/>
    <row r="886" ht="15.75" hidden="1" customHeight="1" x14ac:dyDescent="0.25"/>
    <row r="887" ht="15.75" hidden="1" customHeight="1" x14ac:dyDescent="0.25"/>
    <row r="888" ht="15.75" hidden="1" customHeight="1" x14ac:dyDescent="0.25"/>
    <row r="889" ht="15.75" hidden="1" customHeight="1" x14ac:dyDescent="0.25"/>
    <row r="890" ht="15.75" hidden="1" customHeight="1" x14ac:dyDescent="0.25"/>
    <row r="891" ht="15.75" hidden="1" customHeight="1" x14ac:dyDescent="0.25"/>
    <row r="892" ht="15.75" hidden="1" customHeight="1" x14ac:dyDescent="0.25"/>
    <row r="893" ht="15.75" hidden="1" customHeight="1" x14ac:dyDescent="0.25"/>
    <row r="894" ht="15.75" hidden="1" customHeight="1" x14ac:dyDescent="0.25"/>
    <row r="895" ht="15.75" hidden="1" customHeight="1" x14ac:dyDescent="0.25"/>
    <row r="896" ht="15.75" hidden="1" customHeight="1" x14ac:dyDescent="0.25"/>
    <row r="897" ht="15.75" hidden="1" customHeight="1" x14ac:dyDescent="0.25"/>
    <row r="898" ht="15.75" hidden="1" customHeight="1" x14ac:dyDescent="0.25"/>
    <row r="899" ht="15.75" hidden="1" customHeight="1" x14ac:dyDescent="0.25"/>
    <row r="900" ht="15.75" hidden="1" customHeight="1" x14ac:dyDescent="0.25"/>
    <row r="901" ht="15.75" hidden="1" customHeight="1" x14ac:dyDescent="0.25"/>
    <row r="902" ht="15.75" hidden="1" customHeight="1" x14ac:dyDescent="0.25"/>
    <row r="903" ht="15.75" hidden="1" customHeight="1" x14ac:dyDescent="0.25"/>
    <row r="904" ht="15.75" hidden="1" customHeight="1" x14ac:dyDescent="0.25"/>
    <row r="905" ht="15.75" hidden="1" customHeight="1" x14ac:dyDescent="0.25"/>
    <row r="906" ht="15.75" hidden="1" customHeight="1" x14ac:dyDescent="0.25"/>
    <row r="907" ht="15.75" hidden="1" customHeight="1" x14ac:dyDescent="0.25"/>
    <row r="908" ht="15.75" hidden="1" customHeight="1" x14ac:dyDescent="0.25"/>
    <row r="909" ht="15.75" hidden="1" customHeight="1" x14ac:dyDescent="0.25"/>
    <row r="910" ht="15.75" hidden="1" customHeight="1" x14ac:dyDescent="0.25"/>
    <row r="911" ht="15.75" hidden="1" customHeight="1" x14ac:dyDescent="0.25"/>
    <row r="912" ht="15.75" hidden="1" customHeight="1" x14ac:dyDescent="0.25"/>
    <row r="913" ht="15.75" hidden="1" customHeight="1" x14ac:dyDescent="0.25"/>
    <row r="914" ht="15.75" hidden="1" customHeight="1" x14ac:dyDescent="0.25"/>
    <row r="915" ht="15.75" hidden="1" customHeight="1" x14ac:dyDescent="0.25"/>
    <row r="916" ht="15.75" hidden="1" customHeight="1" x14ac:dyDescent="0.25"/>
    <row r="917" ht="15.75" hidden="1" customHeight="1" x14ac:dyDescent="0.25"/>
    <row r="918" ht="15.75" hidden="1" customHeight="1" x14ac:dyDescent="0.25"/>
    <row r="919" ht="15.75" hidden="1" customHeight="1" x14ac:dyDescent="0.25"/>
    <row r="920" ht="15.75" hidden="1" customHeight="1" x14ac:dyDescent="0.25"/>
    <row r="921" ht="15.75" hidden="1" customHeight="1" x14ac:dyDescent="0.25"/>
    <row r="922" ht="15.75" hidden="1" customHeight="1" x14ac:dyDescent="0.25"/>
    <row r="923" ht="15.75" hidden="1" customHeight="1" x14ac:dyDescent="0.25"/>
    <row r="924" ht="15.75" hidden="1" customHeight="1" x14ac:dyDescent="0.25"/>
    <row r="925" ht="15.75" hidden="1" customHeight="1" x14ac:dyDescent="0.25"/>
    <row r="926" ht="15.75" hidden="1" customHeight="1" x14ac:dyDescent="0.25"/>
    <row r="927" ht="15.75" hidden="1" customHeight="1" x14ac:dyDescent="0.25"/>
    <row r="928" ht="15.75" hidden="1" customHeight="1" x14ac:dyDescent="0.25"/>
    <row r="929" ht="15.75" hidden="1" customHeight="1" x14ac:dyDescent="0.25"/>
    <row r="930" ht="15.75" hidden="1" customHeight="1" x14ac:dyDescent="0.25"/>
    <row r="931" ht="15.75" hidden="1" customHeight="1" x14ac:dyDescent="0.25"/>
    <row r="932" ht="15.75" hidden="1" customHeight="1" x14ac:dyDescent="0.25"/>
    <row r="933" ht="15.75" hidden="1" customHeight="1" x14ac:dyDescent="0.25"/>
    <row r="934" ht="15.75" hidden="1" customHeight="1" x14ac:dyDescent="0.25"/>
    <row r="935" ht="15.75" hidden="1" customHeight="1" x14ac:dyDescent="0.25"/>
    <row r="936" ht="15.75" hidden="1" customHeight="1" x14ac:dyDescent="0.25"/>
    <row r="937" ht="15.75" hidden="1" customHeight="1" x14ac:dyDescent="0.25"/>
    <row r="938" ht="15.75" hidden="1" customHeight="1" x14ac:dyDescent="0.25"/>
    <row r="939" ht="15.75" hidden="1" customHeight="1" x14ac:dyDescent="0.25"/>
    <row r="940" ht="15.75" hidden="1" customHeight="1" x14ac:dyDescent="0.25"/>
    <row r="941" ht="15.75" hidden="1" customHeight="1" x14ac:dyDescent="0.25"/>
    <row r="942" ht="15.75" hidden="1" customHeight="1" x14ac:dyDescent="0.25"/>
    <row r="943" ht="15.75" hidden="1" customHeight="1" x14ac:dyDescent="0.25"/>
    <row r="944" ht="15.75" hidden="1" customHeight="1" x14ac:dyDescent="0.25"/>
    <row r="945" ht="15.75" hidden="1" customHeight="1" x14ac:dyDescent="0.25"/>
    <row r="946" ht="15.75" hidden="1" customHeight="1" x14ac:dyDescent="0.25"/>
    <row r="947" ht="15.75" hidden="1" customHeight="1" x14ac:dyDescent="0.25"/>
    <row r="948" ht="15.75" hidden="1" customHeight="1" x14ac:dyDescent="0.25"/>
    <row r="949" ht="15.75" hidden="1" customHeight="1" x14ac:dyDescent="0.25"/>
    <row r="950" ht="15.75" hidden="1" customHeight="1" x14ac:dyDescent="0.25"/>
    <row r="951" ht="15.75" hidden="1" customHeight="1" x14ac:dyDescent="0.25"/>
    <row r="952" ht="15.75" hidden="1" customHeight="1" x14ac:dyDescent="0.25"/>
    <row r="953" ht="15.75" hidden="1" customHeight="1" x14ac:dyDescent="0.25"/>
    <row r="954" ht="15.75" hidden="1" customHeight="1" x14ac:dyDescent="0.25"/>
    <row r="955" ht="15.75" hidden="1" customHeight="1" x14ac:dyDescent="0.25"/>
    <row r="956" ht="15.75" hidden="1" customHeight="1" x14ac:dyDescent="0.25"/>
    <row r="957" ht="15.75" hidden="1" customHeight="1" x14ac:dyDescent="0.25"/>
    <row r="958" ht="15.75" hidden="1" customHeight="1" x14ac:dyDescent="0.25"/>
    <row r="959" ht="15.75" hidden="1" customHeight="1" x14ac:dyDescent="0.25"/>
    <row r="960" ht="15.75" hidden="1" customHeight="1" x14ac:dyDescent="0.25"/>
    <row r="961" ht="15.75" hidden="1" customHeight="1" x14ac:dyDescent="0.25"/>
    <row r="962" ht="15.75" hidden="1" customHeight="1" x14ac:dyDescent="0.25"/>
    <row r="963" ht="15.75" hidden="1" customHeight="1" x14ac:dyDescent="0.25"/>
    <row r="964" ht="15.75" hidden="1" customHeight="1" x14ac:dyDescent="0.25"/>
    <row r="965" ht="15.75" hidden="1" customHeight="1" x14ac:dyDescent="0.25"/>
    <row r="966" ht="15.75" hidden="1" customHeight="1" x14ac:dyDescent="0.25"/>
    <row r="967" ht="15.75" hidden="1" customHeight="1" x14ac:dyDescent="0.25"/>
    <row r="968" ht="15.75" hidden="1" customHeight="1" x14ac:dyDescent="0.25"/>
    <row r="969" ht="15.75" hidden="1" customHeight="1" x14ac:dyDescent="0.25"/>
    <row r="970" ht="15.75" hidden="1" customHeight="1" x14ac:dyDescent="0.25"/>
    <row r="971" ht="15.75" hidden="1" customHeight="1" x14ac:dyDescent="0.25"/>
    <row r="972" ht="15.75" hidden="1" customHeight="1" x14ac:dyDescent="0.25"/>
    <row r="973" ht="15.75" hidden="1" customHeight="1" x14ac:dyDescent="0.25"/>
    <row r="974" ht="15.75" hidden="1" customHeight="1" x14ac:dyDescent="0.25"/>
    <row r="975" ht="15.75" hidden="1" customHeight="1" x14ac:dyDescent="0.25"/>
    <row r="976" ht="15.75" hidden="1" customHeight="1" x14ac:dyDescent="0.25"/>
    <row r="977" ht="15.75" hidden="1" customHeight="1" x14ac:dyDescent="0.25"/>
    <row r="978" ht="15.75" hidden="1" customHeight="1" x14ac:dyDescent="0.25"/>
    <row r="979" ht="15.75" hidden="1" customHeight="1" x14ac:dyDescent="0.25"/>
    <row r="980" ht="15.75" hidden="1" customHeight="1" x14ac:dyDescent="0.25"/>
    <row r="981" ht="15.75" hidden="1" customHeight="1" x14ac:dyDescent="0.25"/>
    <row r="982" ht="15.75" hidden="1" customHeight="1" x14ac:dyDescent="0.25"/>
    <row r="983" ht="15.75" hidden="1" customHeight="1" x14ac:dyDescent="0.25"/>
    <row r="984" ht="15.75" hidden="1" customHeight="1" x14ac:dyDescent="0.25"/>
    <row r="985" ht="15.75" hidden="1" customHeight="1" x14ac:dyDescent="0.25"/>
    <row r="986" ht="15.75" hidden="1" customHeight="1" x14ac:dyDescent="0.25"/>
    <row r="987" ht="15.75" hidden="1" customHeight="1" x14ac:dyDescent="0.25"/>
    <row r="988" ht="15.75" hidden="1" customHeight="1" x14ac:dyDescent="0.25"/>
    <row r="989" ht="15.75" hidden="1" customHeight="1" x14ac:dyDescent="0.25"/>
    <row r="990" ht="15.75" hidden="1" customHeight="1" x14ac:dyDescent="0.25"/>
    <row r="991" ht="15.75" hidden="1" customHeight="1" x14ac:dyDescent="0.25"/>
    <row r="992" ht="15.75" hidden="1" customHeight="1" x14ac:dyDescent="0.25"/>
    <row r="993" ht="15.75" hidden="1" customHeight="1" x14ac:dyDescent="0.25"/>
    <row r="994" ht="15.75" hidden="1" customHeight="1" x14ac:dyDescent="0.25"/>
    <row r="995" ht="15.75" hidden="1" customHeight="1" x14ac:dyDescent="0.25"/>
    <row r="996" ht="15.75" hidden="1" customHeight="1" x14ac:dyDescent="0.25"/>
    <row r="997" ht="15.75" hidden="1" customHeight="1" x14ac:dyDescent="0.25"/>
  </sheetData>
  <autoFilter ref="A1:AL180" xr:uid="{00000000-0009-0000-0000-000005000000}">
    <filterColumn colId="0">
      <filters>
        <filter val="66I1"/>
        <filter val="66I2"/>
      </filters>
    </filterColumn>
  </autoFilter>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EB8D5-33BA-41F1-A17A-E337D1F1ED88}">
  <sheetPr codeName="Hoja6">
    <tabColor theme="1" tint="0.499984740745262"/>
  </sheetPr>
  <dimension ref="A1:Z986"/>
  <sheetViews>
    <sheetView showGridLines="0" zoomScale="130" zoomScaleNormal="130" workbookViewId="0">
      <pane xSplit="4" ySplit="1" topLeftCell="E2" activePane="bottomRight" state="frozen"/>
      <selection pane="topRight" activeCell="E1" sqref="E1"/>
      <selection pane="bottomLeft" activeCell="A2" sqref="A2"/>
      <selection pane="bottomRight" activeCell="C2" sqref="C2"/>
    </sheetView>
  </sheetViews>
  <sheetFormatPr baseColWidth="10" defaultColWidth="0" defaultRowHeight="15" customHeight="1" zeroHeight="1" x14ac:dyDescent="0.25"/>
  <cols>
    <col min="1" max="1" width="12" style="117" customWidth="1"/>
    <col min="2" max="2" width="13.28515625" style="117" customWidth="1"/>
    <col min="3" max="3" width="12.42578125" style="117" customWidth="1"/>
    <col min="4" max="4" width="54.42578125" style="117" customWidth="1"/>
    <col min="5" max="5" width="11.7109375" style="139" customWidth="1"/>
    <col min="6" max="6" width="11.42578125" style="139" customWidth="1"/>
    <col min="7" max="7" width="14.7109375" style="117" customWidth="1"/>
    <col min="8" max="13" width="11.42578125" style="117" customWidth="1"/>
    <col min="14" max="14" width="2.85546875" style="117" customWidth="1"/>
    <col min="15" max="26" width="10.7109375" style="117" hidden="1" customWidth="1"/>
    <col min="27" max="16384" width="14.42578125" style="117" hidden="1"/>
  </cols>
  <sheetData>
    <row r="1" spans="1:22" ht="45" x14ac:dyDescent="0.25">
      <c r="A1" s="112" t="s">
        <v>12</v>
      </c>
      <c r="B1" s="112" t="s">
        <v>880</v>
      </c>
      <c r="C1" s="112" t="s">
        <v>881</v>
      </c>
      <c r="D1" s="112" t="s">
        <v>882</v>
      </c>
      <c r="E1" s="113" t="s">
        <v>401</v>
      </c>
      <c r="F1" s="113" t="s">
        <v>884</v>
      </c>
      <c r="G1" s="114" t="s">
        <v>885</v>
      </c>
      <c r="H1" s="112" t="s">
        <v>886</v>
      </c>
      <c r="I1" s="112" t="s">
        <v>887</v>
      </c>
      <c r="J1" s="112" t="s">
        <v>888</v>
      </c>
      <c r="K1" s="112" t="s">
        <v>889</v>
      </c>
      <c r="L1" s="115" t="s">
        <v>890</v>
      </c>
      <c r="M1" s="115" t="s">
        <v>891</v>
      </c>
      <c r="N1" s="116"/>
      <c r="O1" s="116"/>
      <c r="P1" s="116"/>
      <c r="Q1" s="116"/>
      <c r="R1" s="116"/>
      <c r="S1" s="116"/>
      <c r="T1" s="116"/>
      <c r="U1" s="116"/>
      <c r="V1" s="116"/>
    </row>
    <row r="2" spans="1:22" ht="15" customHeight="1" x14ac:dyDescent="0.25">
      <c r="A2" s="118">
        <v>1</v>
      </c>
      <c r="B2" s="118" t="s">
        <v>892</v>
      </c>
      <c r="C2" s="118" t="s">
        <v>893</v>
      </c>
      <c r="D2" s="119" t="s">
        <v>894</v>
      </c>
      <c r="E2" s="121">
        <v>44409</v>
      </c>
      <c r="F2" s="122">
        <v>45382</v>
      </c>
      <c r="G2" s="120">
        <v>1.9999999552965164E-2</v>
      </c>
      <c r="H2" s="120">
        <v>0.20999999344348907</v>
      </c>
      <c r="I2" s="120">
        <v>0.20999999344348907</v>
      </c>
      <c r="J2" s="120">
        <v>0.2199999988079071</v>
      </c>
      <c r="K2" s="120">
        <v>0.2199999988079071</v>
      </c>
      <c r="L2" s="120">
        <v>0.11999999731779099</v>
      </c>
      <c r="M2" s="120"/>
      <c r="N2" s="123"/>
      <c r="O2" s="123"/>
      <c r="P2" s="123"/>
      <c r="Q2" s="123"/>
      <c r="R2" s="123"/>
      <c r="S2" s="123"/>
      <c r="T2" s="123"/>
      <c r="U2" s="123"/>
      <c r="V2" s="123"/>
    </row>
    <row r="3" spans="1:22" ht="15" customHeight="1" x14ac:dyDescent="0.25">
      <c r="A3" s="118">
        <v>1</v>
      </c>
      <c r="B3" s="118" t="s">
        <v>892</v>
      </c>
      <c r="C3" s="118" t="s">
        <v>895</v>
      </c>
      <c r="D3" s="119" t="s">
        <v>896</v>
      </c>
      <c r="E3" s="121">
        <v>44593</v>
      </c>
      <c r="F3" s="122">
        <v>45382</v>
      </c>
      <c r="G3" s="120">
        <v>0</v>
      </c>
      <c r="H3" s="120">
        <v>0.20000000298023224</v>
      </c>
      <c r="I3" s="120">
        <v>0.25</v>
      </c>
      <c r="J3" s="120">
        <v>0.25</v>
      </c>
      <c r="K3" s="120">
        <v>0.2800000011920929</v>
      </c>
      <c r="L3" s="120">
        <v>1.9999999552965164E-2</v>
      </c>
      <c r="M3" s="120"/>
      <c r="N3" s="123"/>
      <c r="O3" s="123"/>
      <c r="P3" s="123"/>
      <c r="Q3" s="123"/>
      <c r="R3" s="123"/>
      <c r="S3" s="123"/>
      <c r="T3" s="123"/>
      <c r="U3" s="123"/>
      <c r="V3" s="123"/>
    </row>
    <row r="4" spans="1:22" ht="15" customHeight="1" x14ac:dyDescent="0.25">
      <c r="A4" s="118">
        <v>1</v>
      </c>
      <c r="B4" s="118" t="s">
        <v>897</v>
      </c>
      <c r="C4" s="118" t="s">
        <v>898</v>
      </c>
      <c r="D4" s="119" t="s">
        <v>899</v>
      </c>
      <c r="E4" s="121">
        <v>44409</v>
      </c>
      <c r="F4" s="122">
        <v>45382</v>
      </c>
      <c r="G4" s="120">
        <v>2.9999999329447746E-2</v>
      </c>
      <c r="H4" s="120">
        <v>0.28999999165534973</v>
      </c>
      <c r="I4" s="120">
        <v>0.28999999165534973</v>
      </c>
      <c r="J4" s="120">
        <v>0.17000000178813934</v>
      </c>
      <c r="K4" s="120">
        <v>0.17000000178813934</v>
      </c>
      <c r="L4" s="120">
        <v>5.000000074505806E-2</v>
      </c>
      <c r="M4" s="120"/>
      <c r="N4" s="123"/>
      <c r="O4" s="123"/>
      <c r="P4" s="123"/>
      <c r="Q4" s="123"/>
      <c r="R4" s="123"/>
      <c r="S4" s="123"/>
      <c r="T4" s="123"/>
      <c r="U4" s="123"/>
      <c r="V4" s="123"/>
    </row>
    <row r="5" spans="1:22" ht="15" customHeight="1" x14ac:dyDescent="0.25">
      <c r="A5" s="118">
        <v>2</v>
      </c>
      <c r="B5" s="118" t="s">
        <v>900</v>
      </c>
      <c r="C5" s="118" t="s">
        <v>901</v>
      </c>
      <c r="D5" s="124" t="s">
        <v>902</v>
      </c>
      <c r="E5" s="121">
        <v>44440</v>
      </c>
      <c r="F5" s="122">
        <v>44742</v>
      </c>
      <c r="G5" s="120">
        <v>0</v>
      </c>
      <c r="H5" s="120">
        <v>0.5</v>
      </c>
      <c r="I5" s="120">
        <v>0.5</v>
      </c>
      <c r="J5" s="120">
        <v>0</v>
      </c>
      <c r="K5" s="120">
        <v>0</v>
      </c>
      <c r="L5" s="120">
        <v>0</v>
      </c>
      <c r="M5" s="120"/>
      <c r="N5" s="123"/>
      <c r="O5" s="123"/>
      <c r="P5" s="123"/>
      <c r="Q5" s="123"/>
      <c r="R5" s="123"/>
      <c r="S5" s="123"/>
      <c r="T5" s="123"/>
      <c r="U5" s="123"/>
      <c r="V5" s="123"/>
    </row>
    <row r="6" spans="1:22" ht="15" customHeight="1" x14ac:dyDescent="0.25">
      <c r="A6" s="118">
        <v>2</v>
      </c>
      <c r="B6" s="118" t="s">
        <v>903</v>
      </c>
      <c r="C6" s="118" t="s">
        <v>904</v>
      </c>
      <c r="D6" s="119" t="s">
        <v>905</v>
      </c>
      <c r="E6" s="121">
        <v>44440</v>
      </c>
      <c r="F6" s="122">
        <v>45261</v>
      </c>
      <c r="G6" s="120">
        <v>0.10000000149011612</v>
      </c>
      <c r="H6" s="120">
        <v>0.40000000596046448</v>
      </c>
      <c r="I6" s="120">
        <v>0.5</v>
      </c>
      <c r="J6" s="120">
        <v>0</v>
      </c>
      <c r="K6" s="120">
        <v>0</v>
      </c>
      <c r="L6" s="120">
        <v>0</v>
      </c>
      <c r="M6" s="120"/>
      <c r="N6" s="123"/>
      <c r="O6" s="123"/>
      <c r="P6" s="123"/>
      <c r="Q6" s="123"/>
      <c r="R6" s="123"/>
      <c r="S6" s="123"/>
      <c r="T6" s="123"/>
      <c r="U6" s="123"/>
      <c r="V6" s="123"/>
    </row>
    <row r="7" spans="1:22" ht="15" customHeight="1" x14ac:dyDescent="0.25">
      <c r="A7" s="118">
        <v>2</v>
      </c>
      <c r="B7" s="118" t="s">
        <v>903</v>
      </c>
      <c r="C7" s="118" t="s">
        <v>906</v>
      </c>
      <c r="D7" s="119" t="s">
        <v>907</v>
      </c>
      <c r="E7" s="121">
        <v>44621</v>
      </c>
      <c r="F7" s="122">
        <v>44896</v>
      </c>
      <c r="G7" s="120">
        <v>0</v>
      </c>
      <c r="H7" s="120">
        <v>0.5</v>
      </c>
      <c r="I7" s="120">
        <v>0.5</v>
      </c>
      <c r="J7" s="120">
        <v>0</v>
      </c>
      <c r="K7" s="120">
        <v>0</v>
      </c>
      <c r="L7" s="120">
        <v>0</v>
      </c>
      <c r="M7" s="120"/>
      <c r="N7" s="123"/>
      <c r="O7" s="123"/>
      <c r="P7" s="123"/>
      <c r="Q7" s="123"/>
      <c r="R7" s="123"/>
      <c r="S7" s="123"/>
      <c r="T7" s="123"/>
      <c r="U7" s="123"/>
      <c r="V7" s="123"/>
    </row>
    <row r="8" spans="1:22" ht="15" customHeight="1" x14ac:dyDescent="0.25">
      <c r="A8" s="118">
        <v>2</v>
      </c>
      <c r="B8" s="118" t="s">
        <v>903</v>
      </c>
      <c r="C8" s="125" t="s">
        <v>908</v>
      </c>
      <c r="D8" s="119" t="s">
        <v>909</v>
      </c>
      <c r="E8" s="126">
        <v>44621</v>
      </c>
      <c r="F8" s="127">
        <v>45352</v>
      </c>
      <c r="G8" s="128">
        <v>0</v>
      </c>
      <c r="H8" s="129">
        <v>0.20000000298023224</v>
      </c>
      <c r="I8" s="128">
        <v>0.20000000298023224</v>
      </c>
      <c r="J8" s="129">
        <v>0.20000000298023224</v>
      </c>
      <c r="K8" s="129">
        <v>0.20000000298023224</v>
      </c>
      <c r="L8" s="129">
        <v>0.20000000298023224</v>
      </c>
      <c r="M8" s="129"/>
      <c r="N8" s="123"/>
      <c r="O8" s="123"/>
      <c r="P8" s="123"/>
      <c r="Q8" s="123"/>
      <c r="R8" s="123"/>
      <c r="S8" s="123"/>
      <c r="T8" s="123"/>
      <c r="U8" s="123"/>
      <c r="V8" s="123"/>
    </row>
    <row r="9" spans="1:22" ht="15" customHeight="1" x14ac:dyDescent="0.25">
      <c r="A9" s="118">
        <v>2</v>
      </c>
      <c r="B9" s="118" t="s">
        <v>903</v>
      </c>
      <c r="C9" s="118" t="s">
        <v>910</v>
      </c>
      <c r="D9" s="130" t="s">
        <v>911</v>
      </c>
      <c r="E9" s="121">
        <v>44621</v>
      </c>
      <c r="F9" s="122">
        <v>45352</v>
      </c>
      <c r="G9" s="120">
        <v>0.10000000149011612</v>
      </c>
      <c r="H9" s="120">
        <v>0.20000000298023224</v>
      </c>
      <c r="I9" s="131">
        <v>0.20000000298023224</v>
      </c>
      <c r="J9" s="120">
        <v>0.20000000298023224</v>
      </c>
      <c r="K9" s="120">
        <v>0.30000001192092896</v>
      </c>
      <c r="L9" s="120">
        <v>0</v>
      </c>
      <c r="M9" s="120"/>
      <c r="N9" s="123"/>
      <c r="O9" s="123"/>
      <c r="P9" s="123"/>
      <c r="Q9" s="123"/>
      <c r="R9" s="123"/>
      <c r="S9" s="123"/>
      <c r="T9" s="123"/>
      <c r="U9" s="123"/>
      <c r="V9" s="123"/>
    </row>
    <row r="10" spans="1:22" ht="15" customHeight="1" x14ac:dyDescent="0.25">
      <c r="A10" s="118">
        <v>2</v>
      </c>
      <c r="B10" s="118" t="s">
        <v>912</v>
      </c>
      <c r="C10" s="118" t="s">
        <v>913</v>
      </c>
      <c r="D10" s="119" t="s">
        <v>914</v>
      </c>
      <c r="E10" s="121">
        <v>44743</v>
      </c>
      <c r="F10" s="122">
        <v>45261</v>
      </c>
      <c r="G10" s="120">
        <v>0</v>
      </c>
      <c r="H10" s="120">
        <v>0.20000000298023224</v>
      </c>
      <c r="I10" s="120">
        <v>0.20000000298023224</v>
      </c>
      <c r="J10" s="120">
        <v>0.20000000298023224</v>
      </c>
      <c r="K10" s="120">
        <v>0.20000000298023224</v>
      </c>
      <c r="L10" s="120">
        <v>0.20000000298023224</v>
      </c>
      <c r="M10" s="120"/>
      <c r="N10" s="123"/>
      <c r="O10" s="123"/>
      <c r="P10" s="123"/>
      <c r="Q10" s="123"/>
      <c r="R10" s="123"/>
      <c r="S10" s="123"/>
      <c r="T10" s="123"/>
      <c r="U10" s="123"/>
      <c r="V10" s="123"/>
    </row>
    <row r="11" spans="1:22" ht="15" customHeight="1" x14ac:dyDescent="0.25">
      <c r="A11" s="118">
        <v>2</v>
      </c>
      <c r="B11" s="118" t="s">
        <v>912</v>
      </c>
      <c r="C11" s="118" t="s">
        <v>915</v>
      </c>
      <c r="D11" s="119" t="s">
        <v>916</v>
      </c>
      <c r="E11" s="121">
        <v>44743</v>
      </c>
      <c r="F11" s="122">
        <v>45261</v>
      </c>
      <c r="G11" s="120">
        <v>0</v>
      </c>
      <c r="H11" s="120">
        <v>0.20000000298023224</v>
      </c>
      <c r="I11" s="120">
        <v>0.20000000298023224</v>
      </c>
      <c r="J11" s="120">
        <v>0.20000000298023224</v>
      </c>
      <c r="K11" s="120">
        <v>0.20000000298023224</v>
      </c>
      <c r="L11" s="120">
        <v>0.20000000298023224</v>
      </c>
      <c r="M11" s="120"/>
      <c r="N11" s="123"/>
      <c r="O11" s="123"/>
      <c r="P11" s="123"/>
      <c r="Q11" s="123"/>
      <c r="R11" s="123"/>
      <c r="S11" s="123"/>
      <c r="T11" s="123"/>
      <c r="U11" s="123"/>
      <c r="V11" s="123"/>
    </row>
    <row r="12" spans="1:22" ht="15" customHeight="1" x14ac:dyDescent="0.25">
      <c r="A12" s="118">
        <v>2</v>
      </c>
      <c r="B12" s="118" t="s">
        <v>917</v>
      </c>
      <c r="C12" s="118" t="s">
        <v>918</v>
      </c>
      <c r="D12" s="119" t="s">
        <v>919</v>
      </c>
      <c r="E12" s="121">
        <v>44743</v>
      </c>
      <c r="F12" s="122">
        <v>45261</v>
      </c>
      <c r="G12" s="120">
        <v>0.10000000149011612</v>
      </c>
      <c r="H12" s="120">
        <v>0.20000000298023224</v>
      </c>
      <c r="I12" s="120">
        <v>0.20000000298023224</v>
      </c>
      <c r="J12" s="120">
        <v>0.20000000298023224</v>
      </c>
      <c r="K12" s="120">
        <v>0.20000000298023224</v>
      </c>
      <c r="L12" s="120">
        <v>0.10000000149011612</v>
      </c>
      <c r="M12" s="120"/>
      <c r="N12" s="123"/>
      <c r="O12" s="123"/>
      <c r="P12" s="123"/>
      <c r="Q12" s="123"/>
      <c r="R12" s="123"/>
      <c r="S12" s="123"/>
      <c r="T12" s="123"/>
      <c r="U12" s="123"/>
      <c r="V12" s="123"/>
    </row>
    <row r="13" spans="1:22" ht="15" customHeight="1" x14ac:dyDescent="0.25">
      <c r="A13" s="118">
        <v>3</v>
      </c>
      <c r="B13" s="118" t="s">
        <v>1790</v>
      </c>
      <c r="C13" s="118" t="s">
        <v>1791</v>
      </c>
      <c r="D13" s="119" t="s">
        <v>1792</v>
      </c>
      <c r="E13" s="121">
        <v>44440</v>
      </c>
      <c r="F13" s="122">
        <v>45382</v>
      </c>
      <c r="G13" s="120">
        <v>5.000000074505806E-2</v>
      </c>
      <c r="H13" s="120">
        <v>0.20000000298023224</v>
      </c>
      <c r="I13" s="120">
        <v>0.20000000298023224</v>
      </c>
      <c r="J13" s="120">
        <v>0.25</v>
      </c>
      <c r="K13" s="120">
        <v>0.25</v>
      </c>
      <c r="L13" s="120">
        <v>5.000000074505806E-2</v>
      </c>
      <c r="M13" s="120"/>
      <c r="N13" s="123"/>
      <c r="O13" s="123"/>
      <c r="P13" s="123"/>
      <c r="Q13" s="123"/>
      <c r="R13" s="123"/>
      <c r="S13" s="123"/>
      <c r="T13" s="123"/>
      <c r="U13" s="123"/>
      <c r="V13" s="123"/>
    </row>
    <row r="14" spans="1:22" ht="15" customHeight="1" x14ac:dyDescent="0.25">
      <c r="A14" s="118">
        <v>3</v>
      </c>
      <c r="B14" s="118" t="s">
        <v>1793</v>
      </c>
      <c r="C14" s="118" t="s">
        <v>1794</v>
      </c>
      <c r="D14" s="119" t="s">
        <v>1795</v>
      </c>
      <c r="E14" s="121">
        <v>44440</v>
      </c>
      <c r="F14" s="122">
        <v>45382</v>
      </c>
      <c r="G14" s="120">
        <v>5.000000074505806E-2</v>
      </c>
      <c r="H14" s="120">
        <v>0.20000000298023224</v>
      </c>
      <c r="I14" s="120">
        <v>0.20000000298023224</v>
      </c>
      <c r="J14" s="120">
        <v>0.25</v>
      </c>
      <c r="K14" s="120">
        <v>0.25</v>
      </c>
      <c r="L14" s="120">
        <v>5.000000074505806E-2</v>
      </c>
      <c r="M14" s="120"/>
      <c r="N14" s="123"/>
      <c r="O14" s="123"/>
      <c r="P14" s="123"/>
      <c r="Q14" s="123"/>
      <c r="R14" s="123"/>
      <c r="S14" s="123"/>
      <c r="T14" s="123"/>
      <c r="U14" s="123"/>
      <c r="V14" s="123"/>
    </row>
    <row r="15" spans="1:22" ht="15" customHeight="1" x14ac:dyDescent="0.25">
      <c r="A15" s="118">
        <v>3</v>
      </c>
      <c r="B15" s="118" t="s">
        <v>1796</v>
      </c>
      <c r="C15" s="118" t="s">
        <v>1797</v>
      </c>
      <c r="D15" s="119" t="s">
        <v>1798</v>
      </c>
      <c r="E15" s="121">
        <v>44440</v>
      </c>
      <c r="F15" s="122">
        <v>45382</v>
      </c>
      <c r="G15" s="120">
        <v>0.15000000596046448</v>
      </c>
      <c r="H15" s="120">
        <v>0.20000000298023224</v>
      </c>
      <c r="I15" s="120">
        <v>0.20000000298023224</v>
      </c>
      <c r="J15" s="120">
        <v>0.20000000298023224</v>
      </c>
      <c r="K15" s="120">
        <v>0.20000000298023224</v>
      </c>
      <c r="L15" s="120">
        <v>5.000000074505806E-2</v>
      </c>
      <c r="M15" s="120"/>
      <c r="N15" s="123"/>
      <c r="O15" s="123"/>
      <c r="P15" s="123"/>
      <c r="Q15" s="123"/>
      <c r="R15" s="123"/>
      <c r="S15" s="123"/>
      <c r="T15" s="123"/>
      <c r="U15" s="123"/>
      <c r="V15" s="123"/>
    </row>
    <row r="16" spans="1:22" ht="15" customHeight="1" x14ac:dyDescent="0.25">
      <c r="A16" s="118">
        <v>3</v>
      </c>
      <c r="B16" s="118" t="s">
        <v>1796</v>
      </c>
      <c r="C16" s="118" t="s">
        <v>1799</v>
      </c>
      <c r="D16" s="119" t="s">
        <v>1800</v>
      </c>
      <c r="E16" s="121">
        <v>44440</v>
      </c>
      <c r="F16" s="122">
        <v>45382</v>
      </c>
      <c r="G16" s="120">
        <v>5.000000074505806E-2</v>
      </c>
      <c r="H16" s="120">
        <v>0.20000000298023224</v>
      </c>
      <c r="I16" s="120">
        <v>0.20000000298023224</v>
      </c>
      <c r="J16" s="120">
        <v>0.25</v>
      </c>
      <c r="K16" s="120">
        <v>0.25</v>
      </c>
      <c r="L16" s="120">
        <v>5.000000074505806E-2</v>
      </c>
      <c r="M16" s="120"/>
      <c r="N16" s="123"/>
      <c r="O16" s="123"/>
      <c r="P16" s="123"/>
      <c r="Q16" s="123"/>
      <c r="R16" s="123"/>
      <c r="S16" s="123"/>
      <c r="T16" s="123"/>
      <c r="U16" s="123"/>
      <c r="V16" s="123"/>
    </row>
    <row r="17" spans="1:22" ht="15" customHeight="1" x14ac:dyDescent="0.25">
      <c r="A17" s="118">
        <v>3</v>
      </c>
      <c r="B17" s="118" t="s">
        <v>1796</v>
      </c>
      <c r="C17" s="118" t="s">
        <v>1801</v>
      </c>
      <c r="D17" s="119" t="s">
        <v>1802</v>
      </c>
      <c r="E17" s="121">
        <v>44440</v>
      </c>
      <c r="F17" s="122">
        <v>45382</v>
      </c>
      <c r="G17" s="120">
        <v>5.000000074505806E-2</v>
      </c>
      <c r="H17" s="120">
        <v>0.20000000298023224</v>
      </c>
      <c r="I17" s="120">
        <v>0.20000000298023224</v>
      </c>
      <c r="J17" s="120">
        <v>0.25</v>
      </c>
      <c r="K17" s="120">
        <v>0.25</v>
      </c>
      <c r="L17" s="120">
        <v>5.000000074505806E-2</v>
      </c>
      <c r="M17" s="120"/>
      <c r="N17" s="123"/>
      <c r="O17" s="123"/>
      <c r="P17" s="123"/>
      <c r="Q17" s="123"/>
      <c r="R17" s="123"/>
      <c r="S17" s="123"/>
      <c r="T17" s="123"/>
      <c r="U17" s="123"/>
      <c r="V17" s="123"/>
    </row>
    <row r="18" spans="1:22" ht="15" customHeight="1" x14ac:dyDescent="0.25">
      <c r="A18" s="118">
        <v>4</v>
      </c>
      <c r="B18" s="118" t="s">
        <v>920</v>
      </c>
      <c r="C18" s="118" t="s">
        <v>921</v>
      </c>
      <c r="D18" s="119" t="s">
        <v>922</v>
      </c>
      <c r="E18" s="121">
        <v>44409</v>
      </c>
      <c r="F18" s="122">
        <v>45381</v>
      </c>
      <c r="G18" s="120">
        <v>0.15999999642372131</v>
      </c>
      <c r="H18" s="120">
        <v>0.15999999642372131</v>
      </c>
      <c r="I18" s="120">
        <v>0.17000000178813934</v>
      </c>
      <c r="J18" s="120">
        <v>0.17000000178813934</v>
      </c>
      <c r="K18" s="120">
        <v>0.17000000178813934</v>
      </c>
      <c r="L18" s="120">
        <v>0.17000000178813934</v>
      </c>
      <c r="M18" s="120"/>
      <c r="N18" s="123"/>
      <c r="O18" s="123"/>
      <c r="P18" s="123"/>
      <c r="Q18" s="123"/>
      <c r="R18" s="123"/>
      <c r="S18" s="123"/>
      <c r="T18" s="123"/>
      <c r="U18" s="123"/>
      <c r="V18" s="123"/>
    </row>
    <row r="19" spans="1:22" ht="15" customHeight="1" x14ac:dyDescent="0.25">
      <c r="A19" s="118">
        <v>4</v>
      </c>
      <c r="B19" s="118" t="s">
        <v>920</v>
      </c>
      <c r="C19" s="118" t="s">
        <v>923</v>
      </c>
      <c r="D19" s="119" t="s">
        <v>924</v>
      </c>
      <c r="E19" s="121">
        <v>44409</v>
      </c>
      <c r="F19" s="122">
        <v>45381</v>
      </c>
      <c r="G19" s="120">
        <v>0.15999999642372131</v>
      </c>
      <c r="H19" s="120">
        <v>0.15999999642372131</v>
      </c>
      <c r="I19" s="120">
        <v>0.17000000178813934</v>
      </c>
      <c r="J19" s="120">
        <v>0.17000000178813934</v>
      </c>
      <c r="K19" s="120">
        <v>0.17000000178813934</v>
      </c>
      <c r="L19" s="120">
        <v>0.17000000178813934</v>
      </c>
      <c r="M19" s="120"/>
      <c r="N19" s="123"/>
      <c r="O19" s="123"/>
      <c r="P19" s="123"/>
      <c r="Q19" s="123"/>
      <c r="R19" s="123"/>
      <c r="S19" s="123"/>
      <c r="T19" s="123"/>
      <c r="U19" s="123"/>
      <c r="V19" s="123"/>
    </row>
    <row r="20" spans="1:22" ht="15" customHeight="1" x14ac:dyDescent="0.25">
      <c r="A20" s="118">
        <v>4</v>
      </c>
      <c r="B20" s="118" t="s">
        <v>920</v>
      </c>
      <c r="C20" s="118" t="s">
        <v>925</v>
      </c>
      <c r="D20" s="119" t="s">
        <v>926</v>
      </c>
      <c r="E20" s="121">
        <v>44409</v>
      </c>
      <c r="F20" s="122">
        <v>45381</v>
      </c>
      <c r="G20" s="120">
        <v>0</v>
      </c>
      <c r="H20" s="120">
        <v>0.5</v>
      </c>
      <c r="I20" s="120">
        <v>0.5</v>
      </c>
      <c r="J20" s="120">
        <v>0</v>
      </c>
      <c r="K20" s="120">
        <v>0</v>
      </c>
      <c r="L20" s="120">
        <v>0</v>
      </c>
      <c r="M20" s="120"/>
      <c r="N20" s="123"/>
      <c r="O20" s="123"/>
      <c r="P20" s="123"/>
      <c r="Q20" s="123"/>
      <c r="R20" s="123"/>
      <c r="S20" s="123"/>
      <c r="T20" s="123"/>
      <c r="U20" s="123"/>
      <c r="V20" s="123"/>
    </row>
    <row r="21" spans="1:22" ht="15" customHeight="1" x14ac:dyDescent="0.25">
      <c r="A21" s="118">
        <v>4</v>
      </c>
      <c r="B21" s="118" t="s">
        <v>927</v>
      </c>
      <c r="C21" s="118" t="s">
        <v>928</v>
      </c>
      <c r="D21" s="119" t="s">
        <v>929</v>
      </c>
      <c r="E21" s="121">
        <v>44409</v>
      </c>
      <c r="F21" s="122">
        <v>45381</v>
      </c>
      <c r="G21" s="120">
        <v>0.33500000834465027</v>
      </c>
      <c r="H21" s="120">
        <v>0.24199999868869781</v>
      </c>
      <c r="I21" s="120">
        <v>0.24199999868869781</v>
      </c>
      <c r="J21" s="120">
        <v>9.0499997138977051E-2</v>
      </c>
      <c r="K21" s="120">
        <v>9.0499997138977051E-2</v>
      </c>
      <c r="L21" s="120">
        <v>0</v>
      </c>
      <c r="M21" s="120"/>
      <c r="N21" s="123"/>
      <c r="O21" s="123"/>
      <c r="P21" s="123"/>
      <c r="Q21" s="123"/>
      <c r="R21" s="123"/>
      <c r="S21" s="123"/>
      <c r="T21" s="123"/>
      <c r="U21" s="123"/>
      <c r="V21" s="123"/>
    </row>
    <row r="22" spans="1:22" ht="15" customHeight="1" x14ac:dyDescent="0.25">
      <c r="A22" s="118">
        <v>4</v>
      </c>
      <c r="B22" s="118" t="s">
        <v>927</v>
      </c>
      <c r="C22" s="118" t="s">
        <v>930</v>
      </c>
      <c r="D22" s="119" t="s">
        <v>931</v>
      </c>
      <c r="E22" s="121">
        <v>44409</v>
      </c>
      <c r="F22" s="122">
        <v>45381</v>
      </c>
      <c r="G22" s="120">
        <v>0</v>
      </c>
      <c r="H22" s="120">
        <v>0.5</v>
      </c>
      <c r="I22" s="120">
        <v>0.5</v>
      </c>
      <c r="J22" s="120">
        <v>0</v>
      </c>
      <c r="K22" s="120">
        <v>0</v>
      </c>
      <c r="L22" s="120">
        <v>0</v>
      </c>
      <c r="M22" s="120"/>
      <c r="N22" s="123"/>
      <c r="O22" s="123"/>
      <c r="P22" s="123"/>
      <c r="Q22" s="123"/>
      <c r="R22" s="123"/>
      <c r="S22" s="123"/>
      <c r="T22" s="123"/>
      <c r="U22" s="123"/>
      <c r="V22" s="123"/>
    </row>
    <row r="23" spans="1:22" ht="15" customHeight="1" x14ac:dyDescent="0.25">
      <c r="A23" s="118">
        <v>4</v>
      </c>
      <c r="B23" s="118" t="s">
        <v>927</v>
      </c>
      <c r="C23" s="118" t="s">
        <v>932</v>
      </c>
      <c r="D23" s="124" t="s">
        <v>933</v>
      </c>
      <c r="E23" s="121">
        <v>44409</v>
      </c>
      <c r="F23" s="122">
        <v>45381</v>
      </c>
      <c r="G23" s="120">
        <v>0.25</v>
      </c>
      <c r="H23" s="120">
        <v>0.125</v>
      </c>
      <c r="I23" s="120">
        <v>0.125</v>
      </c>
      <c r="J23" s="120">
        <v>0.25</v>
      </c>
      <c r="K23" s="120">
        <v>0.25</v>
      </c>
      <c r="L23" s="120">
        <v>0</v>
      </c>
      <c r="M23" s="120"/>
      <c r="N23" s="123"/>
      <c r="O23" s="123"/>
      <c r="P23" s="123"/>
      <c r="Q23" s="123"/>
      <c r="R23" s="123"/>
      <c r="S23" s="123"/>
      <c r="T23" s="123"/>
      <c r="U23" s="123"/>
      <c r="V23" s="123"/>
    </row>
    <row r="24" spans="1:22" ht="15" customHeight="1" x14ac:dyDescent="0.25">
      <c r="A24" s="118">
        <v>4</v>
      </c>
      <c r="B24" s="118" t="s">
        <v>934</v>
      </c>
      <c r="C24" s="118" t="s">
        <v>935</v>
      </c>
      <c r="D24" s="124" t="s">
        <v>936</v>
      </c>
      <c r="E24" s="121">
        <v>44409</v>
      </c>
      <c r="F24" s="122">
        <v>45381</v>
      </c>
      <c r="G24" s="120">
        <v>5.000000074505806E-2</v>
      </c>
      <c r="H24" s="120">
        <v>0.20000000298023224</v>
      </c>
      <c r="I24" s="120">
        <v>0.20000000298023224</v>
      </c>
      <c r="J24" s="120">
        <v>0.20000000298023224</v>
      </c>
      <c r="K24" s="120">
        <v>0.20000000298023224</v>
      </c>
      <c r="L24" s="120">
        <v>0.15000000596046448</v>
      </c>
      <c r="M24" s="120"/>
      <c r="N24" s="123"/>
      <c r="O24" s="123"/>
      <c r="P24" s="123"/>
      <c r="Q24" s="123"/>
      <c r="R24" s="123"/>
      <c r="S24" s="123"/>
      <c r="T24" s="123"/>
      <c r="U24" s="123"/>
      <c r="V24" s="123"/>
    </row>
    <row r="25" spans="1:22" ht="15" customHeight="1" x14ac:dyDescent="0.25">
      <c r="A25" s="118">
        <v>4</v>
      </c>
      <c r="B25" s="118" t="s">
        <v>934</v>
      </c>
      <c r="C25" s="118" t="s">
        <v>937</v>
      </c>
      <c r="D25" s="119" t="s">
        <v>938</v>
      </c>
      <c r="E25" s="121">
        <v>44409</v>
      </c>
      <c r="F25" s="122">
        <v>45381</v>
      </c>
      <c r="G25" s="120">
        <v>0.14000000059604645</v>
      </c>
      <c r="H25" s="120">
        <v>0.18999999761581421</v>
      </c>
      <c r="I25" s="120">
        <v>0.18999999761581421</v>
      </c>
      <c r="J25" s="120">
        <v>0.20000000298023224</v>
      </c>
      <c r="K25" s="120">
        <v>0.20000000298023224</v>
      </c>
      <c r="L25" s="120">
        <v>7.9999998211860657E-2</v>
      </c>
      <c r="M25" s="120"/>
      <c r="N25" s="123"/>
      <c r="O25" s="123"/>
      <c r="P25" s="123"/>
      <c r="Q25" s="123"/>
      <c r="R25" s="123"/>
      <c r="S25" s="123"/>
      <c r="T25" s="123"/>
      <c r="U25" s="123"/>
      <c r="V25" s="123"/>
    </row>
    <row r="26" spans="1:22" ht="15" customHeight="1" x14ac:dyDescent="0.25">
      <c r="A26" s="118">
        <v>4</v>
      </c>
      <c r="B26" s="118" t="s">
        <v>939</v>
      </c>
      <c r="C26" s="118" t="s">
        <v>940</v>
      </c>
      <c r="D26" s="119" t="s">
        <v>941</v>
      </c>
      <c r="E26" s="121">
        <v>44409</v>
      </c>
      <c r="F26" s="122">
        <v>45381</v>
      </c>
      <c r="G26" s="120">
        <v>0</v>
      </c>
      <c r="H26" s="120">
        <v>0.20000000298023224</v>
      </c>
      <c r="I26" s="120">
        <v>0.20000000298023224</v>
      </c>
      <c r="J26" s="120">
        <v>0.20000000298023224</v>
      </c>
      <c r="K26" s="120">
        <v>0.20000000298023224</v>
      </c>
      <c r="L26" s="120">
        <v>0.20000000298023224</v>
      </c>
      <c r="M26" s="120"/>
      <c r="N26" s="123"/>
      <c r="O26" s="123"/>
      <c r="P26" s="123"/>
      <c r="Q26" s="123"/>
      <c r="R26" s="123"/>
      <c r="S26" s="123"/>
      <c r="T26" s="123"/>
      <c r="U26" s="123"/>
      <c r="V26" s="123"/>
    </row>
    <row r="27" spans="1:22" ht="15" customHeight="1" x14ac:dyDescent="0.25">
      <c r="A27" s="118">
        <v>4</v>
      </c>
      <c r="B27" s="118" t="s">
        <v>939</v>
      </c>
      <c r="C27" s="118" t="s">
        <v>942</v>
      </c>
      <c r="D27" s="124" t="s">
        <v>943</v>
      </c>
      <c r="E27" s="121">
        <v>44593</v>
      </c>
      <c r="F27" s="122">
        <v>45382</v>
      </c>
      <c r="G27" s="120">
        <v>0.15999999642372131</v>
      </c>
      <c r="H27" s="120">
        <v>0.15999999642372131</v>
      </c>
      <c r="I27" s="120">
        <v>0.17000000178813934</v>
      </c>
      <c r="J27" s="120">
        <v>0.17000000178813934</v>
      </c>
      <c r="K27" s="120">
        <v>0.17000000178813934</v>
      </c>
      <c r="L27" s="120">
        <v>0.17000000178813934</v>
      </c>
      <c r="M27" s="120"/>
      <c r="N27" s="123"/>
      <c r="O27" s="123"/>
      <c r="P27" s="123"/>
      <c r="Q27" s="123"/>
      <c r="R27" s="123"/>
      <c r="S27" s="123"/>
      <c r="T27" s="123"/>
      <c r="U27" s="123"/>
      <c r="V27" s="123"/>
    </row>
    <row r="28" spans="1:22" ht="15" customHeight="1" x14ac:dyDescent="0.25">
      <c r="A28" s="118">
        <v>5</v>
      </c>
      <c r="B28" s="118" t="s">
        <v>944</v>
      </c>
      <c r="C28" s="118" t="s">
        <v>945</v>
      </c>
      <c r="D28" s="124" t="s">
        <v>946</v>
      </c>
      <c r="E28" s="121">
        <v>44287</v>
      </c>
      <c r="F28" s="122">
        <v>45382</v>
      </c>
      <c r="G28" s="120">
        <v>0.10000000149011612</v>
      </c>
      <c r="H28" s="120">
        <v>0.20000000298023224</v>
      </c>
      <c r="I28" s="120">
        <v>0.20000000298023224</v>
      </c>
      <c r="J28" s="120">
        <v>0.20000000298023224</v>
      </c>
      <c r="K28" s="120">
        <v>0.20000000298023224</v>
      </c>
      <c r="L28" s="120">
        <v>0.10000000149011612</v>
      </c>
      <c r="M28" s="120"/>
      <c r="N28" s="123"/>
      <c r="O28" s="123"/>
      <c r="P28" s="123"/>
      <c r="Q28" s="123"/>
      <c r="R28" s="123"/>
      <c r="S28" s="123"/>
      <c r="T28" s="123"/>
      <c r="U28" s="123"/>
      <c r="V28" s="123"/>
    </row>
    <row r="29" spans="1:22" ht="15" customHeight="1" x14ac:dyDescent="0.25">
      <c r="A29" s="118">
        <v>5</v>
      </c>
      <c r="B29" s="118" t="s">
        <v>944</v>
      </c>
      <c r="C29" s="118" t="s">
        <v>947</v>
      </c>
      <c r="D29" s="124" t="s">
        <v>948</v>
      </c>
      <c r="E29" s="121">
        <v>44287</v>
      </c>
      <c r="F29" s="122">
        <v>45382</v>
      </c>
      <c r="G29" s="120">
        <v>0.10000000149011612</v>
      </c>
      <c r="H29" s="120">
        <v>0.20000000298023224</v>
      </c>
      <c r="I29" s="120">
        <v>0.20000000298023224</v>
      </c>
      <c r="J29" s="120">
        <v>0.20000000298023224</v>
      </c>
      <c r="K29" s="120">
        <v>0.20000000298023224</v>
      </c>
      <c r="L29" s="120">
        <v>0.10000000149011612</v>
      </c>
      <c r="M29" s="120"/>
      <c r="N29" s="123"/>
      <c r="O29" s="123"/>
      <c r="P29" s="123"/>
      <c r="Q29" s="123"/>
      <c r="R29" s="123"/>
      <c r="S29" s="123"/>
      <c r="T29" s="123"/>
      <c r="U29" s="123"/>
      <c r="V29" s="123"/>
    </row>
    <row r="30" spans="1:22" ht="15" customHeight="1" x14ac:dyDescent="0.25">
      <c r="A30" s="118">
        <v>5</v>
      </c>
      <c r="B30" s="118" t="s">
        <v>944</v>
      </c>
      <c r="C30" s="118" t="s">
        <v>949</v>
      </c>
      <c r="D30" s="119" t="s">
        <v>950</v>
      </c>
      <c r="E30" s="121">
        <v>44287</v>
      </c>
      <c r="F30" s="122">
        <v>45382</v>
      </c>
      <c r="G30" s="120">
        <v>0.10000000149011612</v>
      </c>
      <c r="H30" s="120">
        <v>0.20000000298023224</v>
      </c>
      <c r="I30" s="120">
        <v>0.20000000298023224</v>
      </c>
      <c r="J30" s="120">
        <v>0.20000000298023224</v>
      </c>
      <c r="K30" s="120">
        <v>0.20000000298023224</v>
      </c>
      <c r="L30" s="120">
        <v>0.10000000149011612</v>
      </c>
      <c r="M30" s="120"/>
      <c r="N30" s="123"/>
      <c r="O30" s="123"/>
      <c r="P30" s="123"/>
      <c r="Q30" s="123"/>
      <c r="R30" s="123"/>
      <c r="S30" s="123"/>
      <c r="T30" s="123"/>
      <c r="U30" s="123"/>
      <c r="V30" s="123"/>
    </row>
    <row r="31" spans="1:22" ht="15" customHeight="1" x14ac:dyDescent="0.25">
      <c r="A31" s="118">
        <v>5</v>
      </c>
      <c r="B31" s="118" t="s">
        <v>944</v>
      </c>
      <c r="C31" s="118" t="s">
        <v>951</v>
      </c>
      <c r="D31" s="119" t="s">
        <v>952</v>
      </c>
      <c r="E31" s="121">
        <v>44287</v>
      </c>
      <c r="F31" s="122">
        <v>45382</v>
      </c>
      <c r="G31" s="120">
        <v>0.10000000149011612</v>
      </c>
      <c r="H31" s="120">
        <v>0.20000000298023224</v>
      </c>
      <c r="I31" s="120">
        <v>0.20000000298023224</v>
      </c>
      <c r="J31" s="120">
        <v>0.20000000298023224</v>
      </c>
      <c r="K31" s="120">
        <v>0.20000000298023224</v>
      </c>
      <c r="L31" s="120">
        <v>0.10000000149011612</v>
      </c>
      <c r="M31" s="120"/>
      <c r="N31" s="123"/>
      <c r="O31" s="123"/>
      <c r="P31" s="123"/>
      <c r="Q31" s="123"/>
      <c r="R31" s="123"/>
      <c r="S31" s="123"/>
      <c r="T31" s="123"/>
      <c r="U31" s="123"/>
      <c r="V31" s="123"/>
    </row>
    <row r="32" spans="1:22" ht="15" customHeight="1" x14ac:dyDescent="0.25">
      <c r="A32" s="118">
        <v>5</v>
      </c>
      <c r="B32" s="118" t="s">
        <v>944</v>
      </c>
      <c r="C32" s="118" t="s">
        <v>953</v>
      </c>
      <c r="D32" s="124" t="s">
        <v>954</v>
      </c>
      <c r="E32" s="121">
        <v>44287</v>
      </c>
      <c r="F32" s="122">
        <v>45382</v>
      </c>
      <c r="G32" s="120">
        <v>0.10000000149011612</v>
      </c>
      <c r="H32" s="120">
        <v>0.20000000298023224</v>
      </c>
      <c r="I32" s="120">
        <v>0.20000000298023224</v>
      </c>
      <c r="J32" s="120">
        <v>0.20000000298023224</v>
      </c>
      <c r="K32" s="120">
        <v>0.20000000298023224</v>
      </c>
      <c r="L32" s="120">
        <v>0.10000000149011612</v>
      </c>
      <c r="M32" s="120"/>
      <c r="N32" s="123"/>
      <c r="O32" s="123"/>
      <c r="P32" s="123"/>
      <c r="Q32" s="123"/>
      <c r="R32" s="123"/>
      <c r="S32" s="123"/>
      <c r="T32" s="123"/>
      <c r="U32" s="123"/>
      <c r="V32" s="123"/>
    </row>
    <row r="33" spans="1:22" ht="15" customHeight="1" x14ac:dyDescent="0.25">
      <c r="A33" s="132">
        <v>5</v>
      </c>
      <c r="B33" s="132" t="s">
        <v>955</v>
      </c>
      <c r="C33" s="132" t="s">
        <v>956</v>
      </c>
      <c r="D33" s="133" t="s">
        <v>957</v>
      </c>
      <c r="E33" s="135">
        <v>44287</v>
      </c>
      <c r="F33" s="135">
        <v>45382</v>
      </c>
      <c r="G33" s="134">
        <v>0.10000000149011612</v>
      </c>
      <c r="H33" s="134">
        <v>0.20000000298023224</v>
      </c>
      <c r="I33" s="134">
        <v>0.20000000298023224</v>
      </c>
      <c r="J33" s="134">
        <v>0.20000000298023224</v>
      </c>
      <c r="K33" s="134">
        <v>0.20000000298023224</v>
      </c>
      <c r="L33" s="134">
        <v>0.10000000149011612</v>
      </c>
      <c r="M33" s="134"/>
      <c r="N33" s="123"/>
      <c r="O33" s="123"/>
      <c r="P33" s="123"/>
      <c r="Q33" s="123"/>
      <c r="R33" s="123"/>
      <c r="S33" s="123"/>
      <c r="T33" s="123"/>
      <c r="U33" s="123"/>
      <c r="V33" s="123"/>
    </row>
    <row r="34" spans="1:22" ht="15" customHeight="1" x14ac:dyDescent="0.25">
      <c r="A34" s="132">
        <v>5</v>
      </c>
      <c r="B34" s="132" t="s">
        <v>955</v>
      </c>
      <c r="C34" s="132" t="s">
        <v>958</v>
      </c>
      <c r="D34" s="133" t="s">
        <v>959</v>
      </c>
      <c r="E34" s="135">
        <v>44287</v>
      </c>
      <c r="F34" s="135">
        <v>45382</v>
      </c>
      <c r="G34" s="134">
        <v>0.10000000149011612</v>
      </c>
      <c r="H34" s="134">
        <v>0.20000000298023224</v>
      </c>
      <c r="I34" s="134">
        <v>0.20000000298023224</v>
      </c>
      <c r="J34" s="134">
        <v>0.20000000298023224</v>
      </c>
      <c r="K34" s="134">
        <v>0.20000000298023224</v>
      </c>
      <c r="L34" s="134">
        <v>0.10000000149011612</v>
      </c>
      <c r="M34" s="134"/>
      <c r="N34" s="123"/>
      <c r="O34" s="123"/>
      <c r="P34" s="123"/>
      <c r="Q34" s="123"/>
      <c r="R34" s="123"/>
      <c r="S34" s="123"/>
      <c r="T34" s="123"/>
      <c r="U34" s="123"/>
      <c r="V34" s="123"/>
    </row>
    <row r="35" spans="1:22" ht="15" customHeight="1" x14ac:dyDescent="0.25">
      <c r="A35" s="132">
        <v>5</v>
      </c>
      <c r="B35" s="132" t="s">
        <v>955</v>
      </c>
      <c r="C35" s="132" t="s">
        <v>960</v>
      </c>
      <c r="D35" s="133" t="s">
        <v>961</v>
      </c>
      <c r="E35" s="135">
        <v>44287</v>
      </c>
      <c r="F35" s="135">
        <v>45382</v>
      </c>
      <c r="G35" s="134">
        <v>0.10000000149011612</v>
      </c>
      <c r="H35" s="134">
        <v>0.20000000298023224</v>
      </c>
      <c r="I35" s="134">
        <v>0.20000000298023224</v>
      </c>
      <c r="J35" s="134">
        <v>0.20000000298023224</v>
      </c>
      <c r="K35" s="134">
        <v>0.20000000298023224</v>
      </c>
      <c r="L35" s="134">
        <v>0.10000000149011612</v>
      </c>
      <c r="M35" s="134"/>
      <c r="N35" s="123"/>
      <c r="O35" s="123"/>
      <c r="P35" s="123"/>
      <c r="Q35" s="123"/>
      <c r="R35" s="123"/>
      <c r="S35" s="123"/>
      <c r="T35" s="123"/>
      <c r="U35" s="123"/>
      <c r="V35" s="123"/>
    </row>
    <row r="36" spans="1:22" ht="15" customHeight="1" x14ac:dyDescent="0.25">
      <c r="A36" s="132">
        <v>5</v>
      </c>
      <c r="B36" s="132" t="s">
        <v>955</v>
      </c>
      <c r="C36" s="132" t="s">
        <v>962</v>
      </c>
      <c r="D36" s="133" t="s">
        <v>963</v>
      </c>
      <c r="E36" s="135">
        <v>44287</v>
      </c>
      <c r="F36" s="135">
        <v>45382</v>
      </c>
      <c r="G36" s="134">
        <v>0.10000000149011612</v>
      </c>
      <c r="H36" s="134">
        <v>0.20000000298023224</v>
      </c>
      <c r="I36" s="134">
        <v>0.20000000298023224</v>
      </c>
      <c r="J36" s="134">
        <v>0.20000000298023224</v>
      </c>
      <c r="K36" s="134">
        <v>0.20000000298023224</v>
      </c>
      <c r="L36" s="134">
        <v>0.10000000149011612</v>
      </c>
      <c r="M36" s="134"/>
      <c r="N36" s="123"/>
      <c r="O36" s="123"/>
      <c r="P36" s="123"/>
      <c r="Q36" s="123"/>
      <c r="R36" s="123"/>
      <c r="S36" s="123"/>
      <c r="T36" s="123"/>
      <c r="U36" s="123"/>
      <c r="V36" s="123"/>
    </row>
    <row r="37" spans="1:22" ht="15" customHeight="1" x14ac:dyDescent="0.25">
      <c r="A37" s="132">
        <v>5</v>
      </c>
      <c r="B37" s="132" t="s">
        <v>955</v>
      </c>
      <c r="C37" s="132" t="s">
        <v>964</v>
      </c>
      <c r="D37" s="133" t="s">
        <v>965</v>
      </c>
      <c r="E37" s="135">
        <v>44287</v>
      </c>
      <c r="F37" s="135">
        <v>45382</v>
      </c>
      <c r="G37" s="134">
        <v>0.10000000149011612</v>
      </c>
      <c r="H37" s="134">
        <v>0.20000000298023224</v>
      </c>
      <c r="I37" s="134">
        <v>0.20000000298023224</v>
      </c>
      <c r="J37" s="134">
        <v>0.20000000298023224</v>
      </c>
      <c r="K37" s="134">
        <v>0.20000000298023224</v>
      </c>
      <c r="L37" s="134">
        <v>0.10000000149011612</v>
      </c>
      <c r="M37" s="134"/>
      <c r="N37" s="123"/>
      <c r="O37" s="123"/>
      <c r="P37" s="123"/>
      <c r="Q37" s="123"/>
      <c r="R37" s="123"/>
      <c r="S37" s="123"/>
      <c r="T37" s="123"/>
      <c r="U37" s="123"/>
      <c r="V37" s="123"/>
    </row>
    <row r="38" spans="1:22" ht="15" customHeight="1" x14ac:dyDescent="0.25">
      <c r="A38" s="132">
        <v>6</v>
      </c>
      <c r="B38" s="132" t="s">
        <v>966</v>
      </c>
      <c r="C38" s="132" t="s">
        <v>967</v>
      </c>
      <c r="D38" s="133" t="s">
        <v>968</v>
      </c>
      <c r="E38" s="135">
        <v>44287</v>
      </c>
      <c r="F38" s="135">
        <v>45382</v>
      </c>
      <c r="G38" s="134">
        <v>0</v>
      </c>
      <c r="H38" s="134">
        <v>0.22727273404598236</v>
      </c>
      <c r="I38" s="134">
        <v>0.22727273404598236</v>
      </c>
      <c r="J38" s="134">
        <v>0.22727273404598236</v>
      </c>
      <c r="K38" s="134">
        <v>0.22727273404598236</v>
      </c>
      <c r="L38" s="134">
        <v>9.0909093618392944E-2</v>
      </c>
      <c r="M38" s="134"/>
      <c r="N38" s="123"/>
      <c r="O38" s="123"/>
      <c r="P38" s="123"/>
      <c r="Q38" s="123"/>
      <c r="R38" s="123"/>
      <c r="S38" s="123"/>
      <c r="T38" s="123"/>
      <c r="U38" s="123"/>
      <c r="V38" s="123"/>
    </row>
    <row r="39" spans="1:22" ht="15" customHeight="1" x14ac:dyDescent="0.25">
      <c r="A39" s="132">
        <v>6</v>
      </c>
      <c r="B39" s="132" t="s">
        <v>966</v>
      </c>
      <c r="C39" s="132" t="s">
        <v>969</v>
      </c>
      <c r="D39" s="133" t="s">
        <v>970</v>
      </c>
      <c r="E39" s="135">
        <v>44287</v>
      </c>
      <c r="F39" s="135">
        <v>45382</v>
      </c>
      <c r="G39" s="134">
        <v>0</v>
      </c>
      <c r="H39" s="134">
        <v>0.25</v>
      </c>
      <c r="I39" s="134">
        <v>0.25</v>
      </c>
      <c r="J39" s="134">
        <v>0.25</v>
      </c>
      <c r="K39" s="134">
        <v>0.25</v>
      </c>
      <c r="L39" s="134">
        <v>0</v>
      </c>
      <c r="M39" s="134"/>
      <c r="N39" s="123"/>
      <c r="O39" s="123"/>
      <c r="P39" s="123"/>
      <c r="Q39" s="123"/>
      <c r="R39" s="123"/>
      <c r="S39" s="123"/>
      <c r="T39" s="123"/>
      <c r="U39" s="123"/>
      <c r="V39" s="123"/>
    </row>
    <row r="40" spans="1:22" ht="15" customHeight="1" x14ac:dyDescent="0.25">
      <c r="A40" s="132">
        <v>6</v>
      </c>
      <c r="B40" s="132" t="s">
        <v>966</v>
      </c>
      <c r="C40" s="132" t="s">
        <v>971</v>
      </c>
      <c r="D40" s="133" t="s">
        <v>972</v>
      </c>
      <c r="E40" s="135">
        <v>44287</v>
      </c>
      <c r="F40" s="135">
        <v>45382</v>
      </c>
      <c r="G40" s="134">
        <v>0</v>
      </c>
      <c r="H40" s="134">
        <v>0.30000001192092896</v>
      </c>
      <c r="I40" s="134">
        <v>0.20000000298023224</v>
      </c>
      <c r="J40" s="134">
        <v>0.30000001192092896</v>
      </c>
      <c r="K40" s="134">
        <v>0.10000000149011612</v>
      </c>
      <c r="L40" s="134">
        <v>0.10000000149011612</v>
      </c>
      <c r="M40" s="134"/>
      <c r="N40" s="123"/>
      <c r="O40" s="123"/>
      <c r="P40" s="123"/>
      <c r="Q40" s="123"/>
      <c r="R40" s="123"/>
      <c r="S40" s="123"/>
      <c r="T40" s="123"/>
      <c r="U40" s="123"/>
      <c r="V40" s="123"/>
    </row>
    <row r="41" spans="1:22" ht="15" customHeight="1" x14ac:dyDescent="0.25">
      <c r="A41" s="132">
        <v>6</v>
      </c>
      <c r="B41" s="132" t="s">
        <v>966</v>
      </c>
      <c r="C41" s="132" t="s">
        <v>973</v>
      </c>
      <c r="D41" s="133" t="s">
        <v>974</v>
      </c>
      <c r="E41" s="135">
        <v>44287</v>
      </c>
      <c r="F41" s="135">
        <v>45382</v>
      </c>
      <c r="G41" s="134">
        <v>0.33000001311302185</v>
      </c>
      <c r="H41" s="134">
        <v>0</v>
      </c>
      <c r="I41" s="134">
        <v>0.33000001311302185</v>
      </c>
      <c r="J41" s="134">
        <v>0</v>
      </c>
      <c r="K41" s="134">
        <v>0.34000000357627869</v>
      </c>
      <c r="L41" s="134">
        <v>0</v>
      </c>
      <c r="M41" s="134"/>
      <c r="N41" s="123"/>
      <c r="O41" s="123"/>
      <c r="P41" s="123"/>
      <c r="Q41" s="123"/>
      <c r="R41" s="123"/>
      <c r="S41" s="123"/>
      <c r="T41" s="123"/>
      <c r="U41" s="123"/>
      <c r="V41" s="123"/>
    </row>
    <row r="42" spans="1:22" ht="15" customHeight="1" x14ac:dyDescent="0.25">
      <c r="A42" s="132">
        <v>6</v>
      </c>
      <c r="B42" s="132" t="s">
        <v>975</v>
      </c>
      <c r="C42" s="132" t="s">
        <v>976</v>
      </c>
      <c r="D42" s="133" t="s">
        <v>977</v>
      </c>
      <c r="E42" s="135">
        <v>44287</v>
      </c>
      <c r="F42" s="135">
        <v>45382</v>
      </c>
      <c r="G42" s="134">
        <v>0</v>
      </c>
      <c r="H42" s="134">
        <v>0.30000001192092896</v>
      </c>
      <c r="I42" s="134">
        <v>0.20000000298023224</v>
      </c>
      <c r="J42" s="134">
        <v>0.30000001192092896</v>
      </c>
      <c r="K42" s="134">
        <v>0.20000000298023224</v>
      </c>
      <c r="L42" s="134">
        <v>0</v>
      </c>
      <c r="M42" s="134"/>
      <c r="N42" s="123"/>
      <c r="O42" s="123"/>
      <c r="P42" s="123"/>
      <c r="Q42" s="123"/>
      <c r="R42" s="123"/>
      <c r="S42" s="123"/>
      <c r="T42" s="123"/>
      <c r="U42" s="123"/>
      <c r="V42" s="123"/>
    </row>
    <row r="43" spans="1:22" ht="15" customHeight="1" x14ac:dyDescent="0.25">
      <c r="A43" s="132">
        <v>6</v>
      </c>
      <c r="B43" s="132" t="s">
        <v>975</v>
      </c>
      <c r="C43" s="132" t="s">
        <v>978</v>
      </c>
      <c r="D43" s="133" t="s">
        <v>979</v>
      </c>
      <c r="E43" s="135">
        <v>44287</v>
      </c>
      <c r="F43" s="135">
        <v>45382</v>
      </c>
      <c r="G43" s="134">
        <v>0</v>
      </c>
      <c r="H43" s="134">
        <v>0.30000001192092896</v>
      </c>
      <c r="I43" s="134">
        <v>0.20000000298023224</v>
      </c>
      <c r="J43" s="134">
        <v>0.30000001192092896</v>
      </c>
      <c r="K43" s="134">
        <v>0.10000000149011612</v>
      </c>
      <c r="L43" s="134">
        <v>0.10000000149011612</v>
      </c>
      <c r="M43" s="134"/>
      <c r="N43" s="123"/>
      <c r="O43" s="123"/>
      <c r="P43" s="123"/>
      <c r="Q43" s="123"/>
      <c r="R43" s="123"/>
      <c r="S43" s="123"/>
      <c r="T43" s="123"/>
      <c r="U43" s="123"/>
      <c r="V43" s="123"/>
    </row>
    <row r="44" spans="1:22" ht="15" customHeight="1" x14ac:dyDescent="0.25">
      <c r="A44" s="132">
        <v>6</v>
      </c>
      <c r="B44" s="132" t="s">
        <v>975</v>
      </c>
      <c r="C44" s="132" t="s">
        <v>980</v>
      </c>
      <c r="D44" s="133" t="s">
        <v>981</v>
      </c>
      <c r="E44" s="135">
        <v>44287</v>
      </c>
      <c r="F44" s="135">
        <v>45382</v>
      </c>
      <c r="G44" s="134">
        <v>0</v>
      </c>
      <c r="H44" s="134">
        <v>0.30000001192092896</v>
      </c>
      <c r="I44" s="134">
        <v>0.20000000298023224</v>
      </c>
      <c r="J44" s="134">
        <v>0.30000001192092896</v>
      </c>
      <c r="K44" s="134">
        <v>0.10000000149011612</v>
      </c>
      <c r="L44" s="134">
        <v>0.10000000149011612</v>
      </c>
      <c r="M44" s="134"/>
      <c r="N44" s="123"/>
      <c r="O44" s="123"/>
      <c r="P44" s="123"/>
      <c r="Q44" s="123"/>
      <c r="R44" s="123"/>
      <c r="S44" s="123"/>
      <c r="T44" s="123"/>
      <c r="U44" s="123"/>
      <c r="V44" s="123"/>
    </row>
    <row r="45" spans="1:22" ht="15" customHeight="1" x14ac:dyDescent="0.25">
      <c r="A45" s="132">
        <v>6</v>
      </c>
      <c r="B45" s="132" t="s">
        <v>982</v>
      </c>
      <c r="C45" s="132" t="s">
        <v>983</v>
      </c>
      <c r="D45" s="133" t="s">
        <v>984</v>
      </c>
      <c r="E45" s="135">
        <v>44348</v>
      </c>
      <c r="F45" s="135">
        <v>45352</v>
      </c>
      <c r="G45" s="134">
        <v>5.000000074505806E-2</v>
      </c>
      <c r="H45" s="134">
        <v>0.20000000298023224</v>
      </c>
      <c r="I45" s="134">
        <v>0.20000000298023224</v>
      </c>
      <c r="J45" s="134">
        <v>0.25</v>
      </c>
      <c r="K45" s="134">
        <v>0.20000000298023224</v>
      </c>
      <c r="L45" s="134">
        <v>0.10000000149011612</v>
      </c>
      <c r="M45" s="134"/>
      <c r="N45" s="123"/>
      <c r="O45" s="123"/>
      <c r="P45" s="123"/>
      <c r="Q45" s="123"/>
      <c r="R45" s="123"/>
      <c r="S45" s="123"/>
      <c r="T45" s="123"/>
      <c r="U45" s="123"/>
      <c r="V45" s="123"/>
    </row>
    <row r="46" spans="1:22" ht="15" customHeight="1" x14ac:dyDescent="0.25">
      <c r="A46" s="132">
        <v>6</v>
      </c>
      <c r="B46" s="132" t="s">
        <v>982</v>
      </c>
      <c r="C46" s="132" t="s">
        <v>985</v>
      </c>
      <c r="D46" s="133" t="s">
        <v>986</v>
      </c>
      <c r="E46" s="135">
        <v>44348</v>
      </c>
      <c r="F46" s="135">
        <v>45352</v>
      </c>
      <c r="G46" s="134">
        <v>0</v>
      </c>
      <c r="H46" s="134">
        <v>0.20000000298023224</v>
      </c>
      <c r="I46" s="134">
        <v>0.30000001192092896</v>
      </c>
      <c r="J46" s="134">
        <v>0.30000001192092896</v>
      </c>
      <c r="K46" s="134">
        <v>0.20000000298023224</v>
      </c>
      <c r="L46" s="134">
        <v>0</v>
      </c>
      <c r="M46" s="134"/>
      <c r="N46" s="123"/>
      <c r="O46" s="123"/>
      <c r="P46" s="123"/>
      <c r="Q46" s="123"/>
      <c r="R46" s="123"/>
      <c r="S46" s="123"/>
      <c r="T46" s="123"/>
      <c r="U46" s="123"/>
      <c r="V46" s="123"/>
    </row>
    <row r="47" spans="1:22" ht="15" customHeight="1" x14ac:dyDescent="0.25">
      <c r="A47" s="132">
        <v>6</v>
      </c>
      <c r="B47" s="132" t="s">
        <v>987</v>
      </c>
      <c r="C47" s="132" t="s">
        <v>988</v>
      </c>
      <c r="D47" s="133" t="s">
        <v>989</v>
      </c>
      <c r="E47" s="135">
        <v>44348</v>
      </c>
      <c r="F47" s="135">
        <v>45352</v>
      </c>
      <c r="G47" s="134">
        <v>5.000000074505806E-2</v>
      </c>
      <c r="H47" s="134">
        <v>0.20000000298023224</v>
      </c>
      <c r="I47" s="134">
        <v>0.20000000298023224</v>
      </c>
      <c r="J47" s="134">
        <v>0.25</v>
      </c>
      <c r="K47" s="134">
        <v>0.20000000298023224</v>
      </c>
      <c r="L47" s="134">
        <v>0.10000000149011612</v>
      </c>
      <c r="M47" s="134"/>
      <c r="N47" s="123"/>
      <c r="O47" s="123"/>
      <c r="P47" s="123"/>
      <c r="Q47" s="123"/>
      <c r="R47" s="123"/>
      <c r="S47" s="123"/>
      <c r="T47" s="123"/>
      <c r="U47" s="123"/>
      <c r="V47" s="123"/>
    </row>
    <row r="48" spans="1:22" ht="15" customHeight="1" x14ac:dyDescent="0.25">
      <c r="A48" s="132">
        <v>6</v>
      </c>
      <c r="B48" s="132" t="s">
        <v>987</v>
      </c>
      <c r="C48" s="132" t="s">
        <v>990</v>
      </c>
      <c r="D48" s="133" t="s">
        <v>991</v>
      </c>
      <c r="E48" s="135">
        <v>44348</v>
      </c>
      <c r="F48" s="135">
        <v>45352</v>
      </c>
      <c r="G48" s="134">
        <v>5.000000074505806E-2</v>
      </c>
      <c r="H48" s="134">
        <v>0.20000000298023224</v>
      </c>
      <c r="I48" s="134">
        <v>0.20000000298023224</v>
      </c>
      <c r="J48" s="134">
        <v>0.25</v>
      </c>
      <c r="K48" s="134">
        <v>0.20000000298023224</v>
      </c>
      <c r="L48" s="134">
        <v>0.10000000149011612</v>
      </c>
      <c r="M48" s="134"/>
      <c r="N48" s="123"/>
      <c r="O48" s="123"/>
      <c r="P48" s="123"/>
      <c r="Q48" s="123"/>
      <c r="R48" s="123"/>
      <c r="S48" s="123"/>
      <c r="T48" s="123"/>
      <c r="U48" s="123"/>
      <c r="V48" s="123"/>
    </row>
    <row r="49" spans="1:22" ht="15" customHeight="1" x14ac:dyDescent="0.25">
      <c r="A49" s="132">
        <v>7</v>
      </c>
      <c r="B49" s="132" t="s">
        <v>992</v>
      </c>
      <c r="C49" s="132" t="s">
        <v>993</v>
      </c>
      <c r="D49" s="133" t="s">
        <v>994</v>
      </c>
      <c r="E49" s="135">
        <v>44378</v>
      </c>
      <c r="F49" s="135">
        <v>45382</v>
      </c>
      <c r="G49" s="134">
        <v>0.60000002384185791</v>
      </c>
      <c r="H49" s="134">
        <v>0.30000001192092896</v>
      </c>
      <c r="I49" s="134">
        <v>0.10000000149011612</v>
      </c>
      <c r="J49" s="134">
        <v>0</v>
      </c>
      <c r="K49" s="134">
        <v>0</v>
      </c>
      <c r="L49" s="134">
        <v>0</v>
      </c>
      <c r="M49" s="134"/>
      <c r="N49" s="123"/>
      <c r="O49" s="123"/>
      <c r="P49" s="123"/>
      <c r="Q49" s="123"/>
      <c r="R49" s="123"/>
      <c r="S49" s="123"/>
      <c r="T49" s="123"/>
      <c r="U49" s="123"/>
      <c r="V49" s="123"/>
    </row>
    <row r="50" spans="1:22" ht="15" customHeight="1" x14ac:dyDescent="0.25">
      <c r="A50" s="132">
        <v>7</v>
      </c>
      <c r="B50" s="132" t="s">
        <v>992</v>
      </c>
      <c r="C50" s="132" t="s">
        <v>995</v>
      </c>
      <c r="D50" s="133" t="s">
        <v>996</v>
      </c>
      <c r="E50" s="135">
        <v>44378</v>
      </c>
      <c r="F50" s="135">
        <v>45382</v>
      </c>
      <c r="G50" s="134">
        <v>0.20000000298023224</v>
      </c>
      <c r="H50" s="134">
        <v>0.20000000298023224</v>
      </c>
      <c r="I50" s="134">
        <v>0.20000000298023224</v>
      </c>
      <c r="J50" s="134">
        <v>0.20000000298023224</v>
      </c>
      <c r="K50" s="134">
        <v>0.20000000298023224</v>
      </c>
      <c r="L50" s="134">
        <v>0</v>
      </c>
      <c r="M50" s="134"/>
      <c r="N50" s="123"/>
      <c r="O50" s="123"/>
      <c r="P50" s="123"/>
      <c r="Q50" s="123"/>
      <c r="R50" s="123"/>
      <c r="S50" s="123"/>
      <c r="T50" s="123"/>
      <c r="U50" s="123"/>
      <c r="V50" s="123"/>
    </row>
    <row r="51" spans="1:22" ht="15" customHeight="1" x14ac:dyDescent="0.25">
      <c r="A51" s="132">
        <v>7</v>
      </c>
      <c r="B51" s="132" t="s">
        <v>997</v>
      </c>
      <c r="C51" s="132" t="s">
        <v>998</v>
      </c>
      <c r="D51" s="133" t="s">
        <v>999</v>
      </c>
      <c r="E51" s="135">
        <v>44378</v>
      </c>
      <c r="F51" s="135">
        <v>45382</v>
      </c>
      <c r="G51" s="134">
        <v>0</v>
      </c>
      <c r="H51" s="134">
        <v>0.30000001192092896</v>
      </c>
      <c r="I51" s="134">
        <v>0.30000001192092896</v>
      </c>
      <c r="J51" s="134">
        <v>0.20000000298023224</v>
      </c>
      <c r="K51" s="134">
        <v>0.20000000298023224</v>
      </c>
      <c r="L51" s="134">
        <v>0</v>
      </c>
      <c r="M51" s="134"/>
      <c r="N51" s="123"/>
      <c r="O51" s="123"/>
      <c r="P51" s="123"/>
      <c r="Q51" s="123"/>
      <c r="R51" s="123"/>
      <c r="S51" s="123"/>
      <c r="T51" s="123"/>
      <c r="U51" s="123"/>
      <c r="V51" s="123"/>
    </row>
    <row r="52" spans="1:22" ht="15" customHeight="1" x14ac:dyDescent="0.25">
      <c r="A52" s="132">
        <v>7</v>
      </c>
      <c r="B52" s="132" t="s">
        <v>997</v>
      </c>
      <c r="C52" s="132" t="s">
        <v>1000</v>
      </c>
      <c r="D52" s="133" t="s">
        <v>1001</v>
      </c>
      <c r="E52" s="135">
        <v>44378</v>
      </c>
      <c r="F52" s="135">
        <v>45382</v>
      </c>
      <c r="G52" s="61">
        <v>0</v>
      </c>
      <c r="H52" s="61">
        <v>0.40000000596046448</v>
      </c>
      <c r="I52" s="61">
        <v>0.20000000298023224</v>
      </c>
      <c r="J52" s="61">
        <v>0.20000000298023224</v>
      </c>
      <c r="K52" s="61">
        <v>0.20000000298023224</v>
      </c>
      <c r="L52" s="61">
        <v>0</v>
      </c>
      <c r="M52" s="134"/>
      <c r="N52" s="123"/>
      <c r="O52" s="123"/>
      <c r="P52" s="123"/>
      <c r="Q52" s="123"/>
      <c r="R52" s="123"/>
      <c r="S52" s="123"/>
      <c r="T52" s="123"/>
      <c r="U52" s="123"/>
      <c r="V52" s="123"/>
    </row>
    <row r="53" spans="1:22" ht="15" customHeight="1" x14ac:dyDescent="0.25">
      <c r="A53" s="132">
        <v>7</v>
      </c>
      <c r="B53" s="132" t="s">
        <v>997</v>
      </c>
      <c r="C53" s="132" t="s">
        <v>1002</v>
      </c>
      <c r="D53" s="133" t="s">
        <v>1003</v>
      </c>
      <c r="E53" s="135">
        <v>44378</v>
      </c>
      <c r="F53" s="135">
        <v>45382</v>
      </c>
      <c r="G53" s="61">
        <v>0</v>
      </c>
      <c r="H53" s="61">
        <v>0</v>
      </c>
      <c r="I53" s="61">
        <v>0</v>
      </c>
      <c r="J53" s="61">
        <v>0.5</v>
      </c>
      <c r="K53" s="61">
        <v>0</v>
      </c>
      <c r="L53" s="61">
        <v>0.5</v>
      </c>
      <c r="M53" s="134"/>
      <c r="N53" s="123"/>
      <c r="O53" s="123"/>
      <c r="P53" s="123"/>
      <c r="Q53" s="123"/>
      <c r="R53" s="123"/>
      <c r="S53" s="123"/>
      <c r="T53" s="123"/>
      <c r="U53" s="123"/>
      <c r="V53" s="123"/>
    </row>
    <row r="54" spans="1:22" ht="15" customHeight="1" x14ac:dyDescent="0.25">
      <c r="A54" s="132">
        <v>8</v>
      </c>
      <c r="B54" s="132" t="s">
        <v>1004</v>
      </c>
      <c r="C54" s="132" t="s">
        <v>1005</v>
      </c>
      <c r="D54" s="133" t="s">
        <v>1006</v>
      </c>
      <c r="E54" s="135">
        <v>44409</v>
      </c>
      <c r="F54" s="135">
        <v>44651</v>
      </c>
      <c r="G54" s="61">
        <v>0.62999999523162842</v>
      </c>
      <c r="H54" s="61">
        <v>0.37000000476837158</v>
      </c>
      <c r="I54" s="61">
        <v>0</v>
      </c>
      <c r="J54" s="61">
        <v>0</v>
      </c>
      <c r="K54" s="61">
        <v>0</v>
      </c>
      <c r="L54" s="61">
        <v>0</v>
      </c>
      <c r="M54" s="134"/>
      <c r="N54" s="123"/>
      <c r="O54" s="123"/>
      <c r="P54" s="123"/>
      <c r="Q54" s="123"/>
      <c r="R54" s="123"/>
      <c r="S54" s="123"/>
      <c r="T54" s="123"/>
      <c r="U54" s="123"/>
      <c r="V54" s="123"/>
    </row>
    <row r="55" spans="1:22" ht="15" customHeight="1" x14ac:dyDescent="0.25">
      <c r="A55" s="132">
        <v>8</v>
      </c>
      <c r="B55" s="132" t="s">
        <v>1004</v>
      </c>
      <c r="C55" s="132" t="s">
        <v>1007</v>
      </c>
      <c r="D55" s="133" t="s">
        <v>1008</v>
      </c>
      <c r="E55" s="135">
        <v>44652</v>
      </c>
      <c r="F55" s="135">
        <v>45382</v>
      </c>
      <c r="G55" s="61">
        <v>0</v>
      </c>
      <c r="H55" s="61">
        <v>0.11999999731779099</v>
      </c>
      <c r="I55" s="61">
        <v>0.25</v>
      </c>
      <c r="J55" s="61">
        <v>0.25</v>
      </c>
      <c r="K55" s="61">
        <v>0.25</v>
      </c>
      <c r="L55" s="61">
        <v>0.12999999523162842</v>
      </c>
      <c r="M55" s="134"/>
      <c r="N55" s="123"/>
      <c r="O55" s="123"/>
      <c r="P55" s="123"/>
      <c r="Q55" s="123"/>
      <c r="R55" s="123"/>
      <c r="S55" s="123"/>
      <c r="T55" s="123"/>
      <c r="U55" s="123"/>
      <c r="V55" s="123"/>
    </row>
    <row r="56" spans="1:22" ht="15" customHeight="1" x14ac:dyDescent="0.25">
      <c r="A56" s="132">
        <v>8</v>
      </c>
      <c r="B56" s="132" t="s">
        <v>1009</v>
      </c>
      <c r="C56" s="132" t="s">
        <v>1010</v>
      </c>
      <c r="D56" s="133" t="s">
        <v>1011</v>
      </c>
      <c r="E56" s="135">
        <v>44409</v>
      </c>
      <c r="F56" s="135">
        <v>44803</v>
      </c>
      <c r="G56" s="61">
        <v>0.37999999523162842</v>
      </c>
      <c r="H56" s="61">
        <v>0.46000000834465027</v>
      </c>
      <c r="I56" s="61">
        <v>0.15999999642372131</v>
      </c>
      <c r="J56" s="61">
        <v>0</v>
      </c>
      <c r="K56" s="61">
        <v>0</v>
      </c>
      <c r="L56" s="61">
        <v>0</v>
      </c>
      <c r="M56" s="134"/>
      <c r="N56" s="123"/>
      <c r="O56" s="123"/>
      <c r="P56" s="123"/>
      <c r="Q56" s="123"/>
      <c r="R56" s="123"/>
      <c r="S56" s="123"/>
      <c r="T56" s="123"/>
      <c r="U56" s="123"/>
      <c r="V56" s="123"/>
    </row>
    <row r="57" spans="1:22" ht="15" customHeight="1" x14ac:dyDescent="0.25">
      <c r="A57" s="132">
        <v>9</v>
      </c>
      <c r="B57" s="132" t="s">
        <v>1973</v>
      </c>
      <c r="C57" s="132" t="s">
        <v>1974</v>
      </c>
      <c r="D57" s="133" t="s">
        <v>1975</v>
      </c>
      <c r="E57" s="135">
        <v>44440</v>
      </c>
      <c r="F57" s="135">
        <v>44864</v>
      </c>
      <c r="G57" s="61">
        <v>0.20000000298023224</v>
      </c>
      <c r="H57" s="61">
        <v>0.40000000596046448</v>
      </c>
      <c r="I57" s="61">
        <v>0.40000000596046448</v>
      </c>
      <c r="J57" s="61">
        <v>0</v>
      </c>
      <c r="K57" s="61">
        <v>0</v>
      </c>
      <c r="L57" s="61">
        <v>0</v>
      </c>
      <c r="M57" s="134"/>
      <c r="N57" s="123"/>
      <c r="O57" s="123"/>
      <c r="P57" s="123"/>
      <c r="Q57" s="123"/>
      <c r="R57" s="123"/>
      <c r="S57" s="123"/>
      <c r="T57" s="123"/>
      <c r="U57" s="123"/>
      <c r="V57" s="123"/>
    </row>
    <row r="58" spans="1:22" ht="15" customHeight="1" x14ac:dyDescent="0.25">
      <c r="A58" s="132">
        <v>9</v>
      </c>
      <c r="B58" s="132" t="s">
        <v>1973</v>
      </c>
      <c r="C58" s="132" t="s">
        <v>1976</v>
      </c>
      <c r="D58" s="133" t="s">
        <v>1977</v>
      </c>
      <c r="E58" s="135">
        <v>44440</v>
      </c>
      <c r="F58" s="135">
        <v>44834</v>
      </c>
      <c r="G58" s="134">
        <v>0.10000000149011612</v>
      </c>
      <c r="H58" s="134">
        <v>0.60000002384185791</v>
      </c>
      <c r="I58" s="134">
        <v>0.30000001192092896</v>
      </c>
      <c r="J58" s="134">
        <v>0</v>
      </c>
      <c r="K58" s="134">
        <v>0</v>
      </c>
      <c r="L58" s="134">
        <v>0</v>
      </c>
      <c r="M58" s="134"/>
      <c r="N58" s="123"/>
      <c r="O58" s="123"/>
      <c r="P58" s="123"/>
      <c r="Q58" s="123"/>
      <c r="R58" s="123"/>
      <c r="S58" s="123"/>
      <c r="T58" s="123"/>
      <c r="U58" s="123"/>
      <c r="V58" s="123"/>
    </row>
    <row r="59" spans="1:22" ht="15" customHeight="1" x14ac:dyDescent="0.25">
      <c r="A59" s="132">
        <v>9</v>
      </c>
      <c r="B59" s="132" t="s">
        <v>1973</v>
      </c>
      <c r="C59" s="132" t="s">
        <v>1978</v>
      </c>
      <c r="D59" s="133" t="s">
        <v>1979</v>
      </c>
      <c r="E59" s="135">
        <v>44593</v>
      </c>
      <c r="F59" s="135">
        <v>44834</v>
      </c>
      <c r="G59" s="134">
        <v>0</v>
      </c>
      <c r="H59" s="134">
        <v>0.40000000596046448</v>
      </c>
      <c r="I59" s="134">
        <v>0.60000002384185791</v>
      </c>
      <c r="J59" s="134">
        <v>0</v>
      </c>
      <c r="K59" s="134">
        <v>0</v>
      </c>
      <c r="L59" s="134">
        <v>0</v>
      </c>
      <c r="M59" s="134"/>
      <c r="N59" s="123"/>
      <c r="O59" s="123"/>
      <c r="P59" s="123"/>
      <c r="Q59" s="123"/>
      <c r="R59" s="123"/>
      <c r="S59" s="123"/>
      <c r="T59" s="123"/>
      <c r="U59" s="123"/>
      <c r="V59" s="123"/>
    </row>
    <row r="60" spans="1:22" ht="15" customHeight="1" x14ac:dyDescent="0.25">
      <c r="A60" s="132">
        <v>9</v>
      </c>
      <c r="B60" s="132" t="s">
        <v>1980</v>
      </c>
      <c r="C60" s="132" t="s">
        <v>1981</v>
      </c>
      <c r="D60" s="133" t="s">
        <v>1982</v>
      </c>
      <c r="E60" s="135">
        <v>44652</v>
      </c>
      <c r="F60" s="135">
        <v>45381</v>
      </c>
      <c r="G60" s="134">
        <v>0</v>
      </c>
      <c r="H60" s="134">
        <v>0.13333334028720856</v>
      </c>
      <c r="I60" s="134">
        <v>0.20000000298023224</v>
      </c>
      <c r="J60" s="134">
        <v>0.26666668057441711</v>
      </c>
      <c r="K60" s="134">
        <v>0.26666668057441711</v>
      </c>
      <c r="L60" s="134">
        <v>0.13333334028720856</v>
      </c>
      <c r="M60" s="134"/>
      <c r="N60" s="123"/>
      <c r="O60" s="123"/>
      <c r="P60" s="123"/>
      <c r="Q60" s="123"/>
      <c r="R60" s="123"/>
      <c r="S60" s="123"/>
      <c r="T60" s="123"/>
      <c r="U60" s="123"/>
      <c r="V60" s="123"/>
    </row>
    <row r="61" spans="1:22" ht="15" customHeight="1" x14ac:dyDescent="0.25">
      <c r="A61" s="132">
        <v>9</v>
      </c>
      <c r="B61" s="132" t="s">
        <v>1983</v>
      </c>
      <c r="C61" s="132" t="s">
        <v>1984</v>
      </c>
      <c r="D61" s="133" t="s">
        <v>1985</v>
      </c>
      <c r="E61" s="135">
        <v>44835</v>
      </c>
      <c r="F61" s="135">
        <v>45381</v>
      </c>
      <c r="G61" s="134">
        <v>0</v>
      </c>
      <c r="H61" s="134">
        <v>0</v>
      </c>
      <c r="I61" s="134">
        <v>0.21818181872367859</v>
      </c>
      <c r="J61" s="134">
        <v>0.21818181872367859</v>
      </c>
      <c r="K61" s="134">
        <v>0.32727271318435669</v>
      </c>
      <c r="L61" s="134">
        <v>0.23636363446712494</v>
      </c>
      <c r="M61" s="134"/>
      <c r="N61" s="123"/>
      <c r="O61" s="123"/>
      <c r="P61" s="123"/>
      <c r="Q61" s="123"/>
      <c r="R61" s="123"/>
      <c r="S61" s="123"/>
      <c r="T61" s="123"/>
      <c r="U61" s="123"/>
      <c r="V61" s="123"/>
    </row>
    <row r="62" spans="1:22" ht="15" customHeight="1" x14ac:dyDescent="0.25">
      <c r="A62" s="132">
        <v>10</v>
      </c>
      <c r="B62" s="132" t="s">
        <v>1028</v>
      </c>
      <c r="C62" s="132" t="s">
        <v>1029</v>
      </c>
      <c r="D62" s="133" t="s">
        <v>1030</v>
      </c>
      <c r="E62" s="135">
        <v>44440</v>
      </c>
      <c r="F62" s="135">
        <v>45170</v>
      </c>
      <c r="G62" s="134">
        <v>0.17000000178813934</v>
      </c>
      <c r="H62" s="134">
        <v>0.25</v>
      </c>
      <c r="I62" s="134">
        <v>0.25</v>
      </c>
      <c r="J62" s="134">
        <v>0.25</v>
      </c>
      <c r="K62" s="134">
        <v>7.9999998211860657E-2</v>
      </c>
      <c r="L62" s="134">
        <v>0</v>
      </c>
      <c r="M62" s="134"/>
      <c r="N62" s="123"/>
      <c r="O62" s="123"/>
      <c r="P62" s="123"/>
      <c r="Q62" s="123"/>
      <c r="R62" s="123"/>
      <c r="S62" s="123"/>
      <c r="T62" s="123"/>
      <c r="U62" s="123"/>
      <c r="V62" s="123"/>
    </row>
    <row r="63" spans="1:22" ht="15" customHeight="1" x14ac:dyDescent="0.25">
      <c r="A63" s="132">
        <v>11</v>
      </c>
      <c r="B63" s="132" t="s">
        <v>1031</v>
      </c>
      <c r="C63" s="132" t="s">
        <v>1032</v>
      </c>
      <c r="D63" s="133" t="s">
        <v>1033</v>
      </c>
      <c r="E63" s="135">
        <v>44440</v>
      </c>
      <c r="F63" s="135">
        <v>45382</v>
      </c>
      <c r="G63" s="134">
        <v>5.9999998658895493E-2</v>
      </c>
      <c r="H63" s="134">
        <v>0.23000000417232513</v>
      </c>
      <c r="I63" s="134">
        <v>0.23000000417232513</v>
      </c>
      <c r="J63" s="134">
        <v>0.23000000417232513</v>
      </c>
      <c r="K63" s="134">
        <v>0.23000000417232513</v>
      </c>
      <c r="L63" s="134">
        <v>1.9999999552965164E-2</v>
      </c>
      <c r="M63" s="134"/>
      <c r="N63" s="123"/>
      <c r="O63" s="123"/>
      <c r="P63" s="123"/>
      <c r="Q63" s="123"/>
      <c r="R63" s="123"/>
      <c r="S63" s="123"/>
      <c r="T63" s="123"/>
      <c r="U63" s="123"/>
      <c r="V63" s="123"/>
    </row>
    <row r="64" spans="1:22" ht="15" customHeight="1" x14ac:dyDescent="0.25">
      <c r="A64" s="132">
        <v>11</v>
      </c>
      <c r="B64" s="132" t="s">
        <v>1031</v>
      </c>
      <c r="C64" s="132" t="s">
        <v>1034</v>
      </c>
      <c r="D64" s="133" t="s">
        <v>1035</v>
      </c>
      <c r="E64" s="135">
        <v>44440</v>
      </c>
      <c r="F64" s="135">
        <v>45382</v>
      </c>
      <c r="G64" s="134">
        <v>5.9999998658895493E-2</v>
      </c>
      <c r="H64" s="134">
        <v>0.23000000417232513</v>
      </c>
      <c r="I64" s="134">
        <v>0.23000000417232513</v>
      </c>
      <c r="J64" s="134">
        <v>0.23000000417232513</v>
      </c>
      <c r="K64" s="134">
        <v>0.23000000417232513</v>
      </c>
      <c r="L64" s="134">
        <v>1.9999999552965164E-2</v>
      </c>
      <c r="M64" s="134"/>
      <c r="N64" s="123"/>
      <c r="O64" s="123"/>
      <c r="P64" s="123"/>
      <c r="Q64" s="123"/>
      <c r="R64" s="123"/>
      <c r="S64" s="123"/>
      <c r="T64" s="123"/>
      <c r="U64" s="123"/>
      <c r="V64" s="123"/>
    </row>
    <row r="65" spans="1:22" ht="15" customHeight="1" x14ac:dyDescent="0.25">
      <c r="A65" s="132">
        <v>11</v>
      </c>
      <c r="B65" s="132" t="s">
        <v>1031</v>
      </c>
      <c r="C65" s="132" t="s">
        <v>1036</v>
      </c>
      <c r="D65" s="133" t="s">
        <v>1037</v>
      </c>
      <c r="E65" s="135">
        <v>44440</v>
      </c>
      <c r="F65" s="135">
        <v>45382</v>
      </c>
      <c r="G65" s="134">
        <v>5.9999998658895493E-2</v>
      </c>
      <c r="H65" s="134">
        <v>0.23000000417232513</v>
      </c>
      <c r="I65" s="134">
        <v>0.23000000417232513</v>
      </c>
      <c r="J65" s="134">
        <v>0.23000000417232513</v>
      </c>
      <c r="K65" s="134">
        <v>0.23000000417232513</v>
      </c>
      <c r="L65" s="134">
        <v>1.9999999552965164E-2</v>
      </c>
      <c r="M65" s="134"/>
      <c r="N65" s="123"/>
      <c r="O65" s="123"/>
      <c r="P65" s="123"/>
      <c r="Q65" s="123"/>
      <c r="R65" s="123"/>
      <c r="S65" s="123"/>
      <c r="T65" s="123"/>
      <c r="U65" s="123"/>
      <c r="V65" s="123"/>
    </row>
    <row r="66" spans="1:22" ht="15" customHeight="1" x14ac:dyDescent="0.25">
      <c r="A66" s="132">
        <v>11</v>
      </c>
      <c r="B66" s="132" t="s">
        <v>1038</v>
      </c>
      <c r="C66" s="132" t="s">
        <v>1039</v>
      </c>
      <c r="D66" s="133" t="s">
        <v>1040</v>
      </c>
      <c r="E66" s="135">
        <v>44440</v>
      </c>
      <c r="F66" s="135">
        <v>45382</v>
      </c>
      <c r="G66" s="134">
        <v>5.9999998658895493E-2</v>
      </c>
      <c r="H66" s="134">
        <v>0.23000000417232513</v>
      </c>
      <c r="I66" s="134">
        <v>0.23000000417232513</v>
      </c>
      <c r="J66" s="134">
        <v>0.23000000417232513</v>
      </c>
      <c r="K66" s="134">
        <v>0.23000000417232513</v>
      </c>
      <c r="L66" s="134">
        <v>1.9999999552965164E-2</v>
      </c>
      <c r="M66" s="134"/>
      <c r="N66" s="123"/>
      <c r="O66" s="123"/>
      <c r="P66" s="123"/>
      <c r="Q66" s="123"/>
      <c r="R66" s="123"/>
      <c r="S66" s="123"/>
      <c r="T66" s="123"/>
      <c r="U66" s="123"/>
      <c r="V66" s="123"/>
    </row>
    <row r="67" spans="1:22" ht="15" customHeight="1" x14ac:dyDescent="0.25">
      <c r="A67" s="132">
        <v>11</v>
      </c>
      <c r="B67" s="132" t="s">
        <v>1041</v>
      </c>
      <c r="C67" s="132" t="s">
        <v>1042</v>
      </c>
      <c r="D67" s="133" t="s">
        <v>1043</v>
      </c>
      <c r="E67" s="135">
        <v>44440</v>
      </c>
      <c r="F67" s="135">
        <v>45382</v>
      </c>
      <c r="G67" s="134">
        <v>5.9999998658895493E-2</v>
      </c>
      <c r="H67" s="134">
        <v>0.23000000417232513</v>
      </c>
      <c r="I67" s="134">
        <v>0.23000000417232513</v>
      </c>
      <c r="J67" s="134">
        <v>0.23000000417232513</v>
      </c>
      <c r="K67" s="134">
        <v>0.23000000417232513</v>
      </c>
      <c r="L67" s="134">
        <v>1.9999999552965164E-2</v>
      </c>
      <c r="M67" s="134"/>
      <c r="N67" s="123"/>
      <c r="O67" s="123"/>
      <c r="P67" s="123"/>
      <c r="Q67" s="123"/>
      <c r="R67" s="123"/>
      <c r="S67" s="123"/>
      <c r="T67" s="123"/>
      <c r="U67" s="123"/>
      <c r="V67" s="123"/>
    </row>
    <row r="68" spans="1:22" ht="15" customHeight="1" x14ac:dyDescent="0.25">
      <c r="A68" s="132">
        <v>11</v>
      </c>
      <c r="B68" s="132" t="s">
        <v>1041</v>
      </c>
      <c r="C68" s="132" t="s">
        <v>1044</v>
      </c>
      <c r="D68" s="133" t="s">
        <v>1045</v>
      </c>
      <c r="E68" s="135">
        <v>44440</v>
      </c>
      <c r="F68" s="135">
        <v>45382</v>
      </c>
      <c r="G68" s="134">
        <v>5.9999998658895493E-2</v>
      </c>
      <c r="H68" s="134">
        <v>0.23000000417232513</v>
      </c>
      <c r="I68" s="134">
        <v>0.23000000417232513</v>
      </c>
      <c r="J68" s="134">
        <v>0.23000000417232513</v>
      </c>
      <c r="K68" s="134">
        <v>0.23000000417232513</v>
      </c>
      <c r="L68" s="134">
        <v>1.9999999552965164E-2</v>
      </c>
      <c r="M68" s="134"/>
      <c r="N68" s="123"/>
      <c r="O68" s="123"/>
      <c r="P68" s="123"/>
      <c r="Q68" s="123"/>
      <c r="R68" s="123"/>
      <c r="S68" s="123"/>
      <c r="T68" s="123"/>
      <c r="U68" s="123"/>
      <c r="V68" s="123"/>
    </row>
    <row r="69" spans="1:22" ht="15" customHeight="1" x14ac:dyDescent="0.25">
      <c r="A69" s="132">
        <v>11</v>
      </c>
      <c r="B69" s="132" t="s">
        <v>1046</v>
      </c>
      <c r="C69" s="132" t="s">
        <v>1047</v>
      </c>
      <c r="D69" s="133" t="s">
        <v>1048</v>
      </c>
      <c r="E69" s="135">
        <v>44440</v>
      </c>
      <c r="F69" s="135">
        <v>45382</v>
      </c>
      <c r="G69" s="134">
        <v>5.9999998658895493E-2</v>
      </c>
      <c r="H69" s="134">
        <v>0.23000000417232513</v>
      </c>
      <c r="I69" s="134">
        <v>0.23000000417232513</v>
      </c>
      <c r="J69" s="134">
        <v>0.23000000417232513</v>
      </c>
      <c r="K69" s="134">
        <v>0.23000000417232513</v>
      </c>
      <c r="L69" s="134">
        <v>1.9999999552965164E-2</v>
      </c>
      <c r="M69" s="134"/>
      <c r="N69" s="123"/>
      <c r="O69" s="123"/>
      <c r="P69" s="123"/>
      <c r="Q69" s="123"/>
      <c r="R69" s="123"/>
      <c r="S69" s="123"/>
      <c r="T69" s="123"/>
      <c r="U69" s="123"/>
      <c r="V69" s="123"/>
    </row>
    <row r="70" spans="1:22" ht="15" customHeight="1" x14ac:dyDescent="0.25">
      <c r="A70" s="132">
        <v>11</v>
      </c>
      <c r="B70" s="132" t="s">
        <v>1046</v>
      </c>
      <c r="C70" s="132" t="s">
        <v>1049</v>
      </c>
      <c r="D70" s="133" t="s">
        <v>1050</v>
      </c>
      <c r="E70" s="135">
        <v>44440</v>
      </c>
      <c r="F70" s="135">
        <v>45382</v>
      </c>
      <c r="G70" s="134">
        <v>5.9999998658895493E-2</v>
      </c>
      <c r="H70" s="134">
        <v>0.23000000417232513</v>
      </c>
      <c r="I70" s="134">
        <v>0.23000000417232513</v>
      </c>
      <c r="J70" s="134">
        <v>0.23000000417232513</v>
      </c>
      <c r="K70" s="134">
        <v>0.23000000417232513</v>
      </c>
      <c r="L70" s="134">
        <v>1.9999999552965164E-2</v>
      </c>
      <c r="M70" s="134"/>
      <c r="N70" s="123"/>
      <c r="O70" s="123"/>
      <c r="P70" s="123"/>
      <c r="Q70" s="123"/>
      <c r="R70" s="123"/>
      <c r="S70" s="123"/>
      <c r="T70" s="123"/>
      <c r="U70" s="123"/>
      <c r="V70" s="123"/>
    </row>
    <row r="71" spans="1:22" ht="15" customHeight="1" x14ac:dyDescent="0.25">
      <c r="A71" s="132">
        <v>11</v>
      </c>
      <c r="B71" s="132" t="s">
        <v>1046</v>
      </c>
      <c r="C71" s="132" t="s">
        <v>1051</v>
      </c>
      <c r="D71" s="133" t="s">
        <v>1052</v>
      </c>
      <c r="E71" s="135">
        <v>44440</v>
      </c>
      <c r="F71" s="135">
        <v>45382</v>
      </c>
      <c r="G71" s="134">
        <v>5.9999998658895493E-2</v>
      </c>
      <c r="H71" s="134">
        <v>0.23000000417232513</v>
      </c>
      <c r="I71" s="134">
        <v>0.23000000417232513</v>
      </c>
      <c r="J71" s="134">
        <v>0.23000000417232513</v>
      </c>
      <c r="K71" s="134">
        <v>0.23000000417232513</v>
      </c>
      <c r="L71" s="134">
        <v>1.9999999552965164E-2</v>
      </c>
      <c r="M71" s="134"/>
      <c r="N71" s="123"/>
      <c r="O71" s="123"/>
      <c r="P71" s="123"/>
      <c r="Q71" s="123"/>
      <c r="R71" s="123"/>
      <c r="S71" s="123"/>
      <c r="T71" s="123"/>
      <c r="U71" s="123"/>
      <c r="V71" s="123"/>
    </row>
    <row r="72" spans="1:22" ht="15" customHeight="1" x14ac:dyDescent="0.25">
      <c r="A72" s="132">
        <v>12</v>
      </c>
      <c r="B72" s="132" t="s">
        <v>1053</v>
      </c>
      <c r="C72" s="132" t="s">
        <v>1054</v>
      </c>
      <c r="D72" s="133" t="s">
        <v>1055</v>
      </c>
      <c r="E72" s="135">
        <v>44440</v>
      </c>
      <c r="F72" s="135">
        <v>45261</v>
      </c>
      <c r="G72" s="134">
        <v>7.9999998211860657E-2</v>
      </c>
      <c r="H72" s="134">
        <v>0.23000000417232513</v>
      </c>
      <c r="I72" s="134">
        <v>0.23000000417232513</v>
      </c>
      <c r="J72" s="134">
        <v>0.23000000417232513</v>
      </c>
      <c r="K72" s="134">
        <v>0.23000000417232513</v>
      </c>
      <c r="L72" s="134">
        <v>0</v>
      </c>
      <c r="M72" s="134"/>
      <c r="N72" s="123"/>
      <c r="O72" s="123"/>
      <c r="P72" s="123"/>
      <c r="Q72" s="123"/>
      <c r="R72" s="123"/>
      <c r="S72" s="123"/>
      <c r="T72" s="123"/>
      <c r="U72" s="123"/>
      <c r="V72" s="123"/>
    </row>
    <row r="73" spans="1:22" ht="15" customHeight="1" x14ac:dyDescent="0.25">
      <c r="A73" s="132">
        <v>12</v>
      </c>
      <c r="B73" s="132" t="s">
        <v>1053</v>
      </c>
      <c r="C73" s="132" t="s">
        <v>1056</v>
      </c>
      <c r="D73" s="133" t="s">
        <v>1057</v>
      </c>
      <c r="E73" s="135">
        <v>44440</v>
      </c>
      <c r="F73" s="135">
        <v>45261</v>
      </c>
      <c r="G73" s="134">
        <v>7.9999998211860657E-2</v>
      </c>
      <c r="H73" s="134">
        <v>0.23000000417232513</v>
      </c>
      <c r="I73" s="134">
        <v>0.23000000417232513</v>
      </c>
      <c r="J73" s="134">
        <v>0.23000000417232513</v>
      </c>
      <c r="K73" s="134">
        <v>0.23000000417232513</v>
      </c>
      <c r="L73" s="134">
        <v>0</v>
      </c>
      <c r="M73" s="134"/>
      <c r="N73" s="123"/>
      <c r="O73" s="123"/>
      <c r="P73" s="123"/>
      <c r="Q73" s="123"/>
      <c r="R73" s="123"/>
      <c r="S73" s="123"/>
      <c r="T73" s="123"/>
      <c r="U73" s="123"/>
      <c r="V73" s="123"/>
    </row>
    <row r="74" spans="1:22" ht="15" customHeight="1" x14ac:dyDescent="0.25">
      <c r="A74" s="132">
        <v>12</v>
      </c>
      <c r="B74" s="132" t="s">
        <v>1058</v>
      </c>
      <c r="C74" s="132" t="s">
        <v>1059</v>
      </c>
      <c r="D74" s="133" t="s">
        <v>1060</v>
      </c>
      <c r="E74" s="135">
        <v>44440</v>
      </c>
      <c r="F74" s="135">
        <v>45352</v>
      </c>
      <c r="G74" s="134">
        <v>5.9999998658895493E-2</v>
      </c>
      <c r="H74" s="134">
        <v>0.23000000417232513</v>
      </c>
      <c r="I74" s="134">
        <v>0.23000000417232513</v>
      </c>
      <c r="J74" s="134">
        <v>0.23000000417232513</v>
      </c>
      <c r="K74" s="134">
        <v>0.23000000417232513</v>
      </c>
      <c r="L74" s="134">
        <v>1.9999999552965164E-2</v>
      </c>
      <c r="M74" s="134"/>
      <c r="N74" s="123"/>
      <c r="O74" s="123"/>
      <c r="P74" s="123"/>
      <c r="Q74" s="123"/>
      <c r="R74" s="123"/>
      <c r="S74" s="123"/>
      <c r="T74" s="123"/>
      <c r="U74" s="123"/>
      <c r="V74" s="123"/>
    </row>
    <row r="75" spans="1:22" ht="15" customHeight="1" x14ac:dyDescent="0.25">
      <c r="A75" s="132">
        <v>12</v>
      </c>
      <c r="B75" s="132" t="s">
        <v>1061</v>
      </c>
      <c r="C75" s="132" t="s">
        <v>1062</v>
      </c>
      <c r="D75" s="133" t="s">
        <v>1063</v>
      </c>
      <c r="E75" s="135">
        <v>44440</v>
      </c>
      <c r="F75" s="135">
        <v>45352</v>
      </c>
      <c r="G75" s="134">
        <v>5.9999998658895493E-2</v>
      </c>
      <c r="H75" s="134">
        <v>0.23000000417232513</v>
      </c>
      <c r="I75" s="134">
        <v>0.23000000417232513</v>
      </c>
      <c r="J75" s="134">
        <v>0.23000000417232513</v>
      </c>
      <c r="K75" s="134">
        <v>0.23000000417232513</v>
      </c>
      <c r="L75" s="134">
        <v>1.9999999552965164E-2</v>
      </c>
      <c r="M75" s="134"/>
      <c r="N75" s="123"/>
      <c r="O75" s="123"/>
      <c r="P75" s="123"/>
      <c r="Q75" s="123"/>
      <c r="R75" s="123"/>
      <c r="S75" s="123"/>
      <c r="T75" s="123"/>
      <c r="U75" s="123"/>
      <c r="V75" s="123"/>
    </row>
    <row r="76" spans="1:22" ht="15" customHeight="1" x14ac:dyDescent="0.25">
      <c r="A76" s="132">
        <v>12</v>
      </c>
      <c r="B76" s="132" t="s">
        <v>1061</v>
      </c>
      <c r="C76" s="132" t="s">
        <v>1064</v>
      </c>
      <c r="D76" s="133" t="s">
        <v>1065</v>
      </c>
      <c r="E76" s="135">
        <v>44440</v>
      </c>
      <c r="F76" s="135">
        <v>45352</v>
      </c>
      <c r="G76" s="134">
        <v>5.9999998658895493E-2</v>
      </c>
      <c r="H76" s="134">
        <v>0.23000000417232513</v>
      </c>
      <c r="I76" s="134">
        <v>0.23000000417232513</v>
      </c>
      <c r="J76" s="134">
        <v>0.23000000417232513</v>
      </c>
      <c r="K76" s="134">
        <v>0.23000000417232513</v>
      </c>
      <c r="L76" s="134">
        <v>1.9999999552965164E-2</v>
      </c>
      <c r="M76" s="134"/>
      <c r="N76" s="123"/>
      <c r="O76" s="123"/>
      <c r="P76" s="123"/>
      <c r="Q76" s="123"/>
      <c r="R76" s="123"/>
      <c r="S76" s="123"/>
      <c r="T76" s="123"/>
      <c r="U76" s="123"/>
      <c r="V76" s="123"/>
    </row>
    <row r="77" spans="1:22" ht="15" customHeight="1" x14ac:dyDescent="0.25">
      <c r="A77" s="132">
        <v>13</v>
      </c>
      <c r="B77" s="132" t="s">
        <v>1066</v>
      </c>
      <c r="C77" s="132" t="s">
        <v>1067</v>
      </c>
      <c r="D77" s="133" t="s">
        <v>1068</v>
      </c>
      <c r="E77" s="135">
        <v>44409</v>
      </c>
      <c r="F77" s="135">
        <v>45275</v>
      </c>
      <c r="G77" s="134">
        <v>0.20000000298023224</v>
      </c>
      <c r="H77" s="134">
        <v>0.10000000149011612</v>
      </c>
      <c r="I77" s="134">
        <v>0.20000000298023224</v>
      </c>
      <c r="J77" s="134">
        <v>0.20000000298023224</v>
      </c>
      <c r="K77" s="134">
        <v>0.20000000298023224</v>
      </c>
      <c r="L77" s="134">
        <v>0.10000000149011612</v>
      </c>
      <c r="M77" s="134"/>
      <c r="N77" s="123"/>
      <c r="O77" s="123"/>
      <c r="P77" s="123"/>
      <c r="Q77" s="123"/>
      <c r="R77" s="123"/>
      <c r="S77" s="123"/>
      <c r="T77" s="123"/>
      <c r="U77" s="123"/>
      <c r="V77" s="123"/>
    </row>
    <row r="78" spans="1:22" ht="15" customHeight="1" x14ac:dyDescent="0.25">
      <c r="A78" s="132">
        <v>13</v>
      </c>
      <c r="B78" s="132" t="s">
        <v>1066</v>
      </c>
      <c r="C78" s="132" t="s">
        <v>1069</v>
      </c>
      <c r="D78" s="133" t="s">
        <v>1070</v>
      </c>
      <c r="E78" s="135">
        <v>44409</v>
      </c>
      <c r="F78" s="135">
        <v>45275</v>
      </c>
      <c r="G78" s="134">
        <v>0.15000000596046448</v>
      </c>
      <c r="H78" s="134">
        <v>0.20000000298023224</v>
      </c>
      <c r="I78" s="134">
        <v>0.15000000596046448</v>
      </c>
      <c r="J78" s="134">
        <v>0.15000000596046448</v>
      </c>
      <c r="K78" s="134">
        <v>0.20000000298023224</v>
      </c>
      <c r="L78" s="134">
        <v>0.15000000596046448</v>
      </c>
      <c r="M78" s="134"/>
      <c r="N78" s="123"/>
      <c r="O78" s="123"/>
      <c r="P78" s="123"/>
      <c r="Q78" s="123"/>
      <c r="R78" s="123"/>
      <c r="S78" s="123"/>
      <c r="T78" s="123"/>
      <c r="U78" s="123"/>
      <c r="V78" s="123"/>
    </row>
    <row r="79" spans="1:22" ht="15" customHeight="1" x14ac:dyDescent="0.25">
      <c r="A79" s="132">
        <v>13</v>
      </c>
      <c r="B79" s="132" t="s">
        <v>1066</v>
      </c>
      <c r="C79" s="132" t="s">
        <v>1071</v>
      </c>
      <c r="D79" s="133" t="s">
        <v>1072</v>
      </c>
      <c r="E79" s="135">
        <v>44409</v>
      </c>
      <c r="F79" s="135">
        <v>45275</v>
      </c>
      <c r="G79" s="134">
        <v>0.10000000149011612</v>
      </c>
      <c r="H79" s="134">
        <v>0.15000000596046448</v>
      </c>
      <c r="I79" s="134">
        <v>0.20000000298023224</v>
      </c>
      <c r="J79" s="134">
        <v>0.15000000596046448</v>
      </c>
      <c r="K79" s="134">
        <v>0.20000000298023224</v>
      </c>
      <c r="L79" s="134">
        <v>0.20000000298023224</v>
      </c>
      <c r="M79" s="134"/>
      <c r="N79" s="123"/>
      <c r="O79" s="123"/>
      <c r="P79" s="123"/>
      <c r="Q79" s="123"/>
      <c r="R79" s="123"/>
      <c r="S79" s="123"/>
      <c r="T79" s="123"/>
      <c r="U79" s="123"/>
      <c r="V79" s="123"/>
    </row>
    <row r="80" spans="1:22" ht="15" customHeight="1" x14ac:dyDescent="0.25">
      <c r="A80" s="132">
        <v>13</v>
      </c>
      <c r="B80" s="132" t="s">
        <v>1073</v>
      </c>
      <c r="C80" s="132" t="s">
        <v>1074</v>
      </c>
      <c r="D80" s="133" t="s">
        <v>1075</v>
      </c>
      <c r="E80" s="135">
        <v>44409</v>
      </c>
      <c r="F80" s="135">
        <v>45275</v>
      </c>
      <c r="G80" s="134">
        <v>0.10000000149011612</v>
      </c>
      <c r="H80" s="134">
        <v>0.15000000596046448</v>
      </c>
      <c r="I80" s="134">
        <v>0.20000000298023224</v>
      </c>
      <c r="J80" s="134">
        <v>0.20000000298023224</v>
      </c>
      <c r="K80" s="134">
        <v>0.20000000298023224</v>
      </c>
      <c r="L80" s="134">
        <v>0.15000000596046448</v>
      </c>
      <c r="M80" s="134"/>
      <c r="N80" s="123"/>
      <c r="O80" s="123"/>
      <c r="P80" s="123"/>
      <c r="Q80" s="123"/>
      <c r="R80" s="123"/>
      <c r="S80" s="123"/>
      <c r="T80" s="123"/>
      <c r="U80" s="123"/>
      <c r="V80" s="123"/>
    </row>
    <row r="81" spans="1:22" ht="15" customHeight="1" x14ac:dyDescent="0.25">
      <c r="A81" s="132">
        <v>13</v>
      </c>
      <c r="B81" s="132" t="s">
        <v>1073</v>
      </c>
      <c r="C81" s="132" t="s">
        <v>1076</v>
      </c>
      <c r="D81" s="133" t="s">
        <v>1077</v>
      </c>
      <c r="E81" s="135">
        <v>44409</v>
      </c>
      <c r="F81" s="135">
        <v>45275</v>
      </c>
      <c r="G81" s="134">
        <v>0.10000000149011612</v>
      </c>
      <c r="H81" s="134">
        <v>0.15000000596046448</v>
      </c>
      <c r="I81" s="134">
        <v>0.20000000298023224</v>
      </c>
      <c r="J81" s="134">
        <v>0.20000000298023224</v>
      </c>
      <c r="K81" s="134">
        <v>0.20000000298023224</v>
      </c>
      <c r="L81" s="134">
        <v>0.15000000596046448</v>
      </c>
      <c r="M81" s="134"/>
      <c r="N81" s="123"/>
      <c r="O81" s="123"/>
      <c r="P81" s="123"/>
      <c r="Q81" s="123"/>
      <c r="R81" s="123"/>
      <c r="S81" s="123"/>
      <c r="T81" s="123"/>
      <c r="U81" s="123"/>
      <c r="V81" s="123"/>
    </row>
    <row r="82" spans="1:22" ht="15" customHeight="1" x14ac:dyDescent="0.25">
      <c r="A82" s="132">
        <v>13</v>
      </c>
      <c r="B82" s="132" t="s">
        <v>1073</v>
      </c>
      <c r="C82" s="132" t="s">
        <v>1078</v>
      </c>
      <c r="D82" s="133" t="s">
        <v>1079</v>
      </c>
      <c r="E82" s="135">
        <v>44409</v>
      </c>
      <c r="F82" s="135">
        <v>45275</v>
      </c>
      <c r="G82" s="134">
        <v>0.15000000596046448</v>
      </c>
      <c r="H82" s="134">
        <v>0.15000000596046448</v>
      </c>
      <c r="I82" s="134">
        <v>0.20000000298023224</v>
      </c>
      <c r="J82" s="134">
        <v>0.20000000298023224</v>
      </c>
      <c r="K82" s="134">
        <v>0.20000000298023224</v>
      </c>
      <c r="L82" s="134">
        <v>0.10000000149011612</v>
      </c>
      <c r="M82" s="134"/>
      <c r="N82" s="123"/>
      <c r="O82" s="123"/>
      <c r="P82" s="123"/>
      <c r="Q82" s="123"/>
      <c r="R82" s="123"/>
      <c r="S82" s="123"/>
      <c r="T82" s="123"/>
      <c r="U82" s="123"/>
      <c r="V82" s="123"/>
    </row>
    <row r="83" spans="1:22" ht="15" customHeight="1" x14ac:dyDescent="0.25">
      <c r="A83" s="132">
        <v>13</v>
      </c>
      <c r="B83" s="132" t="s">
        <v>1080</v>
      </c>
      <c r="C83" s="132" t="s">
        <v>1081</v>
      </c>
      <c r="D83" s="133" t="s">
        <v>1082</v>
      </c>
      <c r="E83" s="135">
        <v>44409</v>
      </c>
      <c r="F83" s="135">
        <v>45275</v>
      </c>
      <c r="G83" s="134">
        <v>5.000000074505806E-2</v>
      </c>
      <c r="H83" s="134">
        <v>0.25</v>
      </c>
      <c r="I83" s="134">
        <v>0.40000000596046448</v>
      </c>
      <c r="J83" s="134">
        <v>0.15000000596046448</v>
      </c>
      <c r="K83" s="134">
        <v>0.15000000596046448</v>
      </c>
      <c r="L83" s="134">
        <v>0</v>
      </c>
      <c r="M83" s="134"/>
      <c r="N83" s="123"/>
      <c r="O83" s="123"/>
      <c r="P83" s="123"/>
      <c r="Q83" s="123"/>
      <c r="R83" s="123"/>
      <c r="S83" s="123"/>
      <c r="T83" s="123"/>
      <c r="U83" s="123"/>
      <c r="V83" s="123"/>
    </row>
    <row r="84" spans="1:22" ht="15" customHeight="1" x14ac:dyDescent="0.25">
      <c r="A84" s="132">
        <v>13</v>
      </c>
      <c r="B84" s="132" t="s">
        <v>1080</v>
      </c>
      <c r="C84" s="132" t="s">
        <v>1083</v>
      </c>
      <c r="D84" s="133" t="s">
        <v>1084</v>
      </c>
      <c r="E84" s="135">
        <v>44409</v>
      </c>
      <c r="F84" s="135">
        <v>45275</v>
      </c>
      <c r="G84" s="134">
        <v>5.000000074505806E-2</v>
      </c>
      <c r="H84" s="134">
        <v>0.10000000149011612</v>
      </c>
      <c r="I84" s="134">
        <v>0.10000000149011612</v>
      </c>
      <c r="J84" s="134">
        <v>0.25</v>
      </c>
      <c r="K84" s="134">
        <v>0.34999999403953552</v>
      </c>
      <c r="L84" s="134">
        <v>0.15000000596046448</v>
      </c>
      <c r="M84" s="134"/>
      <c r="N84" s="123"/>
      <c r="O84" s="123"/>
      <c r="P84" s="123"/>
      <c r="Q84" s="123"/>
      <c r="R84" s="123"/>
      <c r="S84" s="123"/>
      <c r="T84" s="123"/>
      <c r="U84" s="123"/>
      <c r="V84" s="123"/>
    </row>
    <row r="85" spans="1:22" ht="15" customHeight="1" x14ac:dyDescent="0.25">
      <c r="A85" s="132">
        <v>13</v>
      </c>
      <c r="B85" s="132" t="s">
        <v>1085</v>
      </c>
      <c r="C85" s="132" t="s">
        <v>1086</v>
      </c>
      <c r="D85" s="133" t="s">
        <v>1087</v>
      </c>
      <c r="E85" s="135">
        <v>44409</v>
      </c>
      <c r="F85" s="135">
        <v>45351</v>
      </c>
      <c r="G85" s="134">
        <v>0.10000000149011612</v>
      </c>
      <c r="H85" s="134">
        <v>0.15000000596046448</v>
      </c>
      <c r="I85" s="134">
        <v>0.20000000298023224</v>
      </c>
      <c r="J85" s="134">
        <v>0.25</v>
      </c>
      <c r="K85" s="134">
        <v>0.20000000298023224</v>
      </c>
      <c r="L85" s="134">
        <v>0.10000000149011612</v>
      </c>
      <c r="M85" s="134"/>
      <c r="N85" s="123"/>
      <c r="O85" s="123"/>
      <c r="P85" s="123"/>
      <c r="Q85" s="123"/>
      <c r="R85" s="123"/>
      <c r="S85" s="123"/>
      <c r="T85" s="123"/>
      <c r="U85" s="123"/>
      <c r="V85" s="123"/>
    </row>
    <row r="86" spans="1:22" ht="15" customHeight="1" x14ac:dyDescent="0.25">
      <c r="A86" s="132">
        <v>13</v>
      </c>
      <c r="B86" s="132" t="s">
        <v>1085</v>
      </c>
      <c r="C86" s="132" t="s">
        <v>1088</v>
      </c>
      <c r="D86" s="133" t="s">
        <v>1089</v>
      </c>
      <c r="E86" s="135">
        <v>44409</v>
      </c>
      <c r="F86" s="135">
        <v>45351</v>
      </c>
      <c r="G86" s="134">
        <v>5.000000074505806E-2</v>
      </c>
      <c r="H86" s="134">
        <v>0.15000000596046448</v>
      </c>
      <c r="I86" s="134">
        <v>0.20000000298023224</v>
      </c>
      <c r="J86" s="134">
        <v>0.25</v>
      </c>
      <c r="K86" s="134">
        <v>0.20000000298023224</v>
      </c>
      <c r="L86" s="134">
        <v>0.15000000596046448</v>
      </c>
      <c r="M86" s="134"/>
      <c r="N86" s="123"/>
      <c r="O86" s="123"/>
      <c r="P86" s="123"/>
      <c r="Q86" s="123"/>
      <c r="R86" s="123"/>
      <c r="S86" s="123"/>
      <c r="T86" s="123"/>
      <c r="U86" s="123"/>
      <c r="V86" s="123"/>
    </row>
    <row r="87" spans="1:22" ht="15" customHeight="1" x14ac:dyDescent="0.25">
      <c r="A87" s="132">
        <v>14</v>
      </c>
      <c r="B87" s="132" t="s">
        <v>1090</v>
      </c>
      <c r="C87" s="132" t="s">
        <v>1091</v>
      </c>
      <c r="D87" s="133" t="s">
        <v>1092</v>
      </c>
      <c r="E87" s="135">
        <v>44578</v>
      </c>
      <c r="F87" s="135">
        <v>45382</v>
      </c>
      <c r="G87" s="134">
        <v>0</v>
      </c>
      <c r="H87" s="134">
        <v>0.20000000298023224</v>
      </c>
      <c r="I87" s="134">
        <v>0.30000001192092896</v>
      </c>
      <c r="J87" s="134">
        <v>0.25</v>
      </c>
      <c r="K87" s="134">
        <v>0.20000000298023224</v>
      </c>
      <c r="L87" s="134">
        <v>5.000000074505806E-2</v>
      </c>
      <c r="M87" s="134"/>
      <c r="N87" s="123"/>
      <c r="O87" s="123"/>
      <c r="P87" s="123"/>
      <c r="Q87" s="123"/>
      <c r="R87" s="123"/>
      <c r="S87" s="123"/>
      <c r="T87" s="123"/>
      <c r="U87" s="123"/>
      <c r="V87" s="123"/>
    </row>
    <row r="88" spans="1:22" ht="15" customHeight="1" x14ac:dyDescent="0.25">
      <c r="A88" s="132">
        <v>14</v>
      </c>
      <c r="B88" s="132" t="s">
        <v>1090</v>
      </c>
      <c r="C88" s="132" t="s">
        <v>1093</v>
      </c>
      <c r="D88" s="133" t="s">
        <v>1094</v>
      </c>
      <c r="E88" s="135">
        <v>44470</v>
      </c>
      <c r="F88" s="135">
        <v>45382</v>
      </c>
      <c r="G88" s="134">
        <v>0.10000000149011612</v>
      </c>
      <c r="H88" s="134">
        <v>0.20000000298023224</v>
      </c>
      <c r="I88" s="134">
        <v>0.25</v>
      </c>
      <c r="J88" s="134">
        <v>0.25</v>
      </c>
      <c r="K88" s="134">
        <v>0.15000000596046448</v>
      </c>
      <c r="L88" s="134">
        <v>5.000000074505806E-2</v>
      </c>
      <c r="M88" s="134"/>
      <c r="N88" s="123"/>
      <c r="O88" s="123"/>
      <c r="P88" s="123"/>
      <c r="Q88" s="123"/>
      <c r="R88" s="123"/>
      <c r="S88" s="123"/>
      <c r="T88" s="123"/>
      <c r="U88" s="123"/>
      <c r="V88" s="123"/>
    </row>
    <row r="89" spans="1:22" ht="15" customHeight="1" x14ac:dyDescent="0.25">
      <c r="A89" s="132">
        <v>14</v>
      </c>
      <c r="B89" s="132" t="s">
        <v>1090</v>
      </c>
      <c r="C89" s="132" t="s">
        <v>1095</v>
      </c>
      <c r="D89" s="133" t="s">
        <v>1096</v>
      </c>
      <c r="E89" s="135">
        <v>44440</v>
      </c>
      <c r="F89" s="135">
        <v>45382</v>
      </c>
      <c r="G89" s="134">
        <v>5.000000074505806E-2</v>
      </c>
      <c r="H89" s="134">
        <v>0.20000000298023224</v>
      </c>
      <c r="I89" s="134">
        <v>0.20000000298023224</v>
      </c>
      <c r="J89" s="134">
        <v>0.25</v>
      </c>
      <c r="K89" s="134">
        <v>0.20000000298023224</v>
      </c>
      <c r="L89" s="134">
        <v>0.10000000149011612</v>
      </c>
      <c r="M89" s="134"/>
      <c r="N89" s="123"/>
      <c r="O89" s="123"/>
      <c r="P89" s="123"/>
      <c r="Q89" s="123"/>
      <c r="R89" s="123"/>
      <c r="S89" s="123"/>
      <c r="T89" s="123"/>
      <c r="U89" s="123"/>
      <c r="V89" s="123"/>
    </row>
    <row r="90" spans="1:22" ht="15" customHeight="1" x14ac:dyDescent="0.25">
      <c r="A90" s="132">
        <v>14</v>
      </c>
      <c r="B90" s="132" t="s">
        <v>1097</v>
      </c>
      <c r="C90" s="132" t="s">
        <v>1098</v>
      </c>
      <c r="D90" s="133" t="s">
        <v>1099</v>
      </c>
      <c r="E90" s="135">
        <v>44440</v>
      </c>
      <c r="F90" s="135">
        <v>45382</v>
      </c>
      <c r="G90" s="61">
        <v>0.10000000149011612</v>
      </c>
      <c r="H90" s="61">
        <v>0.20000000298023224</v>
      </c>
      <c r="I90" s="61">
        <v>0.20000000298023224</v>
      </c>
      <c r="J90" s="61">
        <v>0.20000000298023224</v>
      </c>
      <c r="K90" s="61">
        <v>0.20000000298023224</v>
      </c>
      <c r="L90" s="61">
        <v>0.10000000149011612</v>
      </c>
      <c r="M90" s="134"/>
      <c r="N90" s="123"/>
      <c r="O90" s="123"/>
      <c r="P90" s="123"/>
      <c r="Q90" s="123"/>
      <c r="R90" s="123"/>
      <c r="S90" s="123"/>
      <c r="T90" s="123"/>
      <c r="U90" s="123"/>
      <c r="V90" s="123"/>
    </row>
    <row r="91" spans="1:22" ht="15" customHeight="1" x14ac:dyDescent="0.25">
      <c r="A91" s="132">
        <v>14</v>
      </c>
      <c r="B91" s="132" t="s">
        <v>1097</v>
      </c>
      <c r="C91" s="132" t="s">
        <v>1100</v>
      </c>
      <c r="D91" s="133" t="s">
        <v>1101</v>
      </c>
      <c r="E91" s="135">
        <v>44440</v>
      </c>
      <c r="F91" s="135">
        <v>45382</v>
      </c>
      <c r="G91" s="61">
        <v>0.10000000149011612</v>
      </c>
      <c r="H91" s="61">
        <v>0.20000000298023224</v>
      </c>
      <c r="I91" s="61">
        <v>0.20000000298023224</v>
      </c>
      <c r="J91" s="61">
        <v>0.20000000298023224</v>
      </c>
      <c r="K91" s="61">
        <v>0.20000000298023224</v>
      </c>
      <c r="L91" s="61">
        <v>0.10000000149011612</v>
      </c>
      <c r="M91" s="134"/>
      <c r="N91" s="123"/>
      <c r="O91" s="123"/>
      <c r="P91" s="123"/>
      <c r="Q91" s="123"/>
      <c r="R91" s="123"/>
      <c r="S91" s="123"/>
      <c r="T91" s="123"/>
      <c r="U91" s="123"/>
      <c r="V91" s="123"/>
    </row>
    <row r="92" spans="1:22" ht="15" customHeight="1" x14ac:dyDescent="0.25">
      <c r="A92" s="132">
        <v>14</v>
      </c>
      <c r="B92" s="132" t="s">
        <v>1102</v>
      </c>
      <c r="C92" s="132" t="s">
        <v>1103</v>
      </c>
      <c r="D92" s="133" t="s">
        <v>1104</v>
      </c>
      <c r="E92" s="135">
        <v>44470</v>
      </c>
      <c r="F92" s="135">
        <v>45382</v>
      </c>
      <c r="G92" s="61">
        <v>0.10000000149011612</v>
      </c>
      <c r="H92" s="61">
        <v>0.20000000298023224</v>
      </c>
      <c r="I92" s="61">
        <v>0.20000000298023224</v>
      </c>
      <c r="J92" s="61">
        <v>0.20000000298023224</v>
      </c>
      <c r="K92" s="61">
        <v>0.20000000298023224</v>
      </c>
      <c r="L92" s="61">
        <v>0.10000000149011612</v>
      </c>
      <c r="M92" s="134"/>
      <c r="N92" s="123"/>
      <c r="O92" s="123"/>
      <c r="P92" s="123"/>
      <c r="Q92" s="123"/>
      <c r="R92" s="123"/>
      <c r="S92" s="123"/>
      <c r="T92" s="123"/>
      <c r="U92" s="123"/>
      <c r="V92" s="123"/>
    </row>
    <row r="93" spans="1:22" ht="15" customHeight="1" x14ac:dyDescent="0.25">
      <c r="A93" s="132">
        <v>14</v>
      </c>
      <c r="B93" s="132" t="s">
        <v>1102</v>
      </c>
      <c r="C93" s="132" t="s">
        <v>1105</v>
      </c>
      <c r="D93" s="133" t="s">
        <v>1106</v>
      </c>
      <c r="E93" s="135">
        <v>44440</v>
      </c>
      <c r="F93" s="135">
        <v>45382</v>
      </c>
      <c r="G93" s="61">
        <v>0.10000000149011612</v>
      </c>
      <c r="H93" s="61">
        <v>0.20000000298023224</v>
      </c>
      <c r="I93" s="61">
        <v>0.20000000298023224</v>
      </c>
      <c r="J93" s="61">
        <v>0.20000000298023224</v>
      </c>
      <c r="K93" s="61">
        <v>0.20000000298023224</v>
      </c>
      <c r="L93" s="61">
        <v>0.10000000149011612</v>
      </c>
      <c r="M93" s="134"/>
      <c r="N93" s="123"/>
      <c r="O93" s="123"/>
      <c r="P93" s="123"/>
      <c r="Q93" s="123"/>
      <c r="R93" s="123"/>
      <c r="S93" s="123"/>
      <c r="T93" s="123"/>
      <c r="U93" s="123"/>
      <c r="V93" s="123"/>
    </row>
    <row r="94" spans="1:22" ht="15" customHeight="1" x14ac:dyDescent="0.25">
      <c r="A94" s="132">
        <v>15</v>
      </c>
      <c r="B94" s="132" t="s">
        <v>1107</v>
      </c>
      <c r="C94" s="132" t="s">
        <v>1108</v>
      </c>
      <c r="D94" s="133" t="s">
        <v>1109</v>
      </c>
      <c r="E94" s="135">
        <v>44463</v>
      </c>
      <c r="F94" s="135">
        <v>44742</v>
      </c>
      <c r="G94" s="61">
        <v>0.30000001192092896</v>
      </c>
      <c r="H94" s="61">
        <v>0.69999998807907104</v>
      </c>
      <c r="I94" s="61">
        <v>0</v>
      </c>
      <c r="J94" s="61">
        <v>0</v>
      </c>
      <c r="K94" s="61">
        <v>0</v>
      </c>
      <c r="L94" s="61">
        <v>0</v>
      </c>
      <c r="M94" s="134"/>
      <c r="N94" s="123"/>
      <c r="O94" s="123"/>
      <c r="P94" s="123"/>
      <c r="Q94" s="123"/>
      <c r="R94" s="123"/>
      <c r="S94" s="123"/>
      <c r="T94" s="123"/>
      <c r="U94" s="123"/>
      <c r="V94" s="123"/>
    </row>
    <row r="95" spans="1:22" ht="15" customHeight="1" x14ac:dyDescent="0.25">
      <c r="A95" s="132">
        <v>15</v>
      </c>
      <c r="B95" s="132" t="s">
        <v>1107</v>
      </c>
      <c r="C95" s="132" t="s">
        <v>1110</v>
      </c>
      <c r="D95" s="133" t="s">
        <v>1111</v>
      </c>
      <c r="E95" s="135">
        <v>44743</v>
      </c>
      <c r="F95" s="135">
        <v>45291</v>
      </c>
      <c r="G95" s="61">
        <v>0</v>
      </c>
      <c r="H95" s="61">
        <v>0.13333334028720856</v>
      </c>
      <c r="I95" s="61">
        <v>0.20000000298023224</v>
      </c>
      <c r="J95" s="61">
        <v>0.3333333432674408</v>
      </c>
      <c r="K95" s="61">
        <v>0.3333333432674408</v>
      </c>
      <c r="L95" s="61">
        <v>0</v>
      </c>
      <c r="M95" s="134"/>
      <c r="N95" s="123"/>
      <c r="O95" s="123"/>
      <c r="P95" s="123"/>
      <c r="Q95" s="123"/>
      <c r="R95" s="123"/>
      <c r="S95" s="123"/>
      <c r="T95" s="123"/>
      <c r="U95" s="123"/>
      <c r="V95" s="123"/>
    </row>
    <row r="96" spans="1:22" ht="15" customHeight="1" x14ac:dyDescent="0.25">
      <c r="A96" s="132">
        <v>15</v>
      </c>
      <c r="B96" s="132" t="s">
        <v>1112</v>
      </c>
      <c r="C96" s="132" t="s">
        <v>1113</v>
      </c>
      <c r="D96" s="133" t="s">
        <v>1114</v>
      </c>
      <c r="E96" s="135">
        <v>44463</v>
      </c>
      <c r="F96" s="135">
        <v>44742</v>
      </c>
      <c r="G96" s="61">
        <v>0.20000000298023224</v>
      </c>
      <c r="H96" s="61">
        <v>0.80000001192092896</v>
      </c>
      <c r="I96" s="61">
        <v>0</v>
      </c>
      <c r="J96" s="61">
        <v>0</v>
      </c>
      <c r="K96" s="61">
        <v>0</v>
      </c>
      <c r="L96" s="61">
        <v>0</v>
      </c>
      <c r="M96" s="134"/>
      <c r="N96" s="123"/>
      <c r="O96" s="123"/>
      <c r="P96" s="123"/>
      <c r="Q96" s="123"/>
      <c r="R96" s="123"/>
      <c r="S96" s="123"/>
      <c r="T96" s="123"/>
      <c r="U96" s="123"/>
      <c r="V96" s="123"/>
    </row>
    <row r="97" spans="1:22" ht="15" customHeight="1" x14ac:dyDescent="0.25">
      <c r="A97" s="132">
        <v>15</v>
      </c>
      <c r="B97" s="132" t="s">
        <v>1112</v>
      </c>
      <c r="C97" s="132" t="s">
        <v>1115</v>
      </c>
      <c r="D97" s="133" t="s">
        <v>1116</v>
      </c>
      <c r="E97" s="135">
        <v>44470</v>
      </c>
      <c r="F97" s="135">
        <v>44681</v>
      </c>
      <c r="G97" s="61">
        <v>0.20000000298023224</v>
      </c>
      <c r="H97" s="61">
        <v>0.80000001192092896</v>
      </c>
      <c r="I97" s="61">
        <v>0</v>
      </c>
      <c r="J97" s="61">
        <v>0</v>
      </c>
      <c r="K97" s="61">
        <v>0</v>
      </c>
      <c r="L97" s="61">
        <v>0</v>
      </c>
      <c r="M97" s="134"/>
      <c r="N97" s="123"/>
      <c r="O97" s="123"/>
      <c r="P97" s="123"/>
      <c r="Q97" s="123"/>
      <c r="R97" s="123"/>
      <c r="S97" s="123"/>
      <c r="T97" s="123"/>
      <c r="U97" s="123"/>
      <c r="V97" s="123"/>
    </row>
    <row r="98" spans="1:22" ht="15" customHeight="1" x14ac:dyDescent="0.25">
      <c r="A98" s="132">
        <v>16</v>
      </c>
      <c r="B98" s="132" t="s">
        <v>1117</v>
      </c>
      <c r="C98" s="132" t="s">
        <v>1118</v>
      </c>
      <c r="D98" s="133" t="s">
        <v>1119</v>
      </c>
      <c r="E98" s="135">
        <v>44561</v>
      </c>
      <c r="F98" s="135">
        <v>45115</v>
      </c>
      <c r="G98" s="61">
        <v>0</v>
      </c>
      <c r="H98" s="61">
        <v>0</v>
      </c>
      <c r="I98" s="61">
        <v>5.000000074505806E-2</v>
      </c>
      <c r="J98" s="61">
        <v>0.20000000298023224</v>
      </c>
      <c r="K98" s="61">
        <v>0.75</v>
      </c>
      <c r="L98" s="61">
        <v>0</v>
      </c>
      <c r="M98" s="134"/>
      <c r="N98" s="123"/>
      <c r="O98" s="123"/>
      <c r="P98" s="123"/>
      <c r="Q98" s="123"/>
      <c r="R98" s="123"/>
      <c r="S98" s="123"/>
      <c r="T98" s="123"/>
      <c r="U98" s="123"/>
      <c r="V98" s="123"/>
    </row>
    <row r="99" spans="1:22" ht="15" customHeight="1" x14ac:dyDescent="0.25">
      <c r="A99" s="132">
        <v>16</v>
      </c>
      <c r="B99" s="132" t="s">
        <v>1117</v>
      </c>
      <c r="C99" s="132" t="s">
        <v>1120</v>
      </c>
      <c r="D99" s="133" t="s">
        <v>1121</v>
      </c>
      <c r="E99" s="135">
        <v>44583</v>
      </c>
      <c r="F99" s="135">
        <v>45129</v>
      </c>
      <c r="G99" s="134">
        <v>0</v>
      </c>
      <c r="H99" s="134">
        <v>0</v>
      </c>
      <c r="I99" s="134">
        <v>5.000000074505806E-2</v>
      </c>
      <c r="J99" s="134">
        <v>0.20000000298023224</v>
      </c>
      <c r="K99" s="134">
        <v>0.75</v>
      </c>
      <c r="L99" s="134">
        <v>0</v>
      </c>
      <c r="M99" s="134"/>
      <c r="N99" s="123"/>
      <c r="O99" s="123"/>
      <c r="P99" s="123"/>
      <c r="Q99" s="123"/>
      <c r="R99" s="123"/>
      <c r="S99" s="123"/>
      <c r="T99" s="123"/>
      <c r="U99" s="123"/>
      <c r="V99" s="123"/>
    </row>
    <row r="100" spans="1:22" ht="15" customHeight="1" x14ac:dyDescent="0.25">
      <c r="A100" s="132">
        <v>16</v>
      </c>
      <c r="B100" s="132" t="s">
        <v>1117</v>
      </c>
      <c r="C100" s="132" t="s">
        <v>1122</v>
      </c>
      <c r="D100" s="133" t="s">
        <v>1123</v>
      </c>
      <c r="E100" s="135">
        <v>44479</v>
      </c>
      <c r="F100" s="135">
        <v>45114</v>
      </c>
      <c r="G100" s="134">
        <v>0</v>
      </c>
      <c r="H100" s="134">
        <v>0</v>
      </c>
      <c r="I100" s="134">
        <v>0.40000000596046448</v>
      </c>
      <c r="J100" s="134">
        <v>0.40000000596046448</v>
      </c>
      <c r="K100" s="134">
        <v>0.20000000298023224</v>
      </c>
      <c r="L100" s="134">
        <v>0</v>
      </c>
      <c r="M100" s="134"/>
      <c r="N100" s="123"/>
      <c r="O100" s="123"/>
      <c r="P100" s="123"/>
      <c r="Q100" s="123"/>
      <c r="R100" s="123"/>
      <c r="S100" s="123"/>
      <c r="T100" s="123"/>
      <c r="U100" s="123"/>
      <c r="V100" s="123"/>
    </row>
    <row r="101" spans="1:22" ht="15" customHeight="1" x14ac:dyDescent="0.25">
      <c r="A101" s="132">
        <v>16</v>
      </c>
      <c r="B101" s="132" t="s">
        <v>1117</v>
      </c>
      <c r="C101" s="132" t="s">
        <v>1124</v>
      </c>
      <c r="D101" s="133" t="s">
        <v>1125</v>
      </c>
      <c r="E101" s="135">
        <v>44621</v>
      </c>
      <c r="F101" s="135">
        <v>45267</v>
      </c>
      <c r="G101" s="134">
        <v>0</v>
      </c>
      <c r="H101" s="134">
        <v>0</v>
      </c>
      <c r="I101" s="134">
        <v>0.20000000298023224</v>
      </c>
      <c r="J101" s="134">
        <v>0.20000000298023224</v>
      </c>
      <c r="K101" s="134">
        <v>0.60000002384185791</v>
      </c>
      <c r="L101" s="134">
        <v>0</v>
      </c>
      <c r="M101" s="134"/>
      <c r="N101" s="123"/>
      <c r="O101" s="123"/>
      <c r="P101" s="123"/>
      <c r="Q101" s="123"/>
      <c r="R101" s="123"/>
      <c r="S101" s="123"/>
      <c r="T101" s="123"/>
      <c r="U101" s="123"/>
      <c r="V101" s="123"/>
    </row>
    <row r="102" spans="1:22" ht="15" customHeight="1" x14ac:dyDescent="0.25">
      <c r="A102" s="132">
        <v>16</v>
      </c>
      <c r="B102" s="132" t="s">
        <v>1126</v>
      </c>
      <c r="C102" s="132" t="s">
        <v>1127</v>
      </c>
      <c r="D102" s="133" t="s">
        <v>1128</v>
      </c>
      <c r="E102" s="135">
        <v>44628</v>
      </c>
      <c r="F102" s="135">
        <v>45169</v>
      </c>
      <c r="G102" s="134">
        <v>0</v>
      </c>
      <c r="H102" s="134">
        <v>5.000000074505806E-2</v>
      </c>
      <c r="I102" s="134">
        <v>0.20000000298023224</v>
      </c>
      <c r="J102" s="134">
        <v>0.40000000596046448</v>
      </c>
      <c r="K102" s="134">
        <v>0.34999999403953552</v>
      </c>
      <c r="L102" s="134">
        <v>0</v>
      </c>
      <c r="M102" s="134"/>
      <c r="N102" s="123"/>
      <c r="O102" s="123"/>
      <c r="P102" s="123"/>
      <c r="Q102" s="123"/>
      <c r="R102" s="123"/>
      <c r="S102" s="123"/>
      <c r="T102" s="123"/>
      <c r="U102" s="123"/>
      <c r="V102" s="123"/>
    </row>
    <row r="103" spans="1:22" ht="15" customHeight="1" x14ac:dyDescent="0.25">
      <c r="A103" s="132">
        <v>17</v>
      </c>
      <c r="B103" s="132" t="s">
        <v>1129</v>
      </c>
      <c r="C103" s="132" t="s">
        <v>1130</v>
      </c>
      <c r="D103" s="133" t="s">
        <v>1131</v>
      </c>
      <c r="E103" s="135">
        <v>44423</v>
      </c>
      <c r="F103" s="135">
        <v>44727</v>
      </c>
      <c r="G103" s="134">
        <v>0.10000000149011612</v>
      </c>
      <c r="H103" s="134">
        <v>0.5</v>
      </c>
      <c r="I103" s="134">
        <v>0.40000000596046448</v>
      </c>
      <c r="J103" s="134">
        <v>0</v>
      </c>
      <c r="K103" s="134">
        <v>0</v>
      </c>
      <c r="L103" s="134">
        <v>0</v>
      </c>
      <c r="M103" s="134"/>
      <c r="N103" s="123"/>
      <c r="O103" s="123"/>
      <c r="P103" s="123"/>
      <c r="Q103" s="123"/>
      <c r="R103" s="123"/>
      <c r="S103" s="123"/>
      <c r="T103" s="123"/>
      <c r="U103" s="123"/>
      <c r="V103" s="123"/>
    </row>
    <row r="104" spans="1:22" ht="15" customHeight="1" x14ac:dyDescent="0.25">
      <c r="A104" s="132">
        <v>17</v>
      </c>
      <c r="B104" s="132" t="s">
        <v>1129</v>
      </c>
      <c r="C104" s="132" t="s">
        <v>1132</v>
      </c>
      <c r="D104" s="133" t="s">
        <v>1133</v>
      </c>
      <c r="E104" s="135">
        <v>44576</v>
      </c>
      <c r="F104" s="135">
        <v>45122</v>
      </c>
      <c r="G104" s="134">
        <v>5.000000074505806E-2</v>
      </c>
      <c r="H104" s="134">
        <v>0.30000001192092896</v>
      </c>
      <c r="I104" s="134">
        <v>0.60000002384185791</v>
      </c>
      <c r="J104" s="134">
        <v>5.000000074505806E-2</v>
      </c>
      <c r="K104" s="134">
        <v>0</v>
      </c>
      <c r="L104" s="134">
        <v>0</v>
      </c>
      <c r="M104" s="134"/>
      <c r="N104" s="123"/>
      <c r="O104" s="123"/>
      <c r="P104" s="123"/>
      <c r="Q104" s="123"/>
      <c r="R104" s="123"/>
      <c r="S104" s="123"/>
      <c r="T104" s="123"/>
      <c r="U104" s="123"/>
      <c r="V104" s="123"/>
    </row>
    <row r="105" spans="1:22" ht="15" customHeight="1" x14ac:dyDescent="0.25">
      <c r="A105" s="132">
        <v>17</v>
      </c>
      <c r="B105" s="132" t="s">
        <v>1129</v>
      </c>
      <c r="C105" s="132" t="s">
        <v>1134</v>
      </c>
      <c r="D105" s="133" t="s">
        <v>1135</v>
      </c>
      <c r="E105" s="135">
        <v>44576</v>
      </c>
      <c r="F105" s="135">
        <v>45122</v>
      </c>
      <c r="G105" s="134">
        <v>5.000000074505806E-2</v>
      </c>
      <c r="H105" s="134">
        <v>0.30000001192092896</v>
      </c>
      <c r="I105" s="134">
        <v>0.40000000596046448</v>
      </c>
      <c r="J105" s="134">
        <v>0.25</v>
      </c>
      <c r="K105" s="134">
        <v>0</v>
      </c>
      <c r="L105" s="134">
        <v>0</v>
      </c>
      <c r="M105" s="134"/>
      <c r="N105" s="123"/>
      <c r="O105" s="123"/>
      <c r="P105" s="123"/>
      <c r="Q105" s="123"/>
      <c r="R105" s="123"/>
      <c r="S105" s="123"/>
      <c r="T105" s="123"/>
      <c r="U105" s="123"/>
      <c r="V105" s="123"/>
    </row>
    <row r="106" spans="1:22" ht="15" customHeight="1" x14ac:dyDescent="0.25">
      <c r="A106" s="132">
        <v>17</v>
      </c>
      <c r="B106" s="132" t="s">
        <v>1129</v>
      </c>
      <c r="C106" s="132" t="s">
        <v>1136</v>
      </c>
      <c r="D106" s="133" t="s">
        <v>1137</v>
      </c>
      <c r="E106" s="135">
        <v>45122</v>
      </c>
      <c r="F106" s="135">
        <v>45366</v>
      </c>
      <c r="G106" s="134">
        <v>0</v>
      </c>
      <c r="H106" s="134">
        <v>0</v>
      </c>
      <c r="I106" s="134">
        <v>0</v>
      </c>
      <c r="J106" s="134">
        <v>0</v>
      </c>
      <c r="K106" s="134">
        <v>0.5</v>
      </c>
      <c r="L106" s="134">
        <v>0.5</v>
      </c>
      <c r="M106" s="134"/>
      <c r="N106" s="123"/>
      <c r="O106" s="123"/>
      <c r="P106" s="123"/>
      <c r="Q106" s="123"/>
      <c r="R106" s="123"/>
      <c r="S106" s="123"/>
      <c r="T106" s="123"/>
      <c r="U106" s="123"/>
      <c r="V106" s="123"/>
    </row>
    <row r="107" spans="1:22" ht="15" customHeight="1" x14ac:dyDescent="0.25">
      <c r="A107" s="132">
        <v>17</v>
      </c>
      <c r="B107" s="132" t="s">
        <v>1138</v>
      </c>
      <c r="C107" s="132" t="s">
        <v>1139</v>
      </c>
      <c r="D107" s="133" t="s">
        <v>1140</v>
      </c>
      <c r="E107" s="135">
        <v>44576</v>
      </c>
      <c r="F107" s="135">
        <v>45122</v>
      </c>
      <c r="G107" s="134">
        <v>0</v>
      </c>
      <c r="H107" s="134">
        <v>0.30000001192092896</v>
      </c>
      <c r="I107" s="134">
        <v>0.30000001192092896</v>
      </c>
      <c r="J107" s="134">
        <v>0.40000000596046448</v>
      </c>
      <c r="K107" s="134">
        <v>0</v>
      </c>
      <c r="L107" s="134">
        <v>0</v>
      </c>
      <c r="M107" s="134"/>
      <c r="N107" s="123"/>
      <c r="O107" s="123"/>
      <c r="P107" s="123"/>
      <c r="Q107" s="123"/>
      <c r="R107" s="123"/>
      <c r="S107" s="123"/>
      <c r="T107" s="123"/>
      <c r="U107" s="123"/>
      <c r="V107" s="123"/>
    </row>
    <row r="108" spans="1:22" ht="15" customHeight="1" x14ac:dyDescent="0.25">
      <c r="A108" s="132">
        <v>17</v>
      </c>
      <c r="B108" s="132" t="s">
        <v>1138</v>
      </c>
      <c r="C108" s="132" t="s">
        <v>1141</v>
      </c>
      <c r="D108" s="133" t="s">
        <v>1142</v>
      </c>
      <c r="E108" s="135">
        <v>45122</v>
      </c>
      <c r="F108" s="135">
        <v>45366</v>
      </c>
      <c r="G108" s="134">
        <v>0</v>
      </c>
      <c r="H108" s="134">
        <v>0</v>
      </c>
      <c r="I108" s="134">
        <v>0</v>
      </c>
      <c r="J108" s="134">
        <v>0</v>
      </c>
      <c r="K108" s="134">
        <v>0.5</v>
      </c>
      <c r="L108" s="134">
        <v>0.5</v>
      </c>
      <c r="M108" s="134"/>
      <c r="N108" s="123"/>
      <c r="O108" s="123"/>
      <c r="P108" s="123"/>
      <c r="Q108" s="123"/>
      <c r="R108" s="123"/>
      <c r="S108" s="123"/>
      <c r="T108" s="123"/>
      <c r="U108" s="123"/>
      <c r="V108" s="123"/>
    </row>
    <row r="109" spans="1:22" ht="15" customHeight="1" x14ac:dyDescent="0.25">
      <c r="A109" s="132">
        <v>17</v>
      </c>
      <c r="B109" s="132" t="s">
        <v>1138</v>
      </c>
      <c r="C109" s="132" t="s">
        <v>1143</v>
      </c>
      <c r="D109" s="133" t="s">
        <v>1144</v>
      </c>
      <c r="E109" s="135">
        <v>44576</v>
      </c>
      <c r="F109" s="135">
        <v>45366</v>
      </c>
      <c r="G109" s="134">
        <v>0</v>
      </c>
      <c r="H109" s="134">
        <v>0.10000000149011612</v>
      </c>
      <c r="I109" s="134">
        <v>0.20000000298023224</v>
      </c>
      <c r="J109" s="134">
        <v>0.20000000298023224</v>
      </c>
      <c r="K109" s="134">
        <v>0.30000001192092896</v>
      </c>
      <c r="L109" s="134">
        <v>0.20000000298023224</v>
      </c>
      <c r="M109" s="134"/>
      <c r="N109" s="123"/>
      <c r="O109" s="123"/>
      <c r="P109" s="123"/>
      <c r="Q109" s="123"/>
      <c r="R109" s="123"/>
      <c r="S109" s="123"/>
      <c r="T109" s="123"/>
      <c r="U109" s="123"/>
      <c r="V109" s="123"/>
    </row>
    <row r="110" spans="1:22" ht="15" customHeight="1" x14ac:dyDescent="0.25">
      <c r="A110" s="132">
        <v>17</v>
      </c>
      <c r="B110" s="132" t="s">
        <v>1145</v>
      </c>
      <c r="C110" s="132" t="s">
        <v>1146</v>
      </c>
      <c r="D110" s="133" t="s">
        <v>1147</v>
      </c>
      <c r="E110" s="135">
        <v>44576</v>
      </c>
      <c r="F110" s="135">
        <v>45275</v>
      </c>
      <c r="G110" s="134">
        <v>0</v>
      </c>
      <c r="H110" s="134">
        <v>0.20000000298023224</v>
      </c>
      <c r="I110" s="134">
        <v>0.20000000298023224</v>
      </c>
      <c r="J110" s="134">
        <v>0.30000001192092896</v>
      </c>
      <c r="K110" s="134">
        <v>0.30000001192092896</v>
      </c>
      <c r="L110" s="134">
        <v>0</v>
      </c>
      <c r="M110" s="134"/>
      <c r="N110" s="123"/>
      <c r="O110" s="123"/>
      <c r="P110" s="123"/>
      <c r="Q110" s="123"/>
      <c r="R110" s="123"/>
      <c r="S110" s="123"/>
      <c r="T110" s="123"/>
      <c r="U110" s="123"/>
      <c r="V110" s="123"/>
    </row>
    <row r="111" spans="1:22" ht="15" customHeight="1" x14ac:dyDescent="0.25">
      <c r="A111" s="132">
        <v>17</v>
      </c>
      <c r="B111" s="132" t="s">
        <v>1145</v>
      </c>
      <c r="C111" s="132" t="s">
        <v>1148</v>
      </c>
      <c r="D111" s="133" t="s">
        <v>1149</v>
      </c>
      <c r="E111" s="135">
        <v>44576</v>
      </c>
      <c r="F111" s="135">
        <v>45275</v>
      </c>
      <c r="G111" s="134">
        <v>0</v>
      </c>
      <c r="H111" s="134">
        <v>0.10000000149011612</v>
      </c>
      <c r="I111" s="134">
        <v>0.30000001192092896</v>
      </c>
      <c r="J111" s="134">
        <v>0.30000001192092896</v>
      </c>
      <c r="K111" s="134">
        <v>0.30000001192092896</v>
      </c>
      <c r="L111" s="134">
        <v>0</v>
      </c>
      <c r="M111" s="134"/>
      <c r="N111" s="123"/>
      <c r="O111" s="123"/>
      <c r="P111" s="123"/>
      <c r="Q111" s="123"/>
      <c r="R111" s="123"/>
      <c r="S111" s="123"/>
      <c r="T111" s="123"/>
      <c r="U111" s="123"/>
      <c r="V111" s="123"/>
    </row>
    <row r="112" spans="1:22" ht="15" customHeight="1" x14ac:dyDescent="0.25">
      <c r="A112" s="132">
        <v>17</v>
      </c>
      <c r="B112" s="132" t="s">
        <v>1145</v>
      </c>
      <c r="C112" s="132" t="s">
        <v>1150</v>
      </c>
      <c r="D112" s="133" t="s">
        <v>1151</v>
      </c>
      <c r="E112" s="135">
        <v>44576</v>
      </c>
      <c r="F112" s="135">
        <v>45275</v>
      </c>
      <c r="G112" s="134">
        <v>0</v>
      </c>
      <c r="H112" s="134">
        <v>0.20000000298023224</v>
      </c>
      <c r="I112" s="134">
        <v>0.20000000298023224</v>
      </c>
      <c r="J112" s="134">
        <v>0.30000001192092896</v>
      </c>
      <c r="K112" s="134">
        <v>0.30000001192092896</v>
      </c>
      <c r="L112" s="134">
        <v>0</v>
      </c>
      <c r="M112" s="134"/>
      <c r="N112" s="123"/>
      <c r="O112" s="123"/>
      <c r="P112" s="123"/>
      <c r="Q112" s="123"/>
      <c r="R112" s="123"/>
      <c r="S112" s="123"/>
      <c r="T112" s="123"/>
      <c r="U112" s="123"/>
      <c r="V112" s="123"/>
    </row>
    <row r="113" spans="1:22" ht="15" customHeight="1" x14ac:dyDescent="0.25">
      <c r="A113" s="132">
        <v>17</v>
      </c>
      <c r="B113" s="132" t="s">
        <v>1145</v>
      </c>
      <c r="C113" s="132" t="s">
        <v>1152</v>
      </c>
      <c r="D113" s="133" t="s">
        <v>1153</v>
      </c>
      <c r="E113" s="135">
        <v>45122</v>
      </c>
      <c r="F113" s="135">
        <v>45366</v>
      </c>
      <c r="G113" s="61">
        <v>0</v>
      </c>
      <c r="H113" s="61">
        <v>0</v>
      </c>
      <c r="I113" s="61">
        <v>0</v>
      </c>
      <c r="J113" s="61">
        <v>0</v>
      </c>
      <c r="K113" s="61">
        <v>0.5</v>
      </c>
      <c r="L113" s="61">
        <v>0.5</v>
      </c>
      <c r="M113" s="134"/>
      <c r="N113" s="123"/>
      <c r="O113" s="123"/>
      <c r="P113" s="123"/>
      <c r="Q113" s="123"/>
      <c r="R113" s="123"/>
      <c r="S113" s="123"/>
      <c r="T113" s="123"/>
      <c r="U113" s="123"/>
      <c r="V113" s="123"/>
    </row>
    <row r="114" spans="1:22" ht="15" customHeight="1" x14ac:dyDescent="0.25">
      <c r="A114" s="132">
        <v>17</v>
      </c>
      <c r="B114" s="132" t="s">
        <v>1154</v>
      </c>
      <c r="C114" s="132" t="s">
        <v>1155</v>
      </c>
      <c r="D114" s="133" t="s">
        <v>1156</v>
      </c>
      <c r="E114" s="135">
        <v>44576</v>
      </c>
      <c r="F114" s="135">
        <v>45275</v>
      </c>
      <c r="G114" s="61">
        <v>0</v>
      </c>
      <c r="H114" s="61">
        <v>0.20000000298023224</v>
      </c>
      <c r="I114" s="61">
        <v>0.20000000298023224</v>
      </c>
      <c r="J114" s="61">
        <v>0.20000000298023224</v>
      </c>
      <c r="K114" s="61">
        <v>0.40000000596046448</v>
      </c>
      <c r="L114" s="61">
        <v>0</v>
      </c>
      <c r="M114" s="134"/>
      <c r="N114" s="123"/>
      <c r="O114" s="123"/>
      <c r="P114" s="123"/>
      <c r="Q114" s="123"/>
      <c r="R114" s="123"/>
      <c r="S114" s="123"/>
      <c r="T114" s="123"/>
      <c r="U114" s="123"/>
      <c r="V114" s="123"/>
    </row>
    <row r="115" spans="1:22" ht="15" customHeight="1" x14ac:dyDescent="0.25">
      <c r="A115" s="132">
        <v>17</v>
      </c>
      <c r="B115" s="132" t="s">
        <v>1154</v>
      </c>
      <c r="C115" s="132" t="s">
        <v>1157</v>
      </c>
      <c r="D115" s="133" t="s">
        <v>1158</v>
      </c>
      <c r="E115" s="135">
        <v>44576</v>
      </c>
      <c r="F115" s="135">
        <v>45275</v>
      </c>
      <c r="G115" s="61">
        <v>0</v>
      </c>
      <c r="H115" s="61">
        <v>0.20000000298023224</v>
      </c>
      <c r="I115" s="61">
        <v>0.25</v>
      </c>
      <c r="J115" s="61">
        <v>0.25</v>
      </c>
      <c r="K115" s="61">
        <v>0.20000000298023224</v>
      </c>
      <c r="L115" s="61">
        <v>0.10000000149011612</v>
      </c>
      <c r="M115" s="134"/>
      <c r="N115" s="123"/>
      <c r="O115" s="123"/>
      <c r="P115" s="123"/>
      <c r="Q115" s="123"/>
      <c r="R115" s="123"/>
      <c r="S115" s="123"/>
      <c r="T115" s="123"/>
      <c r="U115" s="123"/>
      <c r="V115" s="123"/>
    </row>
    <row r="116" spans="1:22" ht="15" customHeight="1" x14ac:dyDescent="0.25">
      <c r="A116" s="132">
        <v>17</v>
      </c>
      <c r="B116" s="132" t="s">
        <v>1154</v>
      </c>
      <c r="C116" s="132" t="s">
        <v>1159</v>
      </c>
      <c r="D116" s="133" t="s">
        <v>1160</v>
      </c>
      <c r="E116" s="135">
        <v>45122</v>
      </c>
      <c r="F116" s="135">
        <v>45366</v>
      </c>
      <c r="G116" s="61">
        <v>0</v>
      </c>
      <c r="H116" s="61">
        <v>0</v>
      </c>
      <c r="I116" s="61">
        <v>0</v>
      </c>
      <c r="J116" s="61">
        <v>0</v>
      </c>
      <c r="K116" s="61">
        <v>0.5</v>
      </c>
      <c r="L116" s="61">
        <v>0.5</v>
      </c>
      <c r="M116" s="134"/>
      <c r="N116" s="123"/>
      <c r="O116" s="123"/>
      <c r="P116" s="123"/>
      <c r="Q116" s="123"/>
      <c r="R116" s="123"/>
      <c r="S116" s="123"/>
      <c r="T116" s="123"/>
      <c r="U116" s="123"/>
      <c r="V116" s="123"/>
    </row>
    <row r="117" spans="1:22" ht="15" customHeight="1" x14ac:dyDescent="0.25">
      <c r="A117" s="132">
        <v>18</v>
      </c>
      <c r="B117" s="132" t="s">
        <v>1161</v>
      </c>
      <c r="C117" s="132" t="s">
        <v>1162</v>
      </c>
      <c r="D117" s="133" t="s">
        <v>1163</v>
      </c>
      <c r="E117" s="135">
        <v>44515</v>
      </c>
      <c r="F117" s="135">
        <v>44681</v>
      </c>
      <c r="G117" s="61">
        <v>0.10000000149011612</v>
      </c>
      <c r="H117" s="61">
        <v>0.89999997615814209</v>
      </c>
      <c r="I117" s="61">
        <v>0</v>
      </c>
      <c r="J117" s="61">
        <v>0</v>
      </c>
      <c r="K117" s="61">
        <v>0</v>
      </c>
      <c r="L117" s="61">
        <v>0</v>
      </c>
      <c r="M117" s="134"/>
      <c r="N117" s="123"/>
      <c r="O117" s="123"/>
      <c r="P117" s="123"/>
      <c r="Q117" s="123"/>
      <c r="R117" s="123"/>
      <c r="S117" s="123"/>
      <c r="T117" s="123"/>
      <c r="U117" s="123"/>
      <c r="V117" s="123"/>
    </row>
    <row r="118" spans="1:22" ht="15" customHeight="1" x14ac:dyDescent="0.25">
      <c r="A118" s="132">
        <v>18</v>
      </c>
      <c r="B118" s="132" t="s">
        <v>1161</v>
      </c>
      <c r="C118" s="132" t="s">
        <v>1164</v>
      </c>
      <c r="D118" s="133" t="s">
        <v>1165</v>
      </c>
      <c r="E118" s="135">
        <v>44578</v>
      </c>
      <c r="F118" s="135">
        <v>44711</v>
      </c>
      <c r="G118" s="61">
        <v>0</v>
      </c>
      <c r="H118" s="61">
        <v>1</v>
      </c>
      <c r="I118" s="61">
        <v>0</v>
      </c>
      <c r="J118" s="61">
        <v>0</v>
      </c>
      <c r="K118" s="61">
        <v>0</v>
      </c>
      <c r="L118" s="61">
        <v>0</v>
      </c>
      <c r="M118" s="134"/>
      <c r="N118" s="123"/>
      <c r="O118" s="123"/>
      <c r="P118" s="123"/>
      <c r="Q118" s="123"/>
      <c r="R118" s="123"/>
      <c r="S118" s="123"/>
      <c r="T118" s="123"/>
      <c r="U118" s="123"/>
      <c r="V118" s="123"/>
    </row>
    <row r="119" spans="1:22" ht="15" customHeight="1" x14ac:dyDescent="0.25">
      <c r="A119" s="132">
        <v>18</v>
      </c>
      <c r="B119" s="132" t="s">
        <v>1161</v>
      </c>
      <c r="C119" s="132" t="s">
        <v>1166</v>
      </c>
      <c r="D119" s="133" t="s">
        <v>1167</v>
      </c>
      <c r="E119" s="135">
        <v>44599</v>
      </c>
      <c r="F119" s="135">
        <v>45245</v>
      </c>
      <c r="G119" s="134">
        <v>0</v>
      </c>
      <c r="H119" s="134">
        <v>0.25</v>
      </c>
      <c r="I119" s="134">
        <v>0.25</v>
      </c>
      <c r="J119" s="134">
        <v>0.25</v>
      </c>
      <c r="K119" s="134">
        <v>0.25</v>
      </c>
      <c r="L119" s="134">
        <v>0</v>
      </c>
      <c r="M119" s="134"/>
      <c r="N119" s="123"/>
      <c r="O119" s="123"/>
      <c r="P119" s="123"/>
      <c r="Q119" s="123"/>
      <c r="R119" s="123"/>
      <c r="S119" s="123"/>
      <c r="T119" s="123"/>
      <c r="U119" s="123"/>
      <c r="V119" s="123"/>
    </row>
    <row r="120" spans="1:22" ht="15" customHeight="1" x14ac:dyDescent="0.25">
      <c r="A120" s="132">
        <v>18</v>
      </c>
      <c r="B120" s="132" t="s">
        <v>1168</v>
      </c>
      <c r="C120" s="132" t="s">
        <v>1169</v>
      </c>
      <c r="D120" s="133" t="s">
        <v>1170</v>
      </c>
      <c r="E120" s="135">
        <v>44440</v>
      </c>
      <c r="F120" s="135">
        <v>44607</v>
      </c>
      <c r="G120" s="134">
        <v>0.69999998807907104</v>
      </c>
      <c r="H120" s="134">
        <v>0.30000001192092896</v>
      </c>
      <c r="I120" s="134">
        <v>0</v>
      </c>
      <c r="J120" s="134">
        <v>0</v>
      </c>
      <c r="K120" s="134">
        <v>0</v>
      </c>
      <c r="L120" s="134">
        <v>0</v>
      </c>
      <c r="M120" s="134"/>
      <c r="N120" s="123"/>
      <c r="O120" s="123"/>
      <c r="P120" s="123"/>
      <c r="Q120" s="123"/>
      <c r="R120" s="123"/>
      <c r="S120" s="123"/>
      <c r="T120" s="123"/>
      <c r="U120" s="123"/>
      <c r="V120" s="123"/>
    </row>
    <row r="121" spans="1:22" ht="15" customHeight="1" x14ac:dyDescent="0.25">
      <c r="A121" s="132">
        <v>18</v>
      </c>
      <c r="B121" s="132" t="s">
        <v>1168</v>
      </c>
      <c r="C121" s="132" t="s">
        <v>1171</v>
      </c>
      <c r="D121" s="133" t="s">
        <v>1172</v>
      </c>
      <c r="E121" s="135">
        <v>44484</v>
      </c>
      <c r="F121" s="135">
        <v>44681</v>
      </c>
      <c r="G121" s="134">
        <v>0.69999998807907104</v>
      </c>
      <c r="H121" s="134">
        <v>0.30000001192092896</v>
      </c>
      <c r="I121" s="134">
        <v>0</v>
      </c>
      <c r="J121" s="134">
        <v>0</v>
      </c>
      <c r="K121" s="134">
        <v>0</v>
      </c>
      <c r="L121" s="134">
        <v>0</v>
      </c>
      <c r="M121" s="134"/>
      <c r="N121" s="123"/>
      <c r="O121" s="123"/>
      <c r="P121" s="123"/>
      <c r="Q121" s="123"/>
      <c r="R121" s="123"/>
      <c r="S121" s="123"/>
      <c r="T121" s="123"/>
      <c r="U121" s="123"/>
      <c r="V121" s="123"/>
    </row>
    <row r="122" spans="1:22" ht="15" customHeight="1" x14ac:dyDescent="0.25">
      <c r="A122" s="132">
        <v>18</v>
      </c>
      <c r="B122" s="132" t="s">
        <v>1168</v>
      </c>
      <c r="C122" s="132" t="s">
        <v>1173</v>
      </c>
      <c r="D122" s="133" t="s">
        <v>1174</v>
      </c>
      <c r="E122" s="135">
        <v>44697</v>
      </c>
      <c r="F122" s="135">
        <v>44849</v>
      </c>
      <c r="G122" s="134">
        <v>0</v>
      </c>
      <c r="H122" s="134">
        <v>0.20000000298023224</v>
      </c>
      <c r="I122" s="134">
        <v>0.80000001192092896</v>
      </c>
      <c r="J122" s="134">
        <v>0</v>
      </c>
      <c r="K122" s="134">
        <v>0</v>
      </c>
      <c r="L122" s="134">
        <v>0</v>
      </c>
      <c r="M122" s="134"/>
      <c r="N122" s="123"/>
      <c r="O122" s="123"/>
      <c r="P122" s="123"/>
      <c r="Q122" s="123"/>
      <c r="R122" s="123"/>
      <c r="S122" s="123"/>
      <c r="T122" s="123"/>
      <c r="U122" s="123"/>
      <c r="V122" s="123"/>
    </row>
    <row r="123" spans="1:22" ht="15" customHeight="1" x14ac:dyDescent="0.25">
      <c r="A123" s="132">
        <v>19</v>
      </c>
      <c r="B123" s="132" t="s">
        <v>1175</v>
      </c>
      <c r="C123" s="132" t="s">
        <v>1176</v>
      </c>
      <c r="D123" s="133" t="s">
        <v>1177</v>
      </c>
      <c r="E123" s="135">
        <v>44440</v>
      </c>
      <c r="F123" s="135">
        <v>44896</v>
      </c>
      <c r="G123" s="134">
        <v>5.000000074505806E-2</v>
      </c>
      <c r="H123" s="134">
        <v>0.5</v>
      </c>
      <c r="I123" s="134">
        <v>0.44999998807907104</v>
      </c>
      <c r="J123" s="134">
        <v>0</v>
      </c>
      <c r="K123" s="134">
        <v>0</v>
      </c>
      <c r="L123" s="134">
        <v>0</v>
      </c>
      <c r="M123" s="134"/>
      <c r="N123" s="123"/>
      <c r="O123" s="123"/>
      <c r="P123" s="123"/>
      <c r="Q123" s="123"/>
      <c r="R123" s="123"/>
      <c r="S123" s="123"/>
      <c r="T123" s="123"/>
      <c r="U123" s="123"/>
      <c r="V123" s="123"/>
    </row>
    <row r="124" spans="1:22" ht="15" customHeight="1" x14ac:dyDescent="0.25">
      <c r="A124" s="132">
        <v>19</v>
      </c>
      <c r="B124" s="132" t="s">
        <v>1175</v>
      </c>
      <c r="C124" s="132" t="s">
        <v>1178</v>
      </c>
      <c r="D124" s="133" t="s">
        <v>1179</v>
      </c>
      <c r="E124" s="135">
        <v>44956</v>
      </c>
      <c r="F124" s="135">
        <v>45321</v>
      </c>
      <c r="G124" s="134">
        <v>0</v>
      </c>
      <c r="H124" s="134">
        <v>0</v>
      </c>
      <c r="I124" s="134">
        <v>0</v>
      </c>
      <c r="J124" s="134">
        <v>0.44999998807907104</v>
      </c>
      <c r="K124" s="134">
        <v>0.44999998807907104</v>
      </c>
      <c r="L124" s="134">
        <v>0.10000000149011612</v>
      </c>
      <c r="M124" s="134"/>
      <c r="N124" s="123"/>
      <c r="O124" s="123"/>
      <c r="P124" s="123"/>
      <c r="Q124" s="123"/>
      <c r="R124" s="123"/>
      <c r="S124" s="123"/>
      <c r="T124" s="123"/>
      <c r="U124" s="123"/>
      <c r="V124" s="123"/>
    </row>
    <row r="125" spans="1:22" ht="15" customHeight="1" x14ac:dyDescent="0.25">
      <c r="A125" s="132">
        <v>19</v>
      </c>
      <c r="B125" s="132" t="s">
        <v>1180</v>
      </c>
      <c r="C125" s="132" t="s">
        <v>1181</v>
      </c>
      <c r="D125" s="133" t="s">
        <v>1182</v>
      </c>
      <c r="E125" s="135">
        <v>44440</v>
      </c>
      <c r="F125" s="135">
        <v>44896</v>
      </c>
      <c r="G125" s="134">
        <v>5.000000074505806E-2</v>
      </c>
      <c r="H125" s="134">
        <v>0.5</v>
      </c>
      <c r="I125" s="134">
        <v>0.44999998807907104</v>
      </c>
      <c r="J125" s="134">
        <v>0</v>
      </c>
      <c r="K125" s="134">
        <v>0</v>
      </c>
      <c r="L125" s="134">
        <v>0</v>
      </c>
      <c r="M125" s="134"/>
      <c r="N125" s="123"/>
      <c r="O125" s="123"/>
      <c r="P125" s="123"/>
      <c r="Q125" s="123"/>
      <c r="R125" s="123"/>
      <c r="S125" s="123"/>
      <c r="T125" s="123"/>
      <c r="U125" s="123"/>
      <c r="V125" s="123"/>
    </row>
    <row r="126" spans="1:22" ht="15" customHeight="1" x14ac:dyDescent="0.25">
      <c r="A126" s="132">
        <v>19</v>
      </c>
      <c r="B126" s="132" t="s">
        <v>1180</v>
      </c>
      <c r="C126" s="132" t="s">
        <v>1183</v>
      </c>
      <c r="D126" s="133" t="s">
        <v>1184</v>
      </c>
      <c r="E126" s="135">
        <v>44958</v>
      </c>
      <c r="F126" s="135">
        <v>45352</v>
      </c>
      <c r="G126" s="134">
        <v>0</v>
      </c>
      <c r="H126" s="134">
        <v>0</v>
      </c>
      <c r="I126" s="134">
        <v>0</v>
      </c>
      <c r="J126" s="134">
        <v>0.44999998807907104</v>
      </c>
      <c r="K126" s="134">
        <v>0.44999998807907104</v>
      </c>
      <c r="L126" s="134">
        <v>0.10000000149011612</v>
      </c>
      <c r="M126" s="134"/>
      <c r="N126" s="123"/>
      <c r="O126" s="123"/>
      <c r="P126" s="123"/>
      <c r="Q126" s="123"/>
      <c r="R126" s="123"/>
      <c r="S126" s="123"/>
      <c r="T126" s="123"/>
      <c r="U126" s="123"/>
      <c r="V126" s="123"/>
    </row>
    <row r="127" spans="1:22" ht="15" customHeight="1" x14ac:dyDescent="0.25">
      <c r="A127" s="132">
        <v>19</v>
      </c>
      <c r="B127" s="132" t="s">
        <v>1180</v>
      </c>
      <c r="C127" s="132" t="s">
        <v>1185</v>
      </c>
      <c r="D127" s="133" t="s">
        <v>1186</v>
      </c>
      <c r="E127" s="135">
        <v>44594</v>
      </c>
      <c r="F127" s="135">
        <v>45261</v>
      </c>
      <c r="G127" s="134">
        <v>0</v>
      </c>
      <c r="H127" s="134">
        <v>0.25</v>
      </c>
      <c r="I127" s="134">
        <v>0.25</v>
      </c>
      <c r="J127" s="134">
        <v>0.25</v>
      </c>
      <c r="K127" s="134">
        <v>0.25</v>
      </c>
      <c r="L127" s="134">
        <v>0</v>
      </c>
      <c r="M127" s="134"/>
      <c r="N127" s="123"/>
      <c r="O127" s="123"/>
      <c r="P127" s="123"/>
      <c r="Q127" s="123"/>
      <c r="R127" s="123"/>
      <c r="S127" s="123"/>
      <c r="T127" s="123"/>
      <c r="U127" s="123"/>
      <c r="V127" s="123"/>
    </row>
    <row r="128" spans="1:22" ht="15" customHeight="1" x14ac:dyDescent="0.25">
      <c r="A128" s="132">
        <v>19</v>
      </c>
      <c r="B128" s="132" t="s">
        <v>1187</v>
      </c>
      <c r="C128" s="132" t="s">
        <v>1188</v>
      </c>
      <c r="D128" s="133" t="s">
        <v>1189</v>
      </c>
      <c r="E128" s="135">
        <v>44774</v>
      </c>
      <c r="F128" s="135">
        <v>45139</v>
      </c>
      <c r="G128" s="134">
        <v>0</v>
      </c>
      <c r="H128" s="134">
        <v>0</v>
      </c>
      <c r="I128" s="134">
        <v>0.20000000298023224</v>
      </c>
      <c r="J128" s="134">
        <v>0.5</v>
      </c>
      <c r="K128" s="134">
        <v>0.30000001192092896</v>
      </c>
      <c r="L128" s="134">
        <v>0</v>
      </c>
      <c r="M128" s="134"/>
      <c r="N128" s="123"/>
      <c r="O128" s="123"/>
      <c r="P128" s="123"/>
      <c r="Q128" s="123"/>
      <c r="R128" s="123"/>
      <c r="S128" s="123"/>
      <c r="T128" s="123"/>
      <c r="U128" s="123"/>
      <c r="V128" s="123"/>
    </row>
    <row r="129" spans="1:22" ht="15" customHeight="1" x14ac:dyDescent="0.25">
      <c r="A129" s="132">
        <v>19</v>
      </c>
      <c r="B129" s="132" t="s">
        <v>1187</v>
      </c>
      <c r="C129" s="132" t="s">
        <v>1190</v>
      </c>
      <c r="D129" s="133" t="s">
        <v>1191</v>
      </c>
      <c r="E129" s="135">
        <v>44440</v>
      </c>
      <c r="F129" s="135">
        <v>45352</v>
      </c>
      <c r="G129" s="134">
        <v>5.000000074505806E-2</v>
      </c>
      <c r="H129" s="134">
        <v>0.25</v>
      </c>
      <c r="I129" s="134">
        <v>0.25</v>
      </c>
      <c r="J129" s="134">
        <v>0.25</v>
      </c>
      <c r="K129" s="134">
        <v>0.15000000596046448</v>
      </c>
      <c r="L129" s="134">
        <v>5.000000074505806E-2</v>
      </c>
      <c r="M129" s="134"/>
      <c r="N129" s="123"/>
      <c r="O129" s="123"/>
      <c r="P129" s="123"/>
      <c r="Q129" s="123"/>
      <c r="R129" s="123"/>
      <c r="S129" s="123"/>
      <c r="T129" s="123"/>
      <c r="U129" s="123"/>
      <c r="V129" s="123"/>
    </row>
    <row r="130" spans="1:22" ht="15" customHeight="1" x14ac:dyDescent="0.25">
      <c r="A130" s="132">
        <v>19</v>
      </c>
      <c r="B130" s="132" t="s">
        <v>1187</v>
      </c>
      <c r="C130" s="132" t="s">
        <v>1192</v>
      </c>
      <c r="D130" s="133" t="s">
        <v>1193</v>
      </c>
      <c r="E130" s="135">
        <v>44440</v>
      </c>
      <c r="F130" s="135">
        <v>45352</v>
      </c>
      <c r="G130" s="134">
        <v>5.000000074505806E-2</v>
      </c>
      <c r="H130" s="134">
        <v>0.20000000298023224</v>
      </c>
      <c r="I130" s="134">
        <v>0.20000000298023224</v>
      </c>
      <c r="J130" s="134">
        <v>0.30000001192092896</v>
      </c>
      <c r="K130" s="134">
        <v>0.20000000298023224</v>
      </c>
      <c r="L130" s="134">
        <v>5.000000074505806E-2</v>
      </c>
      <c r="M130" s="134"/>
      <c r="N130" s="123"/>
      <c r="O130" s="123"/>
      <c r="P130" s="123"/>
      <c r="Q130" s="123"/>
      <c r="R130" s="123"/>
      <c r="S130" s="123"/>
      <c r="T130" s="123"/>
      <c r="U130" s="123"/>
      <c r="V130" s="123"/>
    </row>
    <row r="131" spans="1:22" ht="15" customHeight="1" x14ac:dyDescent="0.25">
      <c r="A131" s="132">
        <v>19</v>
      </c>
      <c r="B131" s="132" t="s">
        <v>1187</v>
      </c>
      <c r="C131" s="132" t="s">
        <v>1194</v>
      </c>
      <c r="D131" s="133" t="s">
        <v>1195</v>
      </c>
      <c r="E131" s="135">
        <v>44440</v>
      </c>
      <c r="F131" s="135">
        <v>45352</v>
      </c>
      <c r="G131" s="134">
        <v>5.000000074505806E-2</v>
      </c>
      <c r="H131" s="134">
        <v>0.20000000298023224</v>
      </c>
      <c r="I131" s="134">
        <v>0.20000000298023224</v>
      </c>
      <c r="J131" s="134">
        <v>0.30000001192092896</v>
      </c>
      <c r="K131" s="134">
        <v>0.20000000298023224</v>
      </c>
      <c r="L131" s="134">
        <v>5.000000074505806E-2</v>
      </c>
      <c r="M131" s="134"/>
      <c r="N131" s="123"/>
      <c r="O131" s="123"/>
      <c r="P131" s="123"/>
      <c r="Q131" s="123"/>
      <c r="R131" s="123"/>
      <c r="S131" s="123"/>
      <c r="T131" s="123"/>
      <c r="U131" s="123"/>
      <c r="V131" s="123"/>
    </row>
    <row r="132" spans="1:22" ht="15" customHeight="1" x14ac:dyDescent="0.25">
      <c r="A132" s="132">
        <v>19</v>
      </c>
      <c r="B132" s="132" t="s">
        <v>1196</v>
      </c>
      <c r="C132" s="132" t="s">
        <v>1197</v>
      </c>
      <c r="D132" s="133" t="s">
        <v>1198</v>
      </c>
      <c r="E132" s="135">
        <v>44409</v>
      </c>
      <c r="F132" s="135">
        <v>45381</v>
      </c>
      <c r="G132" s="134">
        <v>5.000000074505806E-2</v>
      </c>
      <c r="H132" s="134">
        <v>0.15000000596046448</v>
      </c>
      <c r="I132" s="134">
        <v>0.25</v>
      </c>
      <c r="J132" s="134">
        <v>0.25</v>
      </c>
      <c r="K132" s="134">
        <v>0.25</v>
      </c>
      <c r="L132" s="134">
        <v>5.000000074505806E-2</v>
      </c>
      <c r="M132" s="134"/>
      <c r="N132" s="123"/>
      <c r="O132" s="123"/>
      <c r="P132" s="123"/>
      <c r="Q132" s="123"/>
      <c r="R132" s="123"/>
      <c r="S132" s="123"/>
      <c r="T132" s="123"/>
      <c r="U132" s="123"/>
      <c r="V132" s="123"/>
    </row>
    <row r="133" spans="1:22" ht="15" customHeight="1" x14ac:dyDescent="0.25">
      <c r="A133" s="132">
        <v>19</v>
      </c>
      <c r="B133" s="132" t="s">
        <v>1196</v>
      </c>
      <c r="C133" s="132" t="s">
        <v>1199</v>
      </c>
      <c r="D133" s="133" t="s">
        <v>1200</v>
      </c>
      <c r="E133" s="135">
        <v>44409</v>
      </c>
      <c r="F133" s="135">
        <v>45381</v>
      </c>
      <c r="G133" s="134">
        <v>5.000000074505806E-2</v>
      </c>
      <c r="H133" s="134">
        <v>0.15000000596046448</v>
      </c>
      <c r="I133" s="134">
        <v>0.25</v>
      </c>
      <c r="J133" s="134">
        <v>0.25</v>
      </c>
      <c r="K133" s="134">
        <v>0.25</v>
      </c>
      <c r="L133" s="134">
        <v>5.000000074505806E-2</v>
      </c>
      <c r="M133" s="134"/>
      <c r="N133" s="123"/>
      <c r="O133" s="123"/>
      <c r="P133" s="123"/>
      <c r="Q133" s="123"/>
      <c r="R133" s="123"/>
      <c r="S133" s="123"/>
      <c r="T133" s="123"/>
      <c r="U133" s="123"/>
      <c r="V133" s="123"/>
    </row>
    <row r="134" spans="1:22" ht="15" customHeight="1" x14ac:dyDescent="0.25">
      <c r="A134" s="132">
        <v>19</v>
      </c>
      <c r="B134" s="132" t="s">
        <v>1196</v>
      </c>
      <c r="C134" s="132" t="s">
        <v>1201</v>
      </c>
      <c r="D134" s="133" t="s">
        <v>1202</v>
      </c>
      <c r="E134" s="135">
        <v>44409</v>
      </c>
      <c r="F134" s="135">
        <v>45381</v>
      </c>
      <c r="G134" s="134">
        <v>5.000000074505806E-2</v>
      </c>
      <c r="H134" s="134">
        <v>0.15000000596046448</v>
      </c>
      <c r="I134" s="134">
        <v>0.25</v>
      </c>
      <c r="J134" s="134">
        <v>0.25</v>
      </c>
      <c r="K134" s="134">
        <v>0.25</v>
      </c>
      <c r="L134" s="134">
        <v>5.000000074505806E-2</v>
      </c>
      <c r="M134" s="134"/>
      <c r="N134" s="123"/>
      <c r="O134" s="123"/>
      <c r="P134" s="123"/>
      <c r="Q134" s="123"/>
      <c r="R134" s="123"/>
      <c r="S134" s="123"/>
      <c r="T134" s="123"/>
      <c r="U134" s="123"/>
      <c r="V134" s="123"/>
    </row>
    <row r="135" spans="1:22" ht="15" customHeight="1" x14ac:dyDescent="0.25">
      <c r="A135" s="132">
        <v>19</v>
      </c>
      <c r="B135" s="132" t="s">
        <v>1196</v>
      </c>
      <c r="C135" s="132" t="s">
        <v>1203</v>
      </c>
      <c r="D135" s="133" t="s">
        <v>1204</v>
      </c>
      <c r="E135" s="135">
        <v>44562</v>
      </c>
      <c r="F135" s="135">
        <v>45381</v>
      </c>
      <c r="G135" s="134">
        <v>5.000000074505806E-2</v>
      </c>
      <c r="H135" s="134">
        <v>0.15000000596046448</v>
      </c>
      <c r="I135" s="134">
        <v>0.25</v>
      </c>
      <c r="J135" s="134">
        <v>0.25</v>
      </c>
      <c r="K135" s="134">
        <v>0.25</v>
      </c>
      <c r="L135" s="134">
        <v>5.000000074505806E-2</v>
      </c>
      <c r="M135" s="134"/>
      <c r="N135" s="123"/>
      <c r="O135" s="123"/>
      <c r="P135" s="123"/>
      <c r="Q135" s="123"/>
      <c r="R135" s="123"/>
      <c r="S135" s="123"/>
      <c r="T135" s="123"/>
      <c r="U135" s="123"/>
      <c r="V135" s="123"/>
    </row>
    <row r="136" spans="1:22" ht="15" customHeight="1" x14ac:dyDescent="0.25">
      <c r="A136" s="132">
        <v>19</v>
      </c>
      <c r="B136" s="132" t="s">
        <v>1196</v>
      </c>
      <c r="C136" s="132" t="s">
        <v>1205</v>
      </c>
      <c r="D136" s="133" t="s">
        <v>1206</v>
      </c>
      <c r="E136" s="135">
        <v>44470</v>
      </c>
      <c r="F136" s="135">
        <v>45381</v>
      </c>
      <c r="G136" s="134">
        <v>5.000000074505806E-2</v>
      </c>
      <c r="H136" s="134">
        <v>0.15000000596046448</v>
      </c>
      <c r="I136" s="134">
        <v>0.25</v>
      </c>
      <c r="J136" s="134">
        <v>0.25</v>
      </c>
      <c r="K136" s="134">
        <v>0.25</v>
      </c>
      <c r="L136" s="134">
        <v>5.000000074505806E-2</v>
      </c>
      <c r="M136" s="134"/>
      <c r="N136" s="123"/>
      <c r="O136" s="123"/>
      <c r="P136" s="123"/>
      <c r="Q136" s="123"/>
      <c r="R136" s="123"/>
      <c r="S136" s="123"/>
      <c r="T136" s="123"/>
      <c r="U136" s="123"/>
      <c r="V136" s="123"/>
    </row>
    <row r="137" spans="1:22" ht="15" customHeight="1" x14ac:dyDescent="0.25">
      <c r="A137" s="132">
        <v>20</v>
      </c>
      <c r="B137" s="132" t="s">
        <v>1207</v>
      </c>
      <c r="C137" s="132" t="s">
        <v>1208</v>
      </c>
      <c r="D137" s="133" t="s">
        <v>1209</v>
      </c>
      <c r="E137" s="135">
        <v>44501</v>
      </c>
      <c r="F137" s="135">
        <v>44757</v>
      </c>
      <c r="G137" s="134">
        <v>0.10000000149011612</v>
      </c>
      <c r="H137" s="134">
        <v>0.89999997615814209</v>
      </c>
      <c r="I137" s="134">
        <v>0</v>
      </c>
      <c r="J137" s="134">
        <v>0</v>
      </c>
      <c r="K137" s="134">
        <v>0</v>
      </c>
      <c r="L137" s="134">
        <v>0</v>
      </c>
      <c r="M137" s="134"/>
      <c r="N137" s="123"/>
      <c r="O137" s="123"/>
      <c r="P137" s="123"/>
      <c r="Q137" s="123"/>
      <c r="R137" s="123"/>
      <c r="S137" s="123"/>
      <c r="T137" s="123"/>
      <c r="U137" s="123"/>
      <c r="V137" s="123"/>
    </row>
    <row r="138" spans="1:22" ht="15" customHeight="1" x14ac:dyDescent="0.25">
      <c r="A138" s="132">
        <v>20</v>
      </c>
      <c r="B138" s="132" t="s">
        <v>1207</v>
      </c>
      <c r="C138" s="132" t="s">
        <v>1210</v>
      </c>
      <c r="D138" s="133" t="s">
        <v>1211</v>
      </c>
      <c r="E138" s="135">
        <v>44682</v>
      </c>
      <c r="F138" s="135">
        <v>44896</v>
      </c>
      <c r="G138" s="134">
        <v>0</v>
      </c>
      <c r="H138" s="134">
        <v>0.10000000149011612</v>
      </c>
      <c r="I138" s="134">
        <v>0.89999997615814209</v>
      </c>
      <c r="J138" s="134">
        <v>0</v>
      </c>
      <c r="K138" s="134">
        <v>0</v>
      </c>
      <c r="L138" s="134">
        <v>0</v>
      </c>
      <c r="M138" s="134"/>
      <c r="N138" s="123"/>
      <c r="O138" s="123"/>
      <c r="P138" s="123"/>
      <c r="Q138" s="123"/>
      <c r="R138" s="123"/>
      <c r="S138" s="123"/>
      <c r="T138" s="123"/>
      <c r="U138" s="123"/>
      <c r="V138" s="123"/>
    </row>
    <row r="139" spans="1:22" ht="15" customHeight="1" x14ac:dyDescent="0.25">
      <c r="A139" s="132">
        <v>20</v>
      </c>
      <c r="B139" s="132" t="s">
        <v>1207</v>
      </c>
      <c r="C139" s="132" t="s">
        <v>1212</v>
      </c>
      <c r="D139" s="133" t="s">
        <v>1213</v>
      </c>
      <c r="E139" s="135">
        <v>44956</v>
      </c>
      <c r="F139" s="135">
        <v>45092</v>
      </c>
      <c r="G139" s="134">
        <v>0</v>
      </c>
      <c r="H139" s="134">
        <v>0</v>
      </c>
      <c r="I139" s="134">
        <v>0</v>
      </c>
      <c r="J139" s="134">
        <v>1</v>
      </c>
      <c r="K139" s="134">
        <v>0</v>
      </c>
      <c r="L139" s="134">
        <v>0</v>
      </c>
      <c r="M139" s="134"/>
      <c r="N139" s="123"/>
      <c r="O139" s="123"/>
      <c r="P139" s="123"/>
      <c r="Q139" s="123"/>
      <c r="R139" s="123"/>
      <c r="S139" s="123"/>
      <c r="T139" s="123"/>
      <c r="U139" s="123"/>
      <c r="V139" s="123"/>
    </row>
    <row r="140" spans="1:22" ht="15" customHeight="1" x14ac:dyDescent="0.25">
      <c r="A140" s="132">
        <v>20</v>
      </c>
      <c r="B140" s="132" t="s">
        <v>1214</v>
      </c>
      <c r="C140" s="132" t="s">
        <v>1215</v>
      </c>
      <c r="D140" s="133" t="s">
        <v>1216</v>
      </c>
      <c r="E140" s="135">
        <v>44805</v>
      </c>
      <c r="F140" s="135">
        <v>44956</v>
      </c>
      <c r="G140" s="134">
        <v>0</v>
      </c>
      <c r="H140" s="134">
        <v>0</v>
      </c>
      <c r="I140" s="134">
        <v>0.80000001192092896</v>
      </c>
      <c r="J140" s="134">
        <v>0.20000000298023224</v>
      </c>
      <c r="K140" s="134">
        <v>0</v>
      </c>
      <c r="L140" s="134">
        <v>0</v>
      </c>
      <c r="M140" s="134"/>
      <c r="N140" s="123"/>
      <c r="O140" s="123"/>
      <c r="P140" s="123"/>
      <c r="Q140" s="123"/>
      <c r="R140" s="123"/>
      <c r="S140" s="123"/>
      <c r="T140" s="123"/>
      <c r="U140" s="123"/>
      <c r="V140" s="123"/>
    </row>
    <row r="141" spans="1:22" ht="15" customHeight="1" x14ac:dyDescent="0.25">
      <c r="A141" s="132">
        <v>20</v>
      </c>
      <c r="B141" s="132" t="s">
        <v>1214</v>
      </c>
      <c r="C141" s="132" t="s">
        <v>1217</v>
      </c>
      <c r="D141" s="133" t="s">
        <v>1218</v>
      </c>
      <c r="E141" s="135">
        <v>44866</v>
      </c>
      <c r="F141" s="135">
        <v>45321</v>
      </c>
      <c r="G141" s="134">
        <v>0</v>
      </c>
      <c r="H141" s="134">
        <v>0</v>
      </c>
      <c r="I141" s="134">
        <v>0.20000000298023224</v>
      </c>
      <c r="J141" s="134">
        <v>0.34999999403953552</v>
      </c>
      <c r="K141" s="134">
        <v>0.34999999403953552</v>
      </c>
      <c r="L141" s="134">
        <v>0.10000000149011612</v>
      </c>
      <c r="M141" s="134"/>
      <c r="N141" s="123"/>
      <c r="O141" s="123"/>
      <c r="P141" s="123"/>
      <c r="Q141" s="123"/>
      <c r="R141" s="123"/>
      <c r="S141" s="123"/>
      <c r="T141" s="123"/>
      <c r="U141" s="123"/>
      <c r="V141" s="123"/>
    </row>
    <row r="142" spans="1:22" ht="15" customHeight="1" x14ac:dyDescent="0.25">
      <c r="A142" s="132">
        <v>20</v>
      </c>
      <c r="B142" s="132" t="s">
        <v>1219</v>
      </c>
      <c r="C142" s="132" t="s">
        <v>1220</v>
      </c>
      <c r="D142" s="133" t="s">
        <v>1221</v>
      </c>
      <c r="E142" s="135">
        <v>44837</v>
      </c>
      <c r="F142" s="135">
        <v>45030</v>
      </c>
      <c r="G142" s="134">
        <v>0</v>
      </c>
      <c r="H142" s="134">
        <v>0</v>
      </c>
      <c r="I142" s="134">
        <v>0.5</v>
      </c>
      <c r="J142" s="134">
        <v>0.5</v>
      </c>
      <c r="K142" s="134">
        <v>0</v>
      </c>
      <c r="L142" s="134">
        <v>0</v>
      </c>
      <c r="M142" s="134"/>
      <c r="N142" s="123"/>
      <c r="O142" s="123"/>
      <c r="P142" s="123"/>
      <c r="Q142" s="123"/>
      <c r="R142" s="123"/>
      <c r="S142" s="123"/>
      <c r="T142" s="123"/>
      <c r="U142" s="123"/>
      <c r="V142" s="123"/>
    </row>
    <row r="143" spans="1:22" ht="15" customHeight="1" x14ac:dyDescent="0.25">
      <c r="A143" s="132">
        <v>20</v>
      </c>
      <c r="B143" s="132" t="s">
        <v>1219</v>
      </c>
      <c r="C143" s="132" t="s">
        <v>1222</v>
      </c>
      <c r="D143" s="133" t="s">
        <v>1223</v>
      </c>
      <c r="E143" s="135">
        <v>45019</v>
      </c>
      <c r="F143" s="135">
        <v>45321</v>
      </c>
      <c r="G143" s="134">
        <v>0</v>
      </c>
      <c r="H143" s="134">
        <v>0</v>
      </c>
      <c r="I143" s="134">
        <v>0</v>
      </c>
      <c r="J143" s="134">
        <v>0.20000000298023224</v>
      </c>
      <c r="K143" s="134">
        <v>0.69999998807907104</v>
      </c>
      <c r="L143" s="134">
        <v>0.10000000149011612</v>
      </c>
      <c r="M143" s="134"/>
      <c r="N143" s="123"/>
      <c r="O143" s="123"/>
      <c r="P143" s="123"/>
      <c r="Q143" s="123"/>
      <c r="R143" s="123"/>
      <c r="S143" s="123"/>
      <c r="T143" s="123"/>
      <c r="U143" s="123"/>
      <c r="V143" s="123"/>
    </row>
    <row r="144" spans="1:22" ht="15" customHeight="1" x14ac:dyDescent="0.25">
      <c r="A144" s="132">
        <v>20</v>
      </c>
      <c r="B144" s="132" t="s">
        <v>1224</v>
      </c>
      <c r="C144" s="132" t="s">
        <v>1225</v>
      </c>
      <c r="D144" s="133" t="s">
        <v>1226</v>
      </c>
      <c r="E144" s="135">
        <v>44593</v>
      </c>
      <c r="F144" s="135">
        <v>44742</v>
      </c>
      <c r="G144" s="134">
        <v>0</v>
      </c>
      <c r="H144" s="134">
        <v>1</v>
      </c>
      <c r="I144" s="134">
        <v>0</v>
      </c>
      <c r="J144" s="134">
        <v>0</v>
      </c>
      <c r="K144" s="134">
        <v>0</v>
      </c>
      <c r="L144" s="134">
        <v>0</v>
      </c>
      <c r="M144" s="134"/>
      <c r="N144" s="123"/>
      <c r="O144" s="123"/>
      <c r="P144" s="123"/>
      <c r="Q144" s="123"/>
      <c r="R144" s="123"/>
      <c r="S144" s="123"/>
      <c r="T144" s="123"/>
      <c r="U144" s="123"/>
      <c r="V144" s="123"/>
    </row>
    <row r="145" spans="1:22" ht="15" customHeight="1" x14ac:dyDescent="0.25">
      <c r="A145" s="132">
        <v>20</v>
      </c>
      <c r="B145" s="132" t="s">
        <v>1224</v>
      </c>
      <c r="C145" s="132" t="s">
        <v>1227</v>
      </c>
      <c r="D145" s="133" t="s">
        <v>1228</v>
      </c>
      <c r="E145" s="135">
        <v>44593</v>
      </c>
      <c r="F145" s="135">
        <v>45366</v>
      </c>
      <c r="G145" s="134">
        <v>0</v>
      </c>
      <c r="H145" s="134">
        <v>0.20000000298023224</v>
      </c>
      <c r="I145" s="134">
        <v>0.20000000298023224</v>
      </c>
      <c r="J145" s="134">
        <v>0.20000000298023224</v>
      </c>
      <c r="K145" s="134">
        <v>0.20000000298023224</v>
      </c>
      <c r="L145" s="134">
        <v>0.20000000298023224</v>
      </c>
      <c r="M145" s="134"/>
      <c r="N145" s="123"/>
      <c r="O145" s="123"/>
      <c r="P145" s="123"/>
      <c r="Q145" s="123"/>
      <c r="R145" s="123"/>
      <c r="S145" s="123"/>
      <c r="T145" s="123"/>
      <c r="U145" s="123"/>
      <c r="V145" s="123"/>
    </row>
    <row r="146" spans="1:22" ht="15" customHeight="1" x14ac:dyDescent="0.25">
      <c r="A146" s="132">
        <v>20</v>
      </c>
      <c r="B146" s="132" t="s">
        <v>1224</v>
      </c>
      <c r="C146" s="132" t="s">
        <v>1229</v>
      </c>
      <c r="D146" s="133" t="s">
        <v>1230</v>
      </c>
      <c r="E146" s="135">
        <v>44593</v>
      </c>
      <c r="F146" s="135">
        <v>45078</v>
      </c>
      <c r="G146" s="134">
        <v>0</v>
      </c>
      <c r="H146" s="134">
        <v>0.30000001192092896</v>
      </c>
      <c r="I146" s="134">
        <v>0.30000001192092896</v>
      </c>
      <c r="J146" s="134">
        <v>0.40000000596046448</v>
      </c>
      <c r="K146" s="134">
        <v>0</v>
      </c>
      <c r="L146" s="134">
        <v>0</v>
      </c>
      <c r="M146" s="134"/>
      <c r="N146" s="123"/>
      <c r="O146" s="123"/>
      <c r="P146" s="123"/>
      <c r="Q146" s="123"/>
      <c r="R146" s="123"/>
      <c r="S146" s="123"/>
      <c r="T146" s="123"/>
      <c r="U146" s="123"/>
      <c r="V146" s="123"/>
    </row>
    <row r="147" spans="1:22" ht="15" customHeight="1" x14ac:dyDescent="0.25">
      <c r="A147" s="132">
        <v>20</v>
      </c>
      <c r="B147" s="132" t="s">
        <v>1224</v>
      </c>
      <c r="C147" s="132" t="s">
        <v>1231</v>
      </c>
      <c r="D147" s="133" t="s">
        <v>1232</v>
      </c>
      <c r="E147" s="135">
        <v>44593</v>
      </c>
      <c r="F147" s="135">
        <v>45366</v>
      </c>
      <c r="G147" s="134">
        <v>0</v>
      </c>
      <c r="H147" s="134">
        <v>0.10000000149011612</v>
      </c>
      <c r="I147" s="134">
        <v>0.20000000298023224</v>
      </c>
      <c r="J147" s="134">
        <v>0.20000000298023224</v>
      </c>
      <c r="K147" s="134">
        <v>0.40000000596046448</v>
      </c>
      <c r="L147" s="134">
        <v>0.10000000149011612</v>
      </c>
      <c r="M147" s="134"/>
      <c r="N147" s="123"/>
      <c r="O147" s="123"/>
      <c r="P147" s="123"/>
      <c r="Q147" s="123"/>
      <c r="R147" s="123"/>
      <c r="S147" s="123"/>
      <c r="T147" s="123"/>
      <c r="U147" s="123"/>
      <c r="V147" s="123"/>
    </row>
    <row r="148" spans="1:22" ht="15" customHeight="1" x14ac:dyDescent="0.25">
      <c r="A148" s="132">
        <v>21</v>
      </c>
      <c r="B148" s="132" t="s">
        <v>1803</v>
      </c>
      <c r="C148" s="132" t="s">
        <v>1804</v>
      </c>
      <c r="D148" s="133" t="s">
        <v>1805</v>
      </c>
      <c r="E148" s="135">
        <v>44409</v>
      </c>
      <c r="F148" s="135">
        <v>45107</v>
      </c>
      <c r="G148" s="134">
        <v>0</v>
      </c>
      <c r="H148" s="134">
        <v>0.25</v>
      </c>
      <c r="I148" s="134">
        <v>0.25</v>
      </c>
      <c r="J148" s="134">
        <v>0.25</v>
      </c>
      <c r="K148" s="134">
        <v>0.25</v>
      </c>
      <c r="L148" s="134">
        <v>0</v>
      </c>
      <c r="M148" s="134"/>
      <c r="N148" s="123"/>
      <c r="O148" s="123"/>
      <c r="P148" s="123"/>
      <c r="Q148" s="123"/>
      <c r="R148" s="123"/>
      <c r="S148" s="123"/>
      <c r="T148" s="123"/>
      <c r="U148" s="123"/>
      <c r="V148" s="123"/>
    </row>
    <row r="149" spans="1:22" ht="15" customHeight="1" x14ac:dyDescent="0.25">
      <c r="A149" s="132">
        <v>21</v>
      </c>
      <c r="B149" s="132" t="s">
        <v>1803</v>
      </c>
      <c r="C149" s="132" t="s">
        <v>1806</v>
      </c>
      <c r="D149" s="133" t="s">
        <v>1807</v>
      </c>
      <c r="E149" s="135">
        <v>44440</v>
      </c>
      <c r="F149" s="135">
        <v>45290</v>
      </c>
      <c r="G149" s="134">
        <v>0.30000001192092896</v>
      </c>
      <c r="H149" s="134">
        <v>0.69999998807907104</v>
      </c>
      <c r="I149" s="134">
        <v>0</v>
      </c>
      <c r="J149" s="134">
        <v>0</v>
      </c>
      <c r="K149" s="134">
        <v>0</v>
      </c>
      <c r="L149" s="134">
        <v>0</v>
      </c>
      <c r="M149" s="134"/>
      <c r="N149" s="123"/>
      <c r="O149" s="123"/>
      <c r="P149" s="123"/>
      <c r="Q149" s="123"/>
      <c r="R149" s="123"/>
      <c r="S149" s="123"/>
      <c r="T149" s="123"/>
      <c r="U149" s="123"/>
      <c r="V149" s="123"/>
    </row>
    <row r="150" spans="1:22" ht="15" customHeight="1" x14ac:dyDescent="0.25">
      <c r="A150" s="132">
        <v>21</v>
      </c>
      <c r="B150" s="132" t="s">
        <v>1808</v>
      </c>
      <c r="C150" s="132" t="s">
        <v>1809</v>
      </c>
      <c r="D150" s="133" t="s">
        <v>1810</v>
      </c>
      <c r="E150" s="135">
        <v>44591</v>
      </c>
      <c r="F150" s="135">
        <v>45107</v>
      </c>
      <c r="G150" s="134">
        <v>0.10000000149011612</v>
      </c>
      <c r="H150" s="134">
        <v>0.40000000596046448</v>
      </c>
      <c r="I150" s="134">
        <v>0.5</v>
      </c>
      <c r="J150" s="134">
        <v>0</v>
      </c>
      <c r="K150" s="134">
        <v>0</v>
      </c>
      <c r="L150" s="134">
        <v>0</v>
      </c>
      <c r="M150" s="134"/>
      <c r="N150" s="123"/>
      <c r="O150" s="123"/>
      <c r="P150" s="123"/>
      <c r="Q150" s="123"/>
      <c r="R150" s="123"/>
      <c r="S150" s="123"/>
      <c r="T150" s="123"/>
      <c r="U150" s="123"/>
      <c r="V150" s="123"/>
    </row>
    <row r="151" spans="1:22" ht="15" customHeight="1" x14ac:dyDescent="0.25">
      <c r="A151" s="132">
        <v>21</v>
      </c>
      <c r="B151" s="132" t="s">
        <v>1811</v>
      </c>
      <c r="C151" s="132" t="s">
        <v>1812</v>
      </c>
      <c r="D151" s="133" t="s">
        <v>1813</v>
      </c>
      <c r="E151" s="135">
        <v>44409</v>
      </c>
      <c r="F151" s="135">
        <v>45381</v>
      </c>
      <c r="G151" s="134">
        <v>0</v>
      </c>
      <c r="H151" s="134">
        <v>0.10000000149011612</v>
      </c>
      <c r="I151" s="134">
        <v>0.10000000149011612</v>
      </c>
      <c r="J151" s="134">
        <v>0.30000001192092896</v>
      </c>
      <c r="K151" s="134">
        <v>0.5</v>
      </c>
      <c r="L151" s="134">
        <v>0</v>
      </c>
      <c r="M151" s="134"/>
      <c r="N151" s="123"/>
      <c r="O151" s="123"/>
      <c r="P151" s="123"/>
      <c r="Q151" s="123"/>
      <c r="R151" s="123"/>
      <c r="S151" s="123"/>
      <c r="T151" s="123"/>
      <c r="U151" s="123"/>
      <c r="V151" s="123"/>
    </row>
    <row r="152" spans="1:22" ht="15" customHeight="1" x14ac:dyDescent="0.25">
      <c r="A152" s="132">
        <v>21</v>
      </c>
      <c r="B152" s="132" t="s">
        <v>1811</v>
      </c>
      <c r="C152" s="132" t="s">
        <v>1814</v>
      </c>
      <c r="D152" s="133" t="s">
        <v>1815</v>
      </c>
      <c r="E152" s="135">
        <v>44409</v>
      </c>
      <c r="F152" s="135">
        <v>45107</v>
      </c>
      <c r="G152" s="134">
        <v>0</v>
      </c>
      <c r="H152" s="134">
        <v>0.10000000149011612</v>
      </c>
      <c r="I152" s="134">
        <v>0.10000000149011612</v>
      </c>
      <c r="J152" s="134">
        <v>0.30000001192092896</v>
      </c>
      <c r="K152" s="134">
        <v>0.5</v>
      </c>
      <c r="L152" s="134">
        <v>0</v>
      </c>
      <c r="M152" s="134"/>
      <c r="N152" s="123"/>
      <c r="O152" s="123"/>
      <c r="P152" s="123"/>
      <c r="Q152" s="123"/>
      <c r="R152" s="123"/>
      <c r="S152" s="123"/>
      <c r="T152" s="123"/>
      <c r="U152" s="123"/>
      <c r="V152" s="123"/>
    </row>
    <row r="153" spans="1:22" ht="15" customHeight="1" x14ac:dyDescent="0.25">
      <c r="A153" s="132">
        <v>22</v>
      </c>
      <c r="B153" s="132" t="s">
        <v>1816</v>
      </c>
      <c r="C153" s="132" t="s">
        <v>1817</v>
      </c>
      <c r="D153" s="133" t="s">
        <v>1818</v>
      </c>
      <c r="E153" s="135">
        <v>44409</v>
      </c>
      <c r="F153" s="135">
        <v>45382</v>
      </c>
      <c r="G153" s="134">
        <v>0.05</v>
      </c>
      <c r="H153" s="134">
        <v>0.2</v>
      </c>
      <c r="I153" s="134">
        <v>0.2</v>
      </c>
      <c r="J153" s="134">
        <v>0.2</v>
      </c>
      <c r="K153" s="134">
        <v>0.2</v>
      </c>
      <c r="L153" s="134">
        <v>0.15</v>
      </c>
      <c r="M153" s="134"/>
      <c r="N153" s="123"/>
      <c r="O153" s="123"/>
      <c r="P153" s="123"/>
      <c r="Q153" s="123"/>
      <c r="R153" s="123"/>
      <c r="S153" s="123"/>
      <c r="T153" s="123"/>
      <c r="U153" s="123"/>
      <c r="V153" s="123"/>
    </row>
    <row r="154" spans="1:22" ht="15" customHeight="1" x14ac:dyDescent="0.25">
      <c r="A154" s="132">
        <v>22</v>
      </c>
      <c r="B154" s="132" t="s">
        <v>1816</v>
      </c>
      <c r="C154" s="132" t="s">
        <v>1819</v>
      </c>
      <c r="D154" s="133" t="s">
        <v>1820</v>
      </c>
      <c r="E154" s="135">
        <v>44409</v>
      </c>
      <c r="F154" s="135">
        <v>45382</v>
      </c>
      <c r="G154" s="134">
        <v>0</v>
      </c>
      <c r="H154" s="134">
        <v>0.1</v>
      </c>
      <c r="I154" s="134">
        <v>0.3</v>
      </c>
      <c r="J154" s="134">
        <v>0.3</v>
      </c>
      <c r="K154" s="134">
        <v>0.3</v>
      </c>
      <c r="L154" s="134">
        <v>0</v>
      </c>
      <c r="M154" s="134"/>
      <c r="N154" s="123"/>
      <c r="O154" s="123"/>
      <c r="P154" s="123"/>
      <c r="Q154" s="123"/>
      <c r="R154" s="123"/>
      <c r="S154" s="123"/>
      <c r="T154" s="123"/>
      <c r="U154" s="123"/>
      <c r="V154" s="123"/>
    </row>
    <row r="155" spans="1:22" ht="15" customHeight="1" x14ac:dyDescent="0.25">
      <c r="A155" s="132">
        <v>22</v>
      </c>
      <c r="B155" s="132" t="s">
        <v>1816</v>
      </c>
      <c r="C155" s="132" t="s">
        <v>1821</v>
      </c>
      <c r="D155" s="133" t="s">
        <v>1822</v>
      </c>
      <c r="E155" s="135">
        <v>44409</v>
      </c>
      <c r="F155" s="135">
        <v>45382</v>
      </c>
      <c r="G155" s="134">
        <v>0</v>
      </c>
      <c r="H155" s="134">
        <v>0</v>
      </c>
      <c r="I155" s="134">
        <v>0.2</v>
      </c>
      <c r="J155" s="134">
        <v>0.3</v>
      </c>
      <c r="K155" s="134">
        <v>0.3</v>
      </c>
      <c r="L155" s="134">
        <v>0.2</v>
      </c>
      <c r="M155" s="134"/>
      <c r="N155" s="123"/>
      <c r="O155" s="123"/>
      <c r="P155" s="123"/>
      <c r="Q155" s="123"/>
      <c r="R155" s="123"/>
      <c r="S155" s="123"/>
      <c r="T155" s="123"/>
      <c r="U155" s="123"/>
      <c r="V155" s="123"/>
    </row>
    <row r="156" spans="1:22" ht="15" customHeight="1" x14ac:dyDescent="0.25">
      <c r="A156" s="132">
        <v>22</v>
      </c>
      <c r="B156" s="132" t="s">
        <v>1816</v>
      </c>
      <c r="C156" s="132" t="s">
        <v>1823</v>
      </c>
      <c r="D156" s="133" t="s">
        <v>1824</v>
      </c>
      <c r="E156" s="135">
        <v>44409</v>
      </c>
      <c r="F156" s="135">
        <v>45382</v>
      </c>
      <c r="G156" s="134">
        <v>0</v>
      </c>
      <c r="H156" s="134">
        <v>0.1</v>
      </c>
      <c r="I156" s="134">
        <v>0.1</v>
      </c>
      <c r="J156" s="134">
        <v>0.1</v>
      </c>
      <c r="K156" s="134">
        <v>0.4</v>
      </c>
      <c r="L156" s="134">
        <v>0.3</v>
      </c>
      <c r="M156" s="134"/>
      <c r="N156" s="123"/>
      <c r="O156" s="123"/>
      <c r="P156" s="123"/>
      <c r="Q156" s="123"/>
      <c r="R156" s="123"/>
      <c r="S156" s="123"/>
      <c r="T156" s="123"/>
      <c r="U156" s="123"/>
      <c r="V156" s="123"/>
    </row>
    <row r="157" spans="1:22" ht="15" customHeight="1" x14ac:dyDescent="0.25">
      <c r="A157" s="132">
        <v>22</v>
      </c>
      <c r="B157" s="132" t="s">
        <v>1825</v>
      </c>
      <c r="C157" s="132" t="s">
        <v>1826</v>
      </c>
      <c r="D157" s="133" t="s">
        <v>1827</v>
      </c>
      <c r="E157" s="135">
        <v>44409</v>
      </c>
      <c r="F157" s="135">
        <v>45382</v>
      </c>
      <c r="G157" s="134">
        <v>0.05</v>
      </c>
      <c r="H157" s="134">
        <v>0.2</v>
      </c>
      <c r="I157" s="134">
        <v>0.25</v>
      </c>
      <c r="J157" s="134">
        <v>0.2</v>
      </c>
      <c r="K157" s="134">
        <v>0.25</v>
      </c>
      <c r="L157" s="134">
        <v>0.05</v>
      </c>
      <c r="M157" s="134"/>
      <c r="N157" s="123"/>
      <c r="O157" s="123"/>
      <c r="P157" s="123"/>
      <c r="Q157" s="123"/>
      <c r="R157" s="123"/>
      <c r="S157" s="123"/>
      <c r="T157" s="123"/>
      <c r="U157" s="123"/>
      <c r="V157" s="123"/>
    </row>
    <row r="158" spans="1:22" ht="15" customHeight="1" x14ac:dyDescent="0.25">
      <c r="A158" s="132">
        <v>22</v>
      </c>
      <c r="B158" s="132" t="s">
        <v>1825</v>
      </c>
      <c r="C158" s="132" t="s">
        <v>1828</v>
      </c>
      <c r="D158" s="133" t="s">
        <v>1829</v>
      </c>
      <c r="E158" s="135">
        <v>44440</v>
      </c>
      <c r="F158" s="135">
        <v>45382</v>
      </c>
      <c r="G158" s="134">
        <v>0</v>
      </c>
      <c r="H158" s="134">
        <v>0.15</v>
      </c>
      <c r="I158" s="134">
        <v>0.2</v>
      </c>
      <c r="J158" s="134">
        <v>0.25</v>
      </c>
      <c r="K158" s="134">
        <v>0.25</v>
      </c>
      <c r="L158" s="134">
        <v>0.15</v>
      </c>
      <c r="M158" s="134"/>
      <c r="N158" s="123"/>
      <c r="O158" s="123"/>
      <c r="P158" s="123"/>
      <c r="Q158" s="123"/>
      <c r="R158" s="123"/>
      <c r="S158" s="123"/>
      <c r="T158" s="123"/>
      <c r="U158" s="123"/>
      <c r="V158" s="123"/>
    </row>
    <row r="159" spans="1:22" ht="15" customHeight="1" x14ac:dyDescent="0.25">
      <c r="A159" s="132">
        <v>22</v>
      </c>
      <c r="B159" s="132" t="s">
        <v>1825</v>
      </c>
      <c r="C159" s="132" t="s">
        <v>1830</v>
      </c>
      <c r="D159" s="133" t="s">
        <v>1831</v>
      </c>
      <c r="E159" s="135">
        <v>44440</v>
      </c>
      <c r="F159" s="135">
        <v>45382</v>
      </c>
      <c r="G159" s="134">
        <v>0</v>
      </c>
      <c r="H159" s="134">
        <v>0.1</v>
      </c>
      <c r="I159" s="134">
        <v>0.1</v>
      </c>
      <c r="J159" s="134">
        <v>0.1</v>
      </c>
      <c r="K159" s="134">
        <v>0.4</v>
      </c>
      <c r="L159" s="134">
        <v>0.3</v>
      </c>
      <c r="M159" s="134"/>
      <c r="N159" s="123"/>
      <c r="O159" s="123"/>
      <c r="P159" s="123"/>
      <c r="Q159" s="123"/>
      <c r="R159" s="123"/>
      <c r="S159" s="123"/>
      <c r="T159" s="123"/>
      <c r="U159" s="123"/>
      <c r="V159" s="123"/>
    </row>
    <row r="160" spans="1:22" ht="15" customHeight="1" x14ac:dyDescent="0.25">
      <c r="A160" s="132">
        <v>22</v>
      </c>
      <c r="B160" s="132" t="s">
        <v>1832</v>
      </c>
      <c r="C160" s="132" t="s">
        <v>1833</v>
      </c>
      <c r="D160" s="133" t="s">
        <v>1834</v>
      </c>
      <c r="E160" s="135">
        <v>44409</v>
      </c>
      <c r="F160" s="135">
        <v>45382</v>
      </c>
      <c r="G160" s="134">
        <v>0.25</v>
      </c>
      <c r="H160" s="134">
        <v>0.4</v>
      </c>
      <c r="I160" s="134">
        <v>0.35</v>
      </c>
      <c r="J160" s="134">
        <v>0</v>
      </c>
      <c r="K160" s="134">
        <v>0</v>
      </c>
      <c r="L160" s="134">
        <v>0</v>
      </c>
      <c r="M160" s="134"/>
      <c r="N160" s="123"/>
      <c r="O160" s="123"/>
      <c r="P160" s="123"/>
      <c r="Q160" s="123"/>
      <c r="R160" s="123"/>
      <c r="S160" s="123"/>
      <c r="T160" s="123"/>
      <c r="U160" s="123"/>
      <c r="V160" s="123"/>
    </row>
    <row r="161" spans="1:22" ht="15" customHeight="1" x14ac:dyDescent="0.25">
      <c r="A161" s="132">
        <v>22</v>
      </c>
      <c r="B161" s="132" t="s">
        <v>1832</v>
      </c>
      <c r="C161" s="132" t="s">
        <v>1835</v>
      </c>
      <c r="D161" s="133" t="s">
        <v>1836</v>
      </c>
      <c r="E161" s="135">
        <v>44440</v>
      </c>
      <c r="F161" s="135">
        <v>45382</v>
      </c>
      <c r="G161" s="134">
        <v>0.15</v>
      </c>
      <c r="H161" s="134">
        <v>0.15</v>
      </c>
      <c r="I161" s="134">
        <v>0.15</v>
      </c>
      <c r="J161" s="134">
        <v>0.2</v>
      </c>
      <c r="K161" s="134">
        <v>0.2</v>
      </c>
      <c r="L161" s="134">
        <v>0.15</v>
      </c>
      <c r="M161" s="134"/>
      <c r="N161" s="123"/>
      <c r="O161" s="123"/>
      <c r="P161" s="123"/>
      <c r="Q161" s="123"/>
      <c r="R161" s="123"/>
      <c r="S161" s="123"/>
      <c r="T161" s="123"/>
      <c r="U161" s="123"/>
      <c r="V161" s="123"/>
    </row>
    <row r="162" spans="1:22" ht="15" customHeight="1" x14ac:dyDescent="0.25">
      <c r="A162" s="132">
        <v>22</v>
      </c>
      <c r="B162" s="132" t="s">
        <v>1832</v>
      </c>
      <c r="C162" s="132" t="s">
        <v>1837</v>
      </c>
      <c r="D162" s="133" t="s">
        <v>1838</v>
      </c>
      <c r="E162" s="135">
        <v>44440</v>
      </c>
      <c r="F162" s="135">
        <v>45382</v>
      </c>
      <c r="G162" s="134">
        <v>0</v>
      </c>
      <c r="H162" s="134">
        <v>0</v>
      </c>
      <c r="I162" s="134">
        <v>0</v>
      </c>
      <c r="J162" s="134">
        <v>0.25</v>
      </c>
      <c r="K162" s="134">
        <v>0.4</v>
      </c>
      <c r="L162" s="134">
        <v>0.35</v>
      </c>
      <c r="M162" s="134"/>
      <c r="N162" s="123"/>
      <c r="O162" s="123"/>
      <c r="P162" s="123"/>
      <c r="Q162" s="123"/>
      <c r="R162" s="123"/>
      <c r="S162" s="123"/>
      <c r="T162" s="123"/>
      <c r="U162" s="123"/>
      <c r="V162" s="123"/>
    </row>
    <row r="163" spans="1:22" ht="15" customHeight="1" x14ac:dyDescent="0.25">
      <c r="A163" s="132">
        <v>22</v>
      </c>
      <c r="B163" s="132" t="s">
        <v>1832</v>
      </c>
      <c r="C163" s="132" t="s">
        <v>1839</v>
      </c>
      <c r="D163" s="133" t="s">
        <v>1840</v>
      </c>
      <c r="E163" s="135">
        <v>44440</v>
      </c>
      <c r="F163" s="135">
        <v>45382</v>
      </c>
      <c r="G163" s="134">
        <v>0</v>
      </c>
      <c r="H163" s="134">
        <v>0.1</v>
      </c>
      <c r="I163" s="134">
        <v>0.2</v>
      </c>
      <c r="J163" s="134">
        <v>0.25</v>
      </c>
      <c r="K163" s="134">
        <v>0.25</v>
      </c>
      <c r="L163" s="134">
        <v>0.2</v>
      </c>
      <c r="M163" s="134"/>
      <c r="N163" s="123"/>
      <c r="O163" s="123"/>
      <c r="P163" s="123"/>
      <c r="Q163" s="123"/>
      <c r="R163" s="123"/>
      <c r="S163" s="123"/>
      <c r="T163" s="123"/>
      <c r="U163" s="123"/>
      <c r="V163" s="123"/>
    </row>
    <row r="164" spans="1:22" ht="15" customHeight="1" x14ac:dyDescent="0.25">
      <c r="A164" s="132">
        <v>22</v>
      </c>
      <c r="B164" s="132" t="s">
        <v>1841</v>
      </c>
      <c r="C164" s="132" t="s">
        <v>1842</v>
      </c>
      <c r="D164" s="133" t="s">
        <v>1843</v>
      </c>
      <c r="E164" s="135">
        <v>44409</v>
      </c>
      <c r="F164" s="135">
        <v>45382</v>
      </c>
      <c r="G164" s="134">
        <v>0.05</v>
      </c>
      <c r="H164" s="134">
        <v>0.2</v>
      </c>
      <c r="I164" s="134">
        <v>0.2</v>
      </c>
      <c r="J164" s="134">
        <v>0.25</v>
      </c>
      <c r="K164" s="134">
        <v>0.25</v>
      </c>
      <c r="L164" s="134">
        <v>0.05</v>
      </c>
      <c r="M164" s="134"/>
      <c r="N164" s="123"/>
      <c r="O164" s="123"/>
      <c r="P164" s="123"/>
      <c r="Q164" s="123"/>
      <c r="R164" s="123"/>
      <c r="S164" s="123"/>
      <c r="T164" s="123"/>
      <c r="U164" s="123"/>
      <c r="V164" s="123"/>
    </row>
    <row r="165" spans="1:22" ht="15" customHeight="1" x14ac:dyDescent="0.25">
      <c r="A165" s="132">
        <v>22</v>
      </c>
      <c r="B165" s="132" t="s">
        <v>1841</v>
      </c>
      <c r="C165" s="132" t="s">
        <v>1844</v>
      </c>
      <c r="D165" s="133" t="s">
        <v>1845</v>
      </c>
      <c r="E165" s="135">
        <v>44440</v>
      </c>
      <c r="F165" s="135">
        <v>45382</v>
      </c>
      <c r="G165" s="61">
        <v>0</v>
      </c>
      <c r="H165" s="61">
        <v>0.25</v>
      </c>
      <c r="I165" s="61">
        <v>0.25</v>
      </c>
      <c r="J165" s="61">
        <v>0.25</v>
      </c>
      <c r="K165" s="61">
        <v>0.15</v>
      </c>
      <c r="L165" s="61">
        <v>0.1</v>
      </c>
      <c r="M165" s="134"/>
      <c r="N165" s="123"/>
      <c r="O165" s="123"/>
      <c r="P165" s="123"/>
      <c r="Q165" s="123"/>
      <c r="R165" s="123"/>
      <c r="S165" s="123"/>
      <c r="T165" s="123"/>
      <c r="U165" s="123"/>
      <c r="V165" s="123"/>
    </row>
    <row r="166" spans="1:22" ht="15" customHeight="1" x14ac:dyDescent="0.25">
      <c r="A166" s="132">
        <v>22</v>
      </c>
      <c r="B166" s="132" t="s">
        <v>1841</v>
      </c>
      <c r="C166" s="132" t="s">
        <v>1846</v>
      </c>
      <c r="D166" s="133" t="s">
        <v>1847</v>
      </c>
      <c r="E166" s="135">
        <v>44440</v>
      </c>
      <c r="F166" s="135">
        <v>45382</v>
      </c>
      <c r="G166" s="61">
        <v>0</v>
      </c>
      <c r="H166" s="61">
        <v>0.25</v>
      </c>
      <c r="I166" s="61">
        <v>0.25</v>
      </c>
      <c r="J166" s="61">
        <v>0.25</v>
      </c>
      <c r="K166" s="61">
        <v>0.15</v>
      </c>
      <c r="L166" s="61">
        <v>0.1</v>
      </c>
      <c r="M166" s="134"/>
      <c r="N166" s="123"/>
      <c r="O166" s="123"/>
      <c r="P166" s="123"/>
      <c r="Q166" s="123"/>
      <c r="R166" s="123"/>
      <c r="S166" s="123"/>
      <c r="T166" s="123"/>
      <c r="U166" s="123"/>
      <c r="V166" s="123"/>
    </row>
    <row r="167" spans="1:22" ht="15" customHeight="1" x14ac:dyDescent="0.25">
      <c r="A167" s="132">
        <v>22</v>
      </c>
      <c r="B167" s="132" t="s">
        <v>1841</v>
      </c>
      <c r="C167" s="132" t="s">
        <v>1848</v>
      </c>
      <c r="D167" s="133" t="s">
        <v>1849</v>
      </c>
      <c r="E167" s="135">
        <v>44569</v>
      </c>
      <c r="F167" s="135">
        <v>45382</v>
      </c>
      <c r="G167" s="61">
        <v>0</v>
      </c>
      <c r="H167" s="61">
        <v>0.1</v>
      </c>
      <c r="I167" s="61">
        <v>0.25</v>
      </c>
      <c r="J167" s="61">
        <v>0.25</v>
      </c>
      <c r="K167" s="61">
        <v>0.25</v>
      </c>
      <c r="L167" s="61">
        <v>0.15</v>
      </c>
      <c r="M167" s="134"/>
      <c r="N167" s="123"/>
      <c r="O167" s="123"/>
      <c r="P167" s="123"/>
      <c r="Q167" s="123"/>
      <c r="R167" s="123"/>
      <c r="S167" s="123"/>
      <c r="T167" s="123"/>
      <c r="U167" s="123"/>
      <c r="V167" s="123"/>
    </row>
    <row r="168" spans="1:22" ht="15" customHeight="1" x14ac:dyDescent="0.25">
      <c r="A168" s="132">
        <v>22</v>
      </c>
      <c r="B168" s="132" t="s">
        <v>1850</v>
      </c>
      <c r="C168" s="132" t="s">
        <v>1851</v>
      </c>
      <c r="D168" s="133" t="s">
        <v>1852</v>
      </c>
      <c r="E168" s="135">
        <v>44440</v>
      </c>
      <c r="F168" s="135">
        <v>45382</v>
      </c>
      <c r="G168" s="61">
        <v>0.15</v>
      </c>
      <c r="H168" s="61">
        <v>0.2</v>
      </c>
      <c r="I168" s="61">
        <v>0.2</v>
      </c>
      <c r="J168" s="61">
        <v>0.2</v>
      </c>
      <c r="K168" s="61">
        <v>0.2</v>
      </c>
      <c r="L168" s="61">
        <v>0.05</v>
      </c>
      <c r="M168" s="134"/>
      <c r="N168" s="123"/>
      <c r="O168" s="123"/>
      <c r="P168" s="123"/>
      <c r="Q168" s="123"/>
      <c r="R168" s="123"/>
      <c r="S168" s="123"/>
      <c r="T168" s="123"/>
      <c r="U168" s="123"/>
      <c r="V168" s="123"/>
    </row>
    <row r="169" spans="1:22" ht="15" customHeight="1" x14ac:dyDescent="0.25">
      <c r="A169" s="132">
        <v>22</v>
      </c>
      <c r="B169" s="132" t="s">
        <v>1850</v>
      </c>
      <c r="C169" s="132" t="s">
        <v>1853</v>
      </c>
      <c r="D169" s="133" t="s">
        <v>1854</v>
      </c>
      <c r="E169" s="135">
        <v>44409</v>
      </c>
      <c r="F169" s="135">
        <v>45382</v>
      </c>
      <c r="G169" s="61">
        <v>0.05</v>
      </c>
      <c r="H169" s="61">
        <v>0.2</v>
      </c>
      <c r="I169" s="61">
        <v>0.2</v>
      </c>
      <c r="J169" s="61">
        <v>0.2</v>
      </c>
      <c r="K169" s="61">
        <v>0.2</v>
      </c>
      <c r="L169" s="61">
        <v>0.15</v>
      </c>
      <c r="M169" s="134"/>
      <c r="N169" s="123"/>
      <c r="O169" s="123"/>
      <c r="P169" s="123"/>
      <c r="Q169" s="123"/>
      <c r="R169" s="123"/>
      <c r="S169" s="123"/>
      <c r="T169" s="123"/>
      <c r="U169" s="123"/>
      <c r="V169" s="123"/>
    </row>
    <row r="170" spans="1:22" ht="15" customHeight="1" x14ac:dyDescent="0.25">
      <c r="A170" s="132">
        <v>22</v>
      </c>
      <c r="B170" s="132" t="s">
        <v>1850</v>
      </c>
      <c r="C170" s="132" t="s">
        <v>1855</v>
      </c>
      <c r="D170" s="133" t="s">
        <v>1856</v>
      </c>
      <c r="E170" s="135">
        <v>44409</v>
      </c>
      <c r="F170" s="135">
        <v>45382</v>
      </c>
      <c r="G170" s="61">
        <v>0.05</v>
      </c>
      <c r="H170" s="61">
        <v>0.2</v>
      </c>
      <c r="I170" s="61">
        <v>0.2</v>
      </c>
      <c r="J170" s="61">
        <v>0.2</v>
      </c>
      <c r="K170" s="61">
        <v>0.2</v>
      </c>
      <c r="L170" s="61">
        <v>0.15</v>
      </c>
      <c r="M170" s="134"/>
      <c r="N170" s="123"/>
      <c r="O170" s="123"/>
      <c r="P170" s="123"/>
      <c r="Q170" s="123"/>
      <c r="R170" s="123"/>
      <c r="S170" s="123"/>
      <c r="T170" s="123"/>
      <c r="U170" s="123"/>
      <c r="V170" s="123"/>
    </row>
    <row r="171" spans="1:22" ht="15" customHeight="1" x14ac:dyDescent="0.25">
      <c r="A171" s="132">
        <v>22</v>
      </c>
      <c r="B171" s="132" t="s">
        <v>1850</v>
      </c>
      <c r="C171" s="132" t="s">
        <v>1857</v>
      </c>
      <c r="D171" s="133" t="s">
        <v>1858</v>
      </c>
      <c r="E171" s="135">
        <v>44409</v>
      </c>
      <c r="F171" s="135">
        <v>45382</v>
      </c>
      <c r="G171" s="61">
        <v>0</v>
      </c>
      <c r="H171" s="61">
        <v>0.1</v>
      </c>
      <c r="I171" s="61">
        <v>0.2</v>
      </c>
      <c r="J171" s="61">
        <v>0.4</v>
      </c>
      <c r="K171" s="61">
        <v>0.2</v>
      </c>
      <c r="L171" s="61">
        <v>0.1</v>
      </c>
      <c r="M171" s="134"/>
      <c r="N171" s="123"/>
      <c r="O171" s="123"/>
      <c r="P171" s="123"/>
      <c r="Q171" s="123"/>
      <c r="R171" s="123"/>
      <c r="S171" s="123"/>
      <c r="T171" s="123"/>
      <c r="U171" s="123"/>
      <c r="V171" s="123"/>
    </row>
    <row r="172" spans="1:22" ht="15" customHeight="1" x14ac:dyDescent="0.25">
      <c r="A172" s="132">
        <v>22</v>
      </c>
      <c r="B172" s="132" t="s">
        <v>1850</v>
      </c>
      <c r="C172" s="132" t="s">
        <v>1859</v>
      </c>
      <c r="D172" s="133" t="s">
        <v>1860</v>
      </c>
      <c r="E172" s="135">
        <v>44563</v>
      </c>
      <c r="F172" s="135">
        <v>45382</v>
      </c>
      <c r="G172" s="61">
        <v>0</v>
      </c>
      <c r="H172" s="61">
        <v>0.1</v>
      </c>
      <c r="I172" s="61">
        <v>0.2</v>
      </c>
      <c r="J172" s="61">
        <v>0.4</v>
      </c>
      <c r="K172" s="61">
        <v>0.2</v>
      </c>
      <c r="L172" s="61">
        <v>0.1</v>
      </c>
      <c r="M172" s="134"/>
      <c r="N172" s="123"/>
      <c r="O172" s="123"/>
      <c r="P172" s="123"/>
      <c r="Q172" s="123"/>
      <c r="R172" s="123"/>
      <c r="S172" s="123"/>
      <c r="T172" s="123"/>
      <c r="U172" s="123"/>
      <c r="V172" s="123"/>
    </row>
    <row r="173" spans="1:22" ht="15" customHeight="1" x14ac:dyDescent="0.25">
      <c r="A173" s="132">
        <v>23</v>
      </c>
      <c r="B173" s="132" t="s">
        <v>1233</v>
      </c>
      <c r="C173" s="132" t="s">
        <v>1234</v>
      </c>
      <c r="D173" s="133" t="s">
        <v>1235</v>
      </c>
      <c r="E173" s="135">
        <v>44409</v>
      </c>
      <c r="F173" s="135">
        <v>44896</v>
      </c>
      <c r="G173" s="61">
        <v>0.25</v>
      </c>
      <c r="H173" s="61">
        <v>0.25</v>
      </c>
      <c r="I173" s="61">
        <v>0.5</v>
      </c>
      <c r="J173" s="61">
        <v>0</v>
      </c>
      <c r="K173" s="61">
        <v>0</v>
      </c>
      <c r="L173" s="61">
        <v>0</v>
      </c>
      <c r="M173" s="134"/>
      <c r="N173" s="123"/>
      <c r="O173" s="123"/>
      <c r="P173" s="123"/>
      <c r="Q173" s="123"/>
      <c r="R173" s="123"/>
      <c r="S173" s="123"/>
      <c r="T173" s="123"/>
      <c r="U173" s="123"/>
      <c r="V173" s="123"/>
    </row>
    <row r="174" spans="1:22" ht="15" customHeight="1" x14ac:dyDescent="0.25">
      <c r="A174" s="132">
        <v>23</v>
      </c>
      <c r="B174" s="132" t="s">
        <v>1233</v>
      </c>
      <c r="C174" s="132" t="s">
        <v>1236</v>
      </c>
      <c r="D174" s="133" t="s">
        <v>1237</v>
      </c>
      <c r="E174" s="135">
        <v>44774</v>
      </c>
      <c r="F174" s="135">
        <v>45078</v>
      </c>
      <c r="G174" s="61">
        <v>0</v>
      </c>
      <c r="H174" s="61">
        <v>0</v>
      </c>
      <c r="I174" s="61">
        <v>0.40000000596046448</v>
      </c>
      <c r="J174" s="61">
        <v>0.60000002384185791</v>
      </c>
      <c r="K174" s="61">
        <v>0</v>
      </c>
      <c r="L174" s="61">
        <v>0</v>
      </c>
      <c r="M174" s="134"/>
      <c r="N174" s="123"/>
      <c r="O174" s="123"/>
      <c r="P174" s="123"/>
      <c r="Q174" s="123"/>
      <c r="R174" s="123"/>
      <c r="S174" s="123"/>
      <c r="T174" s="123"/>
      <c r="U174" s="123"/>
      <c r="V174" s="123"/>
    </row>
    <row r="175" spans="1:22" ht="15" customHeight="1" x14ac:dyDescent="0.25">
      <c r="A175" s="132">
        <v>23</v>
      </c>
      <c r="B175" s="132" t="s">
        <v>1233</v>
      </c>
      <c r="C175" s="132" t="s">
        <v>1238</v>
      </c>
      <c r="D175" s="133" t="s">
        <v>1239</v>
      </c>
      <c r="E175" s="135">
        <v>45108</v>
      </c>
      <c r="F175" s="135">
        <v>45261</v>
      </c>
      <c r="G175" s="61">
        <v>0</v>
      </c>
      <c r="H175" s="61">
        <v>0</v>
      </c>
      <c r="I175" s="61">
        <v>0</v>
      </c>
      <c r="J175" s="61">
        <v>0.40000000596046448</v>
      </c>
      <c r="K175" s="61">
        <v>0.60000002384185791</v>
      </c>
      <c r="L175" s="61">
        <v>0</v>
      </c>
      <c r="M175" s="134"/>
      <c r="N175" s="123"/>
      <c r="O175" s="123"/>
      <c r="P175" s="123"/>
      <c r="Q175" s="123"/>
      <c r="R175" s="123"/>
      <c r="S175" s="123"/>
      <c r="T175" s="123"/>
      <c r="U175" s="123"/>
      <c r="V175" s="123"/>
    </row>
    <row r="176" spans="1:22" ht="15" customHeight="1" x14ac:dyDescent="0.25">
      <c r="A176" s="132">
        <v>23</v>
      </c>
      <c r="B176" s="132" t="s">
        <v>1240</v>
      </c>
      <c r="C176" s="132" t="s">
        <v>1241</v>
      </c>
      <c r="D176" s="133" t="s">
        <v>1242</v>
      </c>
      <c r="E176" s="135">
        <v>44409</v>
      </c>
      <c r="F176" s="135">
        <v>45078</v>
      </c>
      <c r="G176" s="61">
        <v>0.20000000298023224</v>
      </c>
      <c r="H176" s="61">
        <v>0.20000000298023224</v>
      </c>
      <c r="I176" s="61">
        <v>0.20000000298023224</v>
      </c>
      <c r="J176" s="61">
        <v>0.40000000596046448</v>
      </c>
      <c r="K176" s="61">
        <v>0</v>
      </c>
      <c r="L176" s="61">
        <v>0</v>
      </c>
      <c r="M176" s="134"/>
      <c r="N176" s="123"/>
      <c r="O176" s="123"/>
      <c r="P176" s="123"/>
      <c r="Q176" s="123"/>
      <c r="R176" s="123"/>
      <c r="S176" s="123"/>
      <c r="T176" s="123"/>
      <c r="U176" s="123"/>
      <c r="V176" s="123"/>
    </row>
    <row r="177" spans="1:22" ht="15" customHeight="1" x14ac:dyDescent="0.25">
      <c r="A177" s="132">
        <v>24</v>
      </c>
      <c r="B177" s="132" t="s">
        <v>1243</v>
      </c>
      <c r="C177" s="132" t="s">
        <v>1244</v>
      </c>
      <c r="D177" s="133" t="s">
        <v>1245</v>
      </c>
      <c r="E177" s="135">
        <v>44409</v>
      </c>
      <c r="F177" s="135">
        <v>45382</v>
      </c>
      <c r="G177" s="61">
        <v>7.8000001609325409E-2</v>
      </c>
      <c r="H177" s="61">
        <v>0.20200000703334808</v>
      </c>
      <c r="I177" s="61">
        <v>0.30199998617172241</v>
      </c>
      <c r="J177" s="61">
        <v>0.23999999463558197</v>
      </c>
      <c r="K177" s="61">
        <v>0.14000000059604645</v>
      </c>
      <c r="L177" s="61">
        <v>3.7999998778104782E-2</v>
      </c>
      <c r="M177" s="134"/>
      <c r="N177" s="123"/>
      <c r="O177" s="123"/>
      <c r="P177" s="123"/>
      <c r="Q177" s="123"/>
      <c r="R177" s="123"/>
      <c r="S177" s="123"/>
      <c r="T177" s="123"/>
      <c r="U177" s="123"/>
      <c r="V177" s="123"/>
    </row>
    <row r="178" spans="1:22" ht="15" customHeight="1" x14ac:dyDescent="0.25">
      <c r="A178" s="132">
        <v>24</v>
      </c>
      <c r="B178" s="132" t="s">
        <v>1243</v>
      </c>
      <c r="C178" s="132" t="s">
        <v>1246</v>
      </c>
      <c r="D178" s="133" t="s">
        <v>1247</v>
      </c>
      <c r="E178" s="135">
        <v>44409</v>
      </c>
      <c r="F178" s="135">
        <v>45291</v>
      </c>
      <c r="G178" s="134">
        <v>2.8000000864267349E-2</v>
      </c>
      <c r="H178" s="134">
        <v>0.2800000011920929</v>
      </c>
      <c r="I178" s="134">
        <v>0.25200000405311584</v>
      </c>
      <c r="J178" s="134">
        <v>0.2199999988079071</v>
      </c>
      <c r="K178" s="134">
        <v>0.2199999988079071</v>
      </c>
      <c r="L178" s="134">
        <v>0</v>
      </c>
      <c r="M178" s="134"/>
      <c r="N178" s="123"/>
      <c r="O178" s="123"/>
      <c r="P178" s="123"/>
      <c r="Q178" s="123"/>
      <c r="R178" s="123"/>
      <c r="S178" s="123"/>
      <c r="T178" s="123"/>
      <c r="U178" s="123"/>
      <c r="V178" s="123"/>
    </row>
    <row r="179" spans="1:22" ht="15" customHeight="1" x14ac:dyDescent="0.25">
      <c r="A179" s="132">
        <v>24</v>
      </c>
      <c r="B179" s="132" t="s">
        <v>1243</v>
      </c>
      <c r="C179" s="132" t="s">
        <v>1248</v>
      </c>
      <c r="D179" s="133" t="s">
        <v>1249</v>
      </c>
      <c r="E179" s="135">
        <v>44409</v>
      </c>
      <c r="F179" s="135">
        <v>45382</v>
      </c>
      <c r="G179" s="134">
        <v>0.10000000149011612</v>
      </c>
      <c r="H179" s="134">
        <v>0.22499999403953552</v>
      </c>
      <c r="I179" s="134">
        <v>0.22499999403953552</v>
      </c>
      <c r="J179" s="134">
        <v>0.20000000298023224</v>
      </c>
      <c r="K179" s="134">
        <v>0.20000000298023224</v>
      </c>
      <c r="L179" s="134">
        <v>5.000000074505806E-2</v>
      </c>
      <c r="M179" s="134"/>
      <c r="N179" s="123"/>
      <c r="O179" s="123"/>
      <c r="P179" s="123"/>
      <c r="Q179" s="123"/>
      <c r="R179" s="123"/>
      <c r="S179" s="123"/>
      <c r="T179" s="123"/>
      <c r="U179" s="123"/>
      <c r="V179" s="123"/>
    </row>
    <row r="180" spans="1:22" ht="15" customHeight="1" x14ac:dyDescent="0.25">
      <c r="A180" s="132">
        <v>24</v>
      </c>
      <c r="B180" s="132" t="s">
        <v>1243</v>
      </c>
      <c r="C180" s="132" t="s">
        <v>1250</v>
      </c>
      <c r="D180" s="133" t="s">
        <v>1251</v>
      </c>
      <c r="E180" s="135">
        <v>44409</v>
      </c>
      <c r="F180" s="135">
        <v>45291</v>
      </c>
      <c r="G180" s="134">
        <v>0.15000000596046448</v>
      </c>
      <c r="H180" s="134">
        <v>0.2199999988079071</v>
      </c>
      <c r="I180" s="134">
        <v>0.2199999988079071</v>
      </c>
      <c r="J180" s="134">
        <v>0.20499999821186066</v>
      </c>
      <c r="K180" s="134">
        <v>0.20499999821186066</v>
      </c>
      <c r="L180" s="134">
        <v>0</v>
      </c>
      <c r="M180" s="134"/>
      <c r="N180" s="123"/>
      <c r="O180" s="123"/>
      <c r="P180" s="123"/>
      <c r="Q180" s="123"/>
      <c r="R180" s="123"/>
      <c r="S180" s="123"/>
      <c r="T180" s="123"/>
      <c r="U180" s="123"/>
      <c r="V180" s="123"/>
    </row>
    <row r="181" spans="1:22" ht="15" customHeight="1" x14ac:dyDescent="0.25">
      <c r="A181" s="132">
        <v>24</v>
      </c>
      <c r="B181" s="132" t="s">
        <v>1243</v>
      </c>
      <c r="C181" s="132" t="s">
        <v>1252</v>
      </c>
      <c r="D181" s="133" t="s">
        <v>1253</v>
      </c>
      <c r="E181" s="135">
        <v>44593</v>
      </c>
      <c r="F181" s="135">
        <v>45382</v>
      </c>
      <c r="G181" s="134">
        <v>0</v>
      </c>
      <c r="H181" s="134">
        <v>0.23000000417232513</v>
      </c>
      <c r="I181" s="134">
        <v>0.23000000417232513</v>
      </c>
      <c r="J181" s="134">
        <v>0.27000001072883606</v>
      </c>
      <c r="K181" s="134">
        <v>0.27000001072883606</v>
      </c>
      <c r="L181" s="134">
        <v>0</v>
      </c>
      <c r="M181" s="134"/>
      <c r="N181" s="123"/>
      <c r="O181" s="123"/>
      <c r="P181" s="123"/>
      <c r="Q181" s="123"/>
      <c r="R181" s="123"/>
      <c r="S181" s="123"/>
      <c r="T181" s="123"/>
      <c r="U181" s="123"/>
      <c r="V181" s="123"/>
    </row>
    <row r="182" spans="1:22" ht="15" customHeight="1" x14ac:dyDescent="0.25">
      <c r="A182" s="132">
        <v>24</v>
      </c>
      <c r="B182" s="132" t="s">
        <v>1254</v>
      </c>
      <c r="C182" s="132" t="s">
        <v>1255</v>
      </c>
      <c r="D182" s="133" t="s">
        <v>1256</v>
      </c>
      <c r="E182" s="135">
        <v>44470</v>
      </c>
      <c r="F182" s="135">
        <v>45291</v>
      </c>
      <c r="G182" s="134">
        <v>0.11999999731779099</v>
      </c>
      <c r="H182" s="134">
        <v>0.2199999988079071</v>
      </c>
      <c r="I182" s="134">
        <v>0.20000000298023224</v>
      </c>
      <c r="J182" s="134">
        <v>0.23000000417232513</v>
      </c>
      <c r="K182" s="134">
        <v>0.23000000417232513</v>
      </c>
      <c r="L182" s="134">
        <v>0</v>
      </c>
      <c r="M182" s="134"/>
      <c r="N182" s="123"/>
      <c r="O182" s="123"/>
      <c r="P182" s="123"/>
      <c r="Q182" s="123"/>
      <c r="R182" s="123"/>
      <c r="S182" s="123"/>
      <c r="T182" s="123"/>
      <c r="U182" s="123"/>
      <c r="V182" s="123"/>
    </row>
    <row r="183" spans="1:22" ht="15" customHeight="1" x14ac:dyDescent="0.25">
      <c r="A183" s="132">
        <v>24</v>
      </c>
      <c r="B183" s="132" t="s">
        <v>1254</v>
      </c>
      <c r="C183" s="132" t="s">
        <v>1257</v>
      </c>
      <c r="D183" s="133" t="s">
        <v>1258</v>
      </c>
      <c r="E183" s="135">
        <v>44593</v>
      </c>
      <c r="F183" s="135">
        <v>45382</v>
      </c>
      <c r="G183" s="134">
        <v>0</v>
      </c>
      <c r="H183" s="134">
        <v>0.2199999988079071</v>
      </c>
      <c r="I183" s="134">
        <v>0.23000000417232513</v>
      </c>
      <c r="J183" s="134">
        <v>0.23999999463558197</v>
      </c>
      <c r="K183" s="134">
        <v>0.23999999463558197</v>
      </c>
      <c r="L183" s="134">
        <v>7.0000000298023224E-2</v>
      </c>
      <c r="M183" s="134"/>
      <c r="N183" s="123"/>
      <c r="O183" s="123"/>
      <c r="P183" s="123"/>
      <c r="Q183" s="123"/>
      <c r="R183" s="123"/>
      <c r="S183" s="123"/>
      <c r="T183" s="123"/>
      <c r="U183" s="123"/>
      <c r="V183" s="123"/>
    </row>
    <row r="184" spans="1:22" ht="15" customHeight="1" x14ac:dyDescent="0.25">
      <c r="A184" s="132">
        <v>24</v>
      </c>
      <c r="B184" s="132" t="s">
        <v>1254</v>
      </c>
      <c r="C184" s="132" t="s">
        <v>1259</v>
      </c>
      <c r="D184" s="133" t="s">
        <v>1260</v>
      </c>
      <c r="E184" s="135">
        <v>44409</v>
      </c>
      <c r="F184" s="135">
        <v>45291</v>
      </c>
      <c r="G184" s="134">
        <v>5.000000074505806E-2</v>
      </c>
      <c r="H184" s="134">
        <v>0.22599999606609344</v>
      </c>
      <c r="I184" s="134">
        <v>0.22400000691413879</v>
      </c>
      <c r="J184" s="134">
        <v>0.25</v>
      </c>
      <c r="K184" s="134">
        <v>0.25</v>
      </c>
      <c r="L184" s="134">
        <v>0</v>
      </c>
      <c r="M184" s="134"/>
      <c r="N184" s="123"/>
      <c r="O184" s="123"/>
      <c r="P184" s="123"/>
      <c r="Q184" s="123"/>
      <c r="R184" s="123"/>
      <c r="S184" s="123"/>
      <c r="T184" s="123"/>
      <c r="U184" s="123"/>
      <c r="V184" s="123"/>
    </row>
    <row r="185" spans="1:22" ht="15" customHeight="1" x14ac:dyDescent="0.25">
      <c r="A185" s="132">
        <v>24</v>
      </c>
      <c r="B185" s="132" t="s">
        <v>1254</v>
      </c>
      <c r="C185" s="132" t="s">
        <v>1261</v>
      </c>
      <c r="D185" s="133" t="s">
        <v>1262</v>
      </c>
      <c r="E185" s="135">
        <v>44470</v>
      </c>
      <c r="F185" s="135">
        <v>45382</v>
      </c>
      <c r="G185" s="134">
        <v>3.9999999105930328E-2</v>
      </c>
      <c r="H185" s="134">
        <v>0.20000000298023224</v>
      </c>
      <c r="I185" s="134">
        <v>0.2199999988079071</v>
      </c>
      <c r="J185" s="134">
        <v>0.2199999988079071</v>
      </c>
      <c r="K185" s="134">
        <v>0.2199999988079071</v>
      </c>
      <c r="L185" s="134">
        <v>0.10000000149011612</v>
      </c>
      <c r="M185" s="134"/>
      <c r="N185" s="123"/>
      <c r="O185" s="123"/>
      <c r="P185" s="123"/>
      <c r="Q185" s="123"/>
      <c r="R185" s="123"/>
      <c r="S185" s="123"/>
      <c r="T185" s="123"/>
      <c r="U185" s="123"/>
      <c r="V185" s="123"/>
    </row>
    <row r="186" spans="1:22" ht="15" customHeight="1" x14ac:dyDescent="0.25">
      <c r="A186" s="132">
        <v>24</v>
      </c>
      <c r="B186" s="132" t="s">
        <v>1263</v>
      </c>
      <c r="C186" s="132" t="s">
        <v>1264</v>
      </c>
      <c r="D186" s="133" t="s">
        <v>1265</v>
      </c>
      <c r="E186" s="135">
        <v>44593</v>
      </c>
      <c r="F186" s="135">
        <v>45382</v>
      </c>
      <c r="G186" s="134">
        <v>0</v>
      </c>
      <c r="H186" s="134">
        <v>0.2199999988079071</v>
      </c>
      <c r="I186" s="134">
        <v>0.22499999403953552</v>
      </c>
      <c r="J186" s="134">
        <v>0.25</v>
      </c>
      <c r="K186" s="134">
        <v>0.22499999403953552</v>
      </c>
      <c r="L186" s="134">
        <v>7.9999998211860657E-2</v>
      </c>
      <c r="M186" s="134"/>
      <c r="N186" s="123"/>
      <c r="O186" s="123"/>
      <c r="P186" s="123"/>
      <c r="Q186" s="123"/>
      <c r="R186" s="123"/>
      <c r="S186" s="123"/>
      <c r="T186" s="123"/>
      <c r="U186" s="123"/>
      <c r="V186" s="123"/>
    </row>
    <row r="187" spans="1:22" ht="15" customHeight="1" x14ac:dyDescent="0.25">
      <c r="A187" s="132">
        <v>24</v>
      </c>
      <c r="B187" s="132" t="s">
        <v>1263</v>
      </c>
      <c r="C187" s="132" t="s">
        <v>1266</v>
      </c>
      <c r="D187" s="133" t="s">
        <v>1267</v>
      </c>
      <c r="E187" s="135">
        <v>44409</v>
      </c>
      <c r="F187" s="135">
        <v>45382</v>
      </c>
      <c r="G187" s="134">
        <v>5.000000074505806E-2</v>
      </c>
      <c r="H187" s="134">
        <v>0.20999999344348907</v>
      </c>
      <c r="I187" s="134">
        <v>0.2199999988079071</v>
      </c>
      <c r="J187" s="134">
        <v>0.21500000357627869</v>
      </c>
      <c r="K187" s="134">
        <v>0.21500000357627869</v>
      </c>
      <c r="L187" s="134">
        <v>9.0000003576278687E-2</v>
      </c>
      <c r="M187" s="134"/>
      <c r="N187" s="123"/>
      <c r="O187" s="123"/>
      <c r="P187" s="123"/>
      <c r="Q187" s="123"/>
      <c r="R187" s="123"/>
      <c r="S187" s="123"/>
      <c r="T187" s="123"/>
      <c r="U187" s="123"/>
      <c r="V187" s="123"/>
    </row>
    <row r="188" spans="1:22" ht="15" customHeight="1" x14ac:dyDescent="0.25">
      <c r="A188" s="132">
        <v>24</v>
      </c>
      <c r="B188" s="132" t="s">
        <v>1263</v>
      </c>
      <c r="C188" s="132" t="s">
        <v>1268</v>
      </c>
      <c r="D188" s="133" t="s">
        <v>1269</v>
      </c>
      <c r="E188" s="135">
        <v>44409</v>
      </c>
      <c r="F188" s="135">
        <v>45382</v>
      </c>
      <c r="G188" s="134">
        <v>1.9999999552965164E-2</v>
      </c>
      <c r="H188" s="134">
        <v>0.20000000298023224</v>
      </c>
      <c r="I188" s="134">
        <v>0.23499999940395355</v>
      </c>
      <c r="J188" s="134">
        <v>0.24500000476837158</v>
      </c>
      <c r="K188" s="134">
        <v>0.25</v>
      </c>
      <c r="L188" s="134">
        <v>5.000000074505806E-2</v>
      </c>
      <c r="M188" s="134"/>
      <c r="N188" s="123"/>
      <c r="O188" s="123"/>
      <c r="P188" s="123"/>
      <c r="Q188" s="123"/>
      <c r="R188" s="123"/>
      <c r="S188" s="123"/>
      <c r="T188" s="123"/>
      <c r="U188" s="123"/>
      <c r="V188" s="123"/>
    </row>
    <row r="189" spans="1:22" ht="15" customHeight="1" x14ac:dyDescent="0.25">
      <c r="A189" s="132">
        <v>25</v>
      </c>
      <c r="B189" s="132" t="s">
        <v>1270</v>
      </c>
      <c r="C189" s="132" t="s">
        <v>1271</v>
      </c>
      <c r="D189" s="133" t="s">
        <v>1272</v>
      </c>
      <c r="E189" s="135">
        <v>44409</v>
      </c>
      <c r="F189" s="135">
        <v>45354</v>
      </c>
      <c r="G189" s="134">
        <v>0</v>
      </c>
      <c r="H189" s="134">
        <v>0</v>
      </c>
      <c r="I189" s="134">
        <v>0.40000000596046448</v>
      </c>
      <c r="J189" s="134">
        <v>0</v>
      </c>
      <c r="K189" s="134">
        <v>0.40000000596046448</v>
      </c>
      <c r="L189" s="134">
        <v>0.20000000298023224</v>
      </c>
      <c r="M189" s="134"/>
      <c r="N189" s="123"/>
      <c r="O189" s="123"/>
      <c r="P189" s="123"/>
      <c r="Q189" s="123"/>
      <c r="R189" s="123"/>
      <c r="S189" s="123"/>
      <c r="T189" s="123"/>
      <c r="U189" s="123"/>
      <c r="V189" s="123"/>
    </row>
    <row r="190" spans="1:22" ht="15" customHeight="1" x14ac:dyDescent="0.25">
      <c r="A190" s="132">
        <v>25</v>
      </c>
      <c r="B190" s="132" t="s">
        <v>1270</v>
      </c>
      <c r="C190" s="132" t="s">
        <v>1273</v>
      </c>
      <c r="D190" s="133" t="s">
        <v>1274</v>
      </c>
      <c r="E190" s="135">
        <v>44409</v>
      </c>
      <c r="F190" s="135">
        <v>44849</v>
      </c>
      <c r="G190" s="134">
        <v>0</v>
      </c>
      <c r="H190" s="134">
        <v>0.60000002384185791</v>
      </c>
      <c r="I190" s="134">
        <v>0.40000000596046448</v>
      </c>
      <c r="J190" s="134">
        <v>0</v>
      </c>
      <c r="K190" s="134">
        <v>0</v>
      </c>
      <c r="L190" s="134">
        <v>0</v>
      </c>
      <c r="M190" s="134"/>
      <c r="N190" s="123"/>
      <c r="O190" s="123"/>
      <c r="P190" s="123"/>
      <c r="Q190" s="123"/>
      <c r="R190" s="123"/>
      <c r="S190" s="123"/>
      <c r="T190" s="123"/>
      <c r="U190" s="123"/>
      <c r="V190" s="123"/>
    </row>
    <row r="191" spans="1:22" ht="15" customHeight="1" x14ac:dyDescent="0.25">
      <c r="A191" s="132">
        <v>25</v>
      </c>
      <c r="B191" s="132" t="s">
        <v>1275</v>
      </c>
      <c r="C191" s="132" t="s">
        <v>1276</v>
      </c>
      <c r="D191" s="133" t="s">
        <v>1277</v>
      </c>
      <c r="E191" s="135">
        <v>44409</v>
      </c>
      <c r="F191" s="135">
        <v>45354</v>
      </c>
      <c r="G191" s="134">
        <v>0.125</v>
      </c>
      <c r="H191" s="134">
        <v>0.125</v>
      </c>
      <c r="I191" s="134">
        <v>0.25</v>
      </c>
      <c r="J191" s="134">
        <v>0.125</v>
      </c>
      <c r="K191" s="134">
        <v>0.25</v>
      </c>
      <c r="L191" s="134">
        <v>0.125</v>
      </c>
      <c r="M191" s="134"/>
      <c r="N191" s="123"/>
      <c r="O191" s="123"/>
      <c r="P191" s="123"/>
      <c r="Q191" s="123"/>
      <c r="R191" s="123"/>
      <c r="S191" s="123"/>
      <c r="T191" s="123"/>
      <c r="U191" s="123"/>
      <c r="V191" s="123"/>
    </row>
    <row r="192" spans="1:22" ht="15" customHeight="1" x14ac:dyDescent="0.25">
      <c r="A192" s="132">
        <v>25</v>
      </c>
      <c r="B192" s="132" t="s">
        <v>1275</v>
      </c>
      <c r="C192" s="132" t="s">
        <v>1278</v>
      </c>
      <c r="D192" s="133" t="s">
        <v>1279</v>
      </c>
      <c r="E192" s="135">
        <v>44409</v>
      </c>
      <c r="F192" s="135">
        <v>45354</v>
      </c>
      <c r="G192" s="134">
        <v>0</v>
      </c>
      <c r="H192" s="134">
        <v>0</v>
      </c>
      <c r="I192" s="134">
        <v>0.40000000596046448</v>
      </c>
      <c r="J192" s="134">
        <v>0</v>
      </c>
      <c r="K192" s="134">
        <v>0.40000000596046448</v>
      </c>
      <c r="L192" s="134">
        <v>0.20000000298023224</v>
      </c>
      <c r="M192" s="134"/>
      <c r="N192" s="123"/>
      <c r="O192" s="123"/>
      <c r="P192" s="123"/>
      <c r="Q192" s="123"/>
      <c r="R192" s="123"/>
      <c r="S192" s="123"/>
      <c r="T192" s="123"/>
      <c r="U192" s="123"/>
      <c r="V192" s="123"/>
    </row>
    <row r="193" spans="1:22" ht="15" customHeight="1" x14ac:dyDescent="0.25">
      <c r="A193" s="132">
        <v>25</v>
      </c>
      <c r="B193" s="132" t="s">
        <v>1275</v>
      </c>
      <c r="C193" s="132" t="s">
        <v>1280</v>
      </c>
      <c r="D193" s="133" t="s">
        <v>1281</v>
      </c>
      <c r="E193" s="135">
        <v>44409</v>
      </c>
      <c r="F193" s="135">
        <v>45354</v>
      </c>
      <c r="G193" s="134">
        <v>0</v>
      </c>
      <c r="H193" s="134">
        <v>0.5</v>
      </c>
      <c r="I193" s="134">
        <v>0</v>
      </c>
      <c r="J193" s="134">
        <v>0.5</v>
      </c>
      <c r="K193" s="134">
        <v>0</v>
      </c>
      <c r="L193" s="134">
        <v>0</v>
      </c>
      <c r="M193" s="134"/>
      <c r="N193" s="123"/>
      <c r="O193" s="123"/>
      <c r="P193" s="123"/>
      <c r="Q193" s="123"/>
      <c r="R193" s="123"/>
      <c r="S193" s="123"/>
      <c r="T193" s="123"/>
      <c r="U193" s="123"/>
      <c r="V193" s="123"/>
    </row>
    <row r="194" spans="1:22" ht="15" customHeight="1" x14ac:dyDescent="0.25">
      <c r="A194" s="132">
        <v>26</v>
      </c>
      <c r="B194" s="132" t="s">
        <v>1861</v>
      </c>
      <c r="C194" s="132" t="s">
        <v>1862</v>
      </c>
      <c r="D194" s="133" t="s">
        <v>1863</v>
      </c>
      <c r="E194" s="135">
        <v>44562</v>
      </c>
      <c r="F194" s="135">
        <v>44896</v>
      </c>
      <c r="G194" s="134">
        <v>0</v>
      </c>
      <c r="H194" s="134">
        <v>0.5</v>
      </c>
      <c r="I194" s="134">
        <v>0.5</v>
      </c>
      <c r="J194" s="134">
        <v>0</v>
      </c>
      <c r="K194" s="134">
        <v>0</v>
      </c>
      <c r="L194" s="134">
        <v>0</v>
      </c>
      <c r="M194" s="134"/>
      <c r="N194" s="123"/>
      <c r="O194" s="123"/>
      <c r="P194" s="123"/>
      <c r="Q194" s="123"/>
      <c r="R194" s="123"/>
      <c r="S194" s="123"/>
      <c r="T194" s="123"/>
      <c r="U194" s="123"/>
      <c r="V194" s="123"/>
    </row>
    <row r="195" spans="1:22" ht="15" customHeight="1" x14ac:dyDescent="0.25">
      <c r="A195" s="132">
        <v>26</v>
      </c>
      <c r="B195" s="132" t="s">
        <v>1861</v>
      </c>
      <c r="C195" s="132" t="s">
        <v>1864</v>
      </c>
      <c r="D195" s="133" t="s">
        <v>1865</v>
      </c>
      <c r="E195" s="135">
        <v>44562</v>
      </c>
      <c r="F195" s="135">
        <v>45260</v>
      </c>
      <c r="G195" s="61">
        <v>0</v>
      </c>
      <c r="H195" s="61">
        <v>0.25</v>
      </c>
      <c r="I195" s="61">
        <v>0.25</v>
      </c>
      <c r="J195" s="61">
        <v>0.25</v>
      </c>
      <c r="K195" s="61">
        <v>0.25</v>
      </c>
      <c r="L195" s="61">
        <v>0</v>
      </c>
      <c r="M195" s="134"/>
      <c r="N195" s="123"/>
      <c r="O195" s="123"/>
      <c r="P195" s="123"/>
      <c r="Q195" s="123"/>
      <c r="R195" s="123"/>
      <c r="S195" s="123"/>
      <c r="T195" s="123"/>
      <c r="U195" s="123"/>
      <c r="V195" s="123"/>
    </row>
    <row r="196" spans="1:22" ht="15" customHeight="1" x14ac:dyDescent="0.25">
      <c r="A196" s="132">
        <v>26</v>
      </c>
      <c r="B196" s="132" t="s">
        <v>1866</v>
      </c>
      <c r="C196" s="132" t="s">
        <v>1867</v>
      </c>
      <c r="D196" s="133" t="s">
        <v>1868</v>
      </c>
      <c r="E196" s="135">
        <v>44440</v>
      </c>
      <c r="F196" s="135">
        <v>45260</v>
      </c>
      <c r="G196" s="61">
        <v>0.17000000178813934</v>
      </c>
      <c r="H196" s="61">
        <v>0.23000000417232513</v>
      </c>
      <c r="I196" s="61">
        <v>0.33000001311302185</v>
      </c>
      <c r="J196" s="61">
        <v>0.34999999403953552</v>
      </c>
      <c r="K196" s="61">
        <v>0.43999999761581421</v>
      </c>
      <c r="L196" s="61">
        <v>0</v>
      </c>
      <c r="M196" s="134"/>
      <c r="N196" s="123"/>
      <c r="O196" s="123"/>
      <c r="P196" s="123"/>
      <c r="Q196" s="123"/>
      <c r="R196" s="123"/>
      <c r="S196" s="123"/>
      <c r="T196" s="123"/>
      <c r="U196" s="123"/>
      <c r="V196" s="123"/>
    </row>
    <row r="197" spans="1:22" ht="15" customHeight="1" x14ac:dyDescent="0.25">
      <c r="A197" s="132">
        <v>26</v>
      </c>
      <c r="B197" s="132" t="s">
        <v>1866</v>
      </c>
      <c r="C197" s="132" t="s">
        <v>1869</v>
      </c>
      <c r="D197" s="133" t="s">
        <v>1870</v>
      </c>
      <c r="E197" s="135">
        <v>44440</v>
      </c>
      <c r="F197" s="135">
        <v>45260</v>
      </c>
      <c r="G197" s="61">
        <v>0.30000001192092896</v>
      </c>
      <c r="H197" s="61">
        <v>0.5</v>
      </c>
      <c r="I197" s="61">
        <v>0.69999998807907104</v>
      </c>
      <c r="J197" s="61">
        <v>0.80000001192092896</v>
      </c>
      <c r="K197" s="61">
        <v>1</v>
      </c>
      <c r="L197" s="61">
        <v>0</v>
      </c>
      <c r="M197" s="134"/>
      <c r="N197" s="123"/>
      <c r="O197" s="123"/>
      <c r="P197" s="123"/>
      <c r="Q197" s="123"/>
      <c r="R197" s="123"/>
      <c r="S197" s="123"/>
      <c r="T197" s="123"/>
      <c r="U197" s="123"/>
      <c r="V197" s="123"/>
    </row>
    <row r="198" spans="1:22" ht="15" customHeight="1" x14ac:dyDescent="0.25">
      <c r="A198" s="132">
        <v>26</v>
      </c>
      <c r="B198" s="132" t="s">
        <v>1866</v>
      </c>
      <c r="C198" s="132" t="s">
        <v>1871</v>
      </c>
      <c r="D198" s="133" t="s">
        <v>1872</v>
      </c>
      <c r="E198" s="135">
        <v>44440</v>
      </c>
      <c r="F198" s="135">
        <v>45260</v>
      </c>
      <c r="G198" s="134">
        <v>0.30000001192092896</v>
      </c>
      <c r="H198" s="134">
        <v>0.5</v>
      </c>
      <c r="I198" s="134">
        <v>0.69999998807907104</v>
      </c>
      <c r="J198" s="134">
        <v>0.80000001192092896</v>
      </c>
      <c r="K198" s="134">
        <v>1</v>
      </c>
      <c r="L198" s="134">
        <v>0</v>
      </c>
      <c r="M198" s="134"/>
      <c r="N198" s="123"/>
      <c r="O198" s="123"/>
      <c r="P198" s="123"/>
      <c r="Q198" s="123"/>
      <c r="R198" s="123"/>
      <c r="S198" s="123"/>
      <c r="T198" s="123"/>
      <c r="U198" s="123"/>
      <c r="V198" s="123"/>
    </row>
    <row r="199" spans="1:22" ht="15" customHeight="1" x14ac:dyDescent="0.25">
      <c r="A199" s="132">
        <v>26</v>
      </c>
      <c r="B199" s="132" t="s">
        <v>1873</v>
      </c>
      <c r="C199" s="132" t="s">
        <v>1874</v>
      </c>
      <c r="D199" s="133" t="s">
        <v>1875</v>
      </c>
      <c r="E199" s="135">
        <v>44562</v>
      </c>
      <c r="F199" s="135">
        <v>44896</v>
      </c>
      <c r="G199" s="134">
        <v>0</v>
      </c>
      <c r="H199" s="134">
        <v>0.20000000298023224</v>
      </c>
      <c r="I199" s="134">
        <v>0.80000001192092896</v>
      </c>
      <c r="J199" s="134">
        <v>0</v>
      </c>
      <c r="K199" s="134">
        <v>0</v>
      </c>
      <c r="L199" s="134">
        <v>0</v>
      </c>
      <c r="M199" s="134"/>
      <c r="N199" s="123"/>
      <c r="O199" s="123"/>
      <c r="P199" s="123"/>
      <c r="Q199" s="123"/>
      <c r="R199" s="123"/>
      <c r="S199" s="123"/>
      <c r="T199" s="123"/>
      <c r="U199" s="123"/>
      <c r="V199" s="123"/>
    </row>
    <row r="200" spans="1:22" ht="15" customHeight="1" x14ac:dyDescent="0.25">
      <c r="A200" s="132">
        <v>26</v>
      </c>
      <c r="B200" s="132" t="s">
        <v>1873</v>
      </c>
      <c r="C200" s="132" t="s">
        <v>1876</v>
      </c>
      <c r="D200" s="133" t="s">
        <v>1877</v>
      </c>
      <c r="E200" s="135">
        <v>44470</v>
      </c>
      <c r="F200" s="135">
        <v>45260</v>
      </c>
      <c r="G200" s="134">
        <v>0.20000000298023224</v>
      </c>
      <c r="H200" s="134">
        <v>0.20000000298023224</v>
      </c>
      <c r="I200" s="134">
        <v>0.20000000298023224</v>
      </c>
      <c r="J200" s="134">
        <v>0.20000000298023224</v>
      </c>
      <c r="K200" s="134">
        <v>0.20000000298023224</v>
      </c>
      <c r="L200" s="134">
        <v>0</v>
      </c>
      <c r="M200" s="134"/>
      <c r="N200" s="123"/>
      <c r="O200" s="123"/>
      <c r="P200" s="123"/>
      <c r="Q200" s="123"/>
      <c r="R200" s="123"/>
      <c r="S200" s="123"/>
      <c r="T200" s="123"/>
      <c r="U200" s="123"/>
      <c r="V200" s="123"/>
    </row>
    <row r="201" spans="1:22" ht="15" customHeight="1" x14ac:dyDescent="0.25">
      <c r="A201" s="132">
        <v>27</v>
      </c>
      <c r="B201" s="132" t="s">
        <v>1282</v>
      </c>
      <c r="C201" s="132" t="s">
        <v>1283</v>
      </c>
      <c r="D201" s="133" t="s">
        <v>1284</v>
      </c>
      <c r="E201" s="135">
        <v>44409</v>
      </c>
      <c r="F201" s="135">
        <v>45381</v>
      </c>
      <c r="G201" s="134">
        <v>5.000000074505806E-2</v>
      </c>
      <c r="H201" s="134">
        <v>0.15000000596046448</v>
      </c>
      <c r="I201" s="134">
        <v>0.30000001192092896</v>
      </c>
      <c r="J201" s="134">
        <v>0.30000001192092896</v>
      </c>
      <c r="K201" s="134">
        <v>0.20000000298023224</v>
      </c>
      <c r="L201" s="134">
        <v>0</v>
      </c>
      <c r="M201" s="134"/>
      <c r="N201" s="123"/>
      <c r="O201" s="123"/>
      <c r="P201" s="123"/>
      <c r="Q201" s="123"/>
      <c r="R201" s="123"/>
      <c r="S201" s="123"/>
      <c r="T201" s="123"/>
      <c r="U201" s="123"/>
      <c r="V201" s="123"/>
    </row>
    <row r="202" spans="1:22" ht="15" customHeight="1" x14ac:dyDescent="0.25">
      <c r="A202" s="132">
        <v>27</v>
      </c>
      <c r="B202" s="132" t="s">
        <v>1282</v>
      </c>
      <c r="C202" s="132" t="s">
        <v>1285</v>
      </c>
      <c r="D202" s="133" t="s">
        <v>1286</v>
      </c>
      <c r="E202" s="135">
        <v>44409</v>
      </c>
      <c r="F202" s="135">
        <v>45381</v>
      </c>
      <c r="G202" s="134">
        <v>0</v>
      </c>
      <c r="H202" s="134">
        <v>0.20000000298023224</v>
      </c>
      <c r="I202" s="134">
        <v>0.40000000596046448</v>
      </c>
      <c r="J202" s="134">
        <v>0.20000000298023224</v>
      </c>
      <c r="K202" s="134">
        <v>0.20000000298023224</v>
      </c>
      <c r="L202" s="134">
        <v>0</v>
      </c>
      <c r="M202" s="134"/>
      <c r="N202" s="123"/>
      <c r="O202" s="123"/>
      <c r="P202" s="123"/>
      <c r="Q202" s="123"/>
      <c r="R202" s="123"/>
      <c r="S202" s="123"/>
      <c r="T202" s="123"/>
      <c r="U202" s="123"/>
      <c r="V202" s="123"/>
    </row>
    <row r="203" spans="1:22" ht="15" customHeight="1" x14ac:dyDescent="0.25">
      <c r="A203" s="132">
        <v>27</v>
      </c>
      <c r="B203" s="132" t="s">
        <v>1287</v>
      </c>
      <c r="C203" s="132" t="s">
        <v>1288</v>
      </c>
      <c r="D203" s="133" t="s">
        <v>1289</v>
      </c>
      <c r="E203" s="135">
        <v>44409</v>
      </c>
      <c r="F203" s="135">
        <v>45381</v>
      </c>
      <c r="G203" s="134">
        <v>5.000000074505806E-2</v>
      </c>
      <c r="H203" s="134">
        <v>0.15000000596046448</v>
      </c>
      <c r="I203" s="134">
        <v>0.30000001192092896</v>
      </c>
      <c r="J203" s="134">
        <v>0.30000001192092896</v>
      </c>
      <c r="K203" s="134">
        <v>0.20000000298023224</v>
      </c>
      <c r="L203" s="134">
        <v>0</v>
      </c>
      <c r="M203" s="134"/>
      <c r="N203" s="123"/>
      <c r="O203" s="123"/>
      <c r="P203" s="123"/>
      <c r="Q203" s="123"/>
      <c r="R203" s="123"/>
      <c r="S203" s="123"/>
      <c r="T203" s="123"/>
      <c r="U203" s="123"/>
      <c r="V203" s="123"/>
    </row>
    <row r="204" spans="1:22" ht="15" customHeight="1" x14ac:dyDescent="0.25">
      <c r="A204" s="132">
        <v>27</v>
      </c>
      <c r="B204" s="132" t="s">
        <v>1287</v>
      </c>
      <c r="C204" s="132" t="s">
        <v>1290</v>
      </c>
      <c r="D204" s="133" t="s">
        <v>1291</v>
      </c>
      <c r="E204" s="135">
        <v>44409</v>
      </c>
      <c r="F204" s="135">
        <v>45381</v>
      </c>
      <c r="G204" s="134">
        <v>0</v>
      </c>
      <c r="H204" s="134">
        <v>0.15000000596046448</v>
      </c>
      <c r="I204" s="134">
        <v>0.30000001192092896</v>
      </c>
      <c r="J204" s="134">
        <v>0.40000000596046448</v>
      </c>
      <c r="K204" s="134">
        <v>0.15000000596046448</v>
      </c>
      <c r="L204" s="134">
        <v>0</v>
      </c>
      <c r="M204" s="134"/>
      <c r="N204" s="123"/>
      <c r="O204" s="123"/>
      <c r="P204" s="123"/>
      <c r="Q204" s="123"/>
      <c r="R204" s="123"/>
      <c r="S204" s="123"/>
      <c r="T204" s="123"/>
      <c r="U204" s="123"/>
      <c r="V204" s="123"/>
    </row>
    <row r="205" spans="1:22" ht="15" customHeight="1" x14ac:dyDescent="0.25">
      <c r="A205" s="132">
        <v>28</v>
      </c>
      <c r="B205" s="132" t="s">
        <v>1292</v>
      </c>
      <c r="C205" s="132" t="s">
        <v>1293</v>
      </c>
      <c r="D205" s="133" t="s">
        <v>1294</v>
      </c>
      <c r="E205" s="135">
        <v>44409</v>
      </c>
      <c r="F205" s="135">
        <v>45381</v>
      </c>
      <c r="G205" s="134">
        <v>0.5</v>
      </c>
      <c r="H205" s="134">
        <v>0.15000000596046448</v>
      </c>
      <c r="I205" s="134">
        <v>0.10000000149011612</v>
      </c>
      <c r="J205" s="134">
        <v>0.15000000596046448</v>
      </c>
      <c r="K205" s="134">
        <v>0.10000000149011612</v>
      </c>
      <c r="L205" s="134">
        <v>0</v>
      </c>
      <c r="M205" s="134"/>
      <c r="N205" s="123"/>
      <c r="O205" s="123"/>
      <c r="P205" s="123"/>
      <c r="Q205" s="123"/>
      <c r="R205" s="123"/>
      <c r="S205" s="123"/>
      <c r="T205" s="123"/>
      <c r="U205" s="123"/>
      <c r="V205" s="123"/>
    </row>
    <row r="206" spans="1:22" ht="15" customHeight="1" x14ac:dyDescent="0.25">
      <c r="A206" s="132">
        <v>28</v>
      </c>
      <c r="B206" s="132" t="s">
        <v>1292</v>
      </c>
      <c r="C206" s="132" t="s">
        <v>1295</v>
      </c>
      <c r="D206" s="133" t="s">
        <v>1296</v>
      </c>
      <c r="E206" s="135">
        <v>44409</v>
      </c>
      <c r="F206" s="135">
        <v>45381</v>
      </c>
      <c r="G206" s="134">
        <v>0.20000000298023224</v>
      </c>
      <c r="H206" s="134">
        <v>0.20000000298023224</v>
      </c>
      <c r="I206" s="134">
        <v>0.20000000298023224</v>
      </c>
      <c r="J206" s="134">
        <v>0.20000000298023224</v>
      </c>
      <c r="K206" s="134">
        <v>0.20000000298023224</v>
      </c>
      <c r="L206" s="134">
        <v>0</v>
      </c>
      <c r="M206" s="134"/>
      <c r="N206" s="123"/>
      <c r="O206" s="123"/>
      <c r="P206" s="123"/>
      <c r="Q206" s="123"/>
      <c r="R206" s="123"/>
      <c r="S206" s="123"/>
      <c r="T206" s="123"/>
      <c r="U206" s="123"/>
      <c r="V206" s="123"/>
    </row>
    <row r="207" spans="1:22" ht="15" customHeight="1" x14ac:dyDescent="0.25">
      <c r="A207" s="132">
        <v>28</v>
      </c>
      <c r="B207" s="132" t="s">
        <v>1297</v>
      </c>
      <c r="C207" s="132" t="s">
        <v>1298</v>
      </c>
      <c r="D207" s="133" t="s">
        <v>1299</v>
      </c>
      <c r="E207" s="135">
        <v>44409</v>
      </c>
      <c r="F207" s="135">
        <v>44531</v>
      </c>
      <c r="G207" s="134">
        <v>1</v>
      </c>
      <c r="H207" s="134">
        <v>0</v>
      </c>
      <c r="I207" s="134">
        <v>0</v>
      </c>
      <c r="J207" s="134">
        <v>0</v>
      </c>
      <c r="K207" s="134">
        <v>0</v>
      </c>
      <c r="L207" s="134">
        <v>0</v>
      </c>
      <c r="M207" s="134"/>
      <c r="N207" s="123"/>
      <c r="O207" s="123"/>
      <c r="P207" s="123"/>
      <c r="Q207" s="123"/>
      <c r="R207" s="123"/>
      <c r="S207" s="123"/>
      <c r="T207" s="123"/>
      <c r="U207" s="123"/>
      <c r="V207" s="123"/>
    </row>
    <row r="208" spans="1:22" ht="15" customHeight="1" x14ac:dyDescent="0.25">
      <c r="A208" s="132">
        <v>28</v>
      </c>
      <c r="B208" s="132" t="s">
        <v>1297</v>
      </c>
      <c r="C208" s="132" t="s">
        <v>1300</v>
      </c>
      <c r="D208" s="133" t="s">
        <v>1301</v>
      </c>
      <c r="E208" s="135">
        <v>44409</v>
      </c>
      <c r="F208" s="135">
        <v>45381</v>
      </c>
      <c r="G208" s="134">
        <v>0.20000000298023224</v>
      </c>
      <c r="H208" s="134">
        <v>0.30000001192092896</v>
      </c>
      <c r="I208" s="134">
        <v>0.30000001192092896</v>
      </c>
      <c r="J208" s="134">
        <v>0.20000000298023224</v>
      </c>
      <c r="K208" s="134">
        <v>0</v>
      </c>
      <c r="L208" s="134">
        <v>0</v>
      </c>
      <c r="M208" s="134"/>
      <c r="N208" s="123"/>
      <c r="O208" s="123"/>
      <c r="P208" s="123"/>
      <c r="Q208" s="123"/>
      <c r="R208" s="123"/>
      <c r="S208" s="123"/>
      <c r="T208" s="123"/>
      <c r="U208" s="123"/>
      <c r="V208" s="123"/>
    </row>
    <row r="209" spans="1:22" ht="15" customHeight="1" x14ac:dyDescent="0.25">
      <c r="A209" s="132">
        <v>28</v>
      </c>
      <c r="B209" s="132" t="s">
        <v>1302</v>
      </c>
      <c r="C209" s="132" t="s">
        <v>1303</v>
      </c>
      <c r="D209" s="133" t="s">
        <v>1304</v>
      </c>
      <c r="E209" s="135">
        <v>44409</v>
      </c>
      <c r="F209" s="135">
        <v>45381</v>
      </c>
      <c r="G209" s="134">
        <v>0.10000000149011612</v>
      </c>
      <c r="H209" s="134">
        <v>0.20000000298023224</v>
      </c>
      <c r="I209" s="134">
        <v>0.40000000596046448</v>
      </c>
      <c r="J209" s="134">
        <v>0.20000000298023224</v>
      </c>
      <c r="K209" s="134">
        <v>0.10000000149011612</v>
      </c>
      <c r="L209" s="134">
        <v>0</v>
      </c>
      <c r="M209" s="134"/>
      <c r="N209" s="123"/>
      <c r="O209" s="123"/>
      <c r="P209" s="123"/>
      <c r="Q209" s="123"/>
      <c r="R209" s="123"/>
      <c r="S209" s="123"/>
      <c r="T209" s="123"/>
      <c r="U209" s="123"/>
      <c r="V209" s="123"/>
    </row>
    <row r="210" spans="1:22" ht="15" customHeight="1" x14ac:dyDescent="0.25">
      <c r="A210" s="132">
        <v>29</v>
      </c>
      <c r="B210" s="132" t="s">
        <v>1305</v>
      </c>
      <c r="C210" s="132" t="s">
        <v>1306</v>
      </c>
      <c r="D210" s="133" t="s">
        <v>1307</v>
      </c>
      <c r="E210" s="135">
        <v>44515</v>
      </c>
      <c r="F210" s="135">
        <v>45361</v>
      </c>
      <c r="G210" s="134">
        <v>0</v>
      </c>
      <c r="H210" s="134">
        <v>0</v>
      </c>
      <c r="I210" s="134">
        <v>0</v>
      </c>
      <c r="J210" s="134">
        <v>0.20000000298023224</v>
      </c>
      <c r="K210" s="134">
        <v>0.30000001192092896</v>
      </c>
      <c r="L210" s="134">
        <v>0.5</v>
      </c>
      <c r="M210" s="134"/>
      <c r="N210" s="123"/>
      <c r="O210" s="123"/>
      <c r="P210" s="123"/>
      <c r="Q210" s="123"/>
      <c r="R210" s="123"/>
      <c r="S210" s="123"/>
      <c r="T210" s="123"/>
      <c r="U210" s="123"/>
      <c r="V210" s="123"/>
    </row>
    <row r="211" spans="1:22" ht="15" customHeight="1" x14ac:dyDescent="0.25">
      <c r="A211" s="132">
        <v>29</v>
      </c>
      <c r="B211" s="132" t="s">
        <v>1305</v>
      </c>
      <c r="C211" s="132" t="s">
        <v>1308</v>
      </c>
      <c r="D211" s="133" t="s">
        <v>1309</v>
      </c>
      <c r="E211" s="135">
        <v>44515</v>
      </c>
      <c r="F211" s="135">
        <v>45361</v>
      </c>
      <c r="G211" s="134">
        <v>0</v>
      </c>
      <c r="H211" s="134">
        <v>0</v>
      </c>
      <c r="I211" s="134">
        <v>0</v>
      </c>
      <c r="J211" s="134">
        <v>0.20000000298023224</v>
      </c>
      <c r="K211" s="134">
        <v>0.30000001192092896</v>
      </c>
      <c r="L211" s="134">
        <v>0.5</v>
      </c>
      <c r="M211" s="134"/>
      <c r="N211" s="123"/>
      <c r="O211" s="123"/>
      <c r="P211" s="123"/>
      <c r="Q211" s="123"/>
      <c r="R211" s="123"/>
      <c r="S211" s="123"/>
      <c r="T211" s="123"/>
      <c r="U211" s="123"/>
      <c r="V211" s="123"/>
    </row>
    <row r="212" spans="1:22" ht="15" customHeight="1" x14ac:dyDescent="0.25">
      <c r="A212" s="132">
        <v>29</v>
      </c>
      <c r="B212" s="132" t="s">
        <v>1310</v>
      </c>
      <c r="C212" s="132" t="s">
        <v>1311</v>
      </c>
      <c r="D212" s="133" t="s">
        <v>1312</v>
      </c>
      <c r="E212" s="135">
        <v>44515</v>
      </c>
      <c r="F212" s="135">
        <v>45361</v>
      </c>
      <c r="G212" s="134">
        <v>0</v>
      </c>
      <c r="H212" s="134">
        <v>0</v>
      </c>
      <c r="I212" s="134">
        <v>0</v>
      </c>
      <c r="J212" s="134">
        <v>0.20000000298023224</v>
      </c>
      <c r="K212" s="134">
        <v>0.30000001192092896</v>
      </c>
      <c r="L212" s="134">
        <v>0.5</v>
      </c>
      <c r="M212" s="134"/>
      <c r="N212" s="123"/>
      <c r="O212" s="123"/>
      <c r="P212" s="123"/>
      <c r="Q212" s="123"/>
      <c r="R212" s="123"/>
      <c r="S212" s="123"/>
      <c r="T212" s="123"/>
      <c r="U212" s="123"/>
      <c r="V212" s="123"/>
    </row>
    <row r="213" spans="1:22" ht="15" customHeight="1" x14ac:dyDescent="0.25">
      <c r="A213" s="132">
        <v>29</v>
      </c>
      <c r="B213" s="132" t="s">
        <v>1313</v>
      </c>
      <c r="C213" s="132" t="s">
        <v>1314</v>
      </c>
      <c r="D213" s="133" t="s">
        <v>1315</v>
      </c>
      <c r="E213" s="135">
        <v>44515</v>
      </c>
      <c r="F213" s="135">
        <v>45270</v>
      </c>
      <c r="G213" s="134">
        <v>0</v>
      </c>
      <c r="H213" s="134">
        <v>0</v>
      </c>
      <c r="I213" s="134">
        <v>0.5</v>
      </c>
      <c r="J213" s="134">
        <v>0.5</v>
      </c>
      <c r="K213" s="134">
        <v>0</v>
      </c>
      <c r="L213" s="134">
        <v>0</v>
      </c>
      <c r="M213" s="134"/>
      <c r="N213" s="123"/>
      <c r="O213" s="123"/>
      <c r="P213" s="123"/>
      <c r="Q213" s="123"/>
      <c r="R213" s="123"/>
      <c r="S213" s="123"/>
      <c r="T213" s="123"/>
      <c r="U213" s="123"/>
      <c r="V213" s="123"/>
    </row>
    <row r="214" spans="1:22" ht="15" customHeight="1" x14ac:dyDescent="0.25">
      <c r="A214" s="132">
        <v>30</v>
      </c>
      <c r="B214" s="132" t="s">
        <v>1316</v>
      </c>
      <c r="C214" s="132" t="s">
        <v>1317</v>
      </c>
      <c r="D214" s="133" t="s">
        <v>1318</v>
      </c>
      <c r="E214" s="135">
        <v>44440</v>
      </c>
      <c r="F214" s="135">
        <v>45382</v>
      </c>
      <c r="G214" s="134">
        <v>0</v>
      </c>
      <c r="H214" s="134">
        <v>0.30000001192092896</v>
      </c>
      <c r="I214" s="134">
        <v>0.20000000298023224</v>
      </c>
      <c r="J214" s="134">
        <v>0.30000001192092896</v>
      </c>
      <c r="K214" s="134">
        <v>0.20000000298023224</v>
      </c>
      <c r="L214" s="134">
        <v>0</v>
      </c>
      <c r="M214" s="134"/>
      <c r="N214" s="123"/>
      <c r="O214" s="123"/>
      <c r="P214" s="123"/>
      <c r="Q214" s="123"/>
      <c r="R214" s="123"/>
      <c r="S214" s="123"/>
      <c r="T214" s="123"/>
      <c r="U214" s="123"/>
      <c r="V214" s="123"/>
    </row>
    <row r="215" spans="1:22" ht="15" customHeight="1" x14ac:dyDescent="0.25">
      <c r="A215" s="132">
        <v>30</v>
      </c>
      <c r="B215" s="132" t="s">
        <v>1319</v>
      </c>
      <c r="C215" s="132" t="s">
        <v>1320</v>
      </c>
      <c r="D215" s="133" t="s">
        <v>196</v>
      </c>
      <c r="E215" s="135">
        <v>44440</v>
      </c>
      <c r="F215" s="135">
        <v>45382</v>
      </c>
      <c r="G215" s="134">
        <v>0</v>
      </c>
      <c r="H215" s="134">
        <v>0.30000001192092896</v>
      </c>
      <c r="I215" s="134">
        <v>0.20000000298023224</v>
      </c>
      <c r="J215" s="134">
        <v>0.30000001192092896</v>
      </c>
      <c r="K215" s="134">
        <v>0.20000000298023224</v>
      </c>
      <c r="L215" s="134">
        <v>0</v>
      </c>
      <c r="M215" s="134"/>
      <c r="N215" s="123"/>
      <c r="O215" s="123"/>
      <c r="P215" s="123"/>
      <c r="Q215" s="123"/>
      <c r="R215" s="123"/>
      <c r="S215" s="123"/>
      <c r="T215" s="123"/>
      <c r="U215" s="123"/>
      <c r="V215" s="123"/>
    </row>
    <row r="216" spans="1:22" ht="15" customHeight="1" x14ac:dyDescent="0.25">
      <c r="A216" s="132">
        <v>30</v>
      </c>
      <c r="B216" s="132" t="s">
        <v>1319</v>
      </c>
      <c r="C216" s="132" t="s">
        <v>1321</v>
      </c>
      <c r="D216" s="133" t="s">
        <v>1322</v>
      </c>
      <c r="E216" s="135">
        <v>44440</v>
      </c>
      <c r="F216" s="135">
        <v>45382</v>
      </c>
      <c r="G216" s="134">
        <v>0</v>
      </c>
      <c r="H216" s="134">
        <v>0.30000001192092896</v>
      </c>
      <c r="I216" s="134">
        <v>0.20000000298023224</v>
      </c>
      <c r="J216" s="134">
        <v>0.30000001192092896</v>
      </c>
      <c r="K216" s="134">
        <v>0.20000000298023224</v>
      </c>
      <c r="L216" s="134">
        <v>0</v>
      </c>
      <c r="M216" s="134"/>
      <c r="N216" s="123"/>
      <c r="O216" s="123"/>
      <c r="P216" s="123"/>
      <c r="Q216" s="123"/>
      <c r="R216" s="123"/>
      <c r="S216" s="123"/>
      <c r="T216" s="123"/>
      <c r="U216" s="123"/>
      <c r="V216" s="123"/>
    </row>
    <row r="217" spans="1:22" ht="15" customHeight="1" x14ac:dyDescent="0.25">
      <c r="A217" s="132">
        <v>31</v>
      </c>
      <c r="B217" s="132" t="s">
        <v>1323</v>
      </c>
      <c r="C217" s="132" t="s">
        <v>1324</v>
      </c>
      <c r="D217" s="133" t="s">
        <v>1325</v>
      </c>
      <c r="E217" s="135">
        <v>44585</v>
      </c>
      <c r="F217" s="135">
        <v>45378</v>
      </c>
      <c r="G217" s="134">
        <v>0</v>
      </c>
      <c r="H217" s="134">
        <v>0.30000001192092896</v>
      </c>
      <c r="I217" s="134">
        <v>0.30000001192092896</v>
      </c>
      <c r="J217" s="134">
        <v>0.30000001192092896</v>
      </c>
      <c r="K217" s="134">
        <v>0.10000000149011612</v>
      </c>
      <c r="L217" s="134">
        <v>0</v>
      </c>
      <c r="M217" s="134"/>
      <c r="N217" s="123"/>
      <c r="O217" s="123"/>
      <c r="P217" s="123"/>
      <c r="Q217" s="123"/>
      <c r="R217" s="123"/>
      <c r="S217" s="123"/>
      <c r="T217" s="123"/>
      <c r="U217" s="123"/>
      <c r="V217" s="123"/>
    </row>
    <row r="218" spans="1:22" ht="15" customHeight="1" x14ac:dyDescent="0.25">
      <c r="A218" s="132">
        <v>31</v>
      </c>
      <c r="B218" s="132" t="s">
        <v>1323</v>
      </c>
      <c r="C218" s="132" t="s">
        <v>1326</v>
      </c>
      <c r="D218" s="133" t="s">
        <v>1327</v>
      </c>
      <c r="E218" s="135">
        <v>44440</v>
      </c>
      <c r="F218" s="135">
        <v>45378</v>
      </c>
      <c r="G218" s="134">
        <v>0.33000001311302185</v>
      </c>
      <c r="H218" s="134">
        <v>0.15000000596046448</v>
      </c>
      <c r="I218" s="134">
        <v>0.15000000596046448</v>
      </c>
      <c r="J218" s="134">
        <v>0.2199999988079071</v>
      </c>
      <c r="K218" s="134">
        <v>0.15000000596046448</v>
      </c>
      <c r="L218" s="134">
        <v>0</v>
      </c>
      <c r="M218" s="134"/>
      <c r="N218" s="123"/>
      <c r="O218" s="123"/>
      <c r="P218" s="123"/>
      <c r="Q218" s="123"/>
      <c r="R218" s="123"/>
      <c r="S218" s="123"/>
      <c r="T218" s="123"/>
      <c r="U218" s="123"/>
      <c r="V218" s="123"/>
    </row>
    <row r="219" spans="1:22" ht="15" customHeight="1" x14ac:dyDescent="0.25">
      <c r="A219" s="132">
        <v>31</v>
      </c>
      <c r="B219" s="132" t="s">
        <v>1328</v>
      </c>
      <c r="C219" s="132" t="s">
        <v>1329</v>
      </c>
      <c r="D219" s="133" t="s">
        <v>1330</v>
      </c>
      <c r="E219" s="135">
        <v>44410</v>
      </c>
      <c r="F219" s="135">
        <v>44440</v>
      </c>
      <c r="G219" s="134">
        <v>1</v>
      </c>
      <c r="H219" s="134">
        <v>0</v>
      </c>
      <c r="I219" s="134">
        <v>0</v>
      </c>
      <c r="J219" s="134">
        <v>0</v>
      </c>
      <c r="K219" s="134">
        <v>0</v>
      </c>
      <c r="L219" s="134">
        <v>0</v>
      </c>
      <c r="M219" s="134"/>
      <c r="N219" s="123"/>
      <c r="O219" s="123"/>
      <c r="P219" s="123"/>
      <c r="Q219" s="123"/>
      <c r="R219" s="123"/>
      <c r="S219" s="123"/>
      <c r="T219" s="123"/>
      <c r="U219" s="123"/>
      <c r="V219" s="123"/>
    </row>
    <row r="220" spans="1:22" ht="15" customHeight="1" x14ac:dyDescent="0.25">
      <c r="A220" s="132">
        <v>31</v>
      </c>
      <c r="B220" s="132" t="s">
        <v>1328</v>
      </c>
      <c r="C220" s="132" t="s">
        <v>1331</v>
      </c>
      <c r="D220" s="133" t="s">
        <v>1332</v>
      </c>
      <c r="E220" s="135">
        <v>44470</v>
      </c>
      <c r="F220" s="135">
        <v>45107</v>
      </c>
      <c r="G220" s="134">
        <v>0.14000000059604645</v>
      </c>
      <c r="H220" s="134">
        <v>0.28999999165534973</v>
      </c>
      <c r="I220" s="134">
        <v>0.28999999165534973</v>
      </c>
      <c r="J220" s="134">
        <v>0.2800000011920929</v>
      </c>
      <c r="K220" s="134">
        <v>0</v>
      </c>
      <c r="L220" s="134">
        <v>0</v>
      </c>
      <c r="M220" s="134"/>
      <c r="N220" s="123"/>
      <c r="O220" s="123"/>
      <c r="P220" s="123"/>
      <c r="Q220" s="123"/>
      <c r="R220" s="123"/>
      <c r="S220" s="123"/>
      <c r="T220" s="123"/>
      <c r="U220" s="123"/>
      <c r="V220" s="123"/>
    </row>
    <row r="221" spans="1:22" ht="15" customHeight="1" x14ac:dyDescent="0.25">
      <c r="A221" s="132">
        <v>31</v>
      </c>
      <c r="B221" s="132" t="s">
        <v>1328</v>
      </c>
      <c r="C221" s="132" t="s">
        <v>1333</v>
      </c>
      <c r="D221" s="133" t="s">
        <v>1334</v>
      </c>
      <c r="E221" s="135">
        <v>44470</v>
      </c>
      <c r="F221" s="135">
        <v>44560</v>
      </c>
      <c r="G221" s="134">
        <v>1</v>
      </c>
      <c r="H221" s="134">
        <v>0</v>
      </c>
      <c r="I221" s="134">
        <v>0</v>
      </c>
      <c r="J221" s="134">
        <v>0</v>
      </c>
      <c r="K221" s="134">
        <v>0</v>
      </c>
      <c r="L221" s="134">
        <v>0</v>
      </c>
      <c r="M221" s="134"/>
      <c r="N221" s="123"/>
      <c r="O221" s="123"/>
      <c r="P221" s="123"/>
      <c r="Q221" s="123"/>
      <c r="R221" s="123"/>
      <c r="S221" s="123"/>
      <c r="T221" s="123"/>
      <c r="U221" s="123"/>
      <c r="V221" s="123"/>
    </row>
    <row r="222" spans="1:22" ht="15" customHeight="1" x14ac:dyDescent="0.25">
      <c r="A222" s="132">
        <v>31</v>
      </c>
      <c r="B222" s="132" t="s">
        <v>1328</v>
      </c>
      <c r="C222" s="132" t="s">
        <v>1335</v>
      </c>
      <c r="D222" s="133" t="s">
        <v>1336</v>
      </c>
      <c r="E222" s="135">
        <v>44410</v>
      </c>
      <c r="F222" s="135">
        <v>45378</v>
      </c>
      <c r="G222" s="134">
        <v>0.10000000149011612</v>
      </c>
      <c r="H222" s="134">
        <v>0.20000000298023224</v>
      </c>
      <c r="I222" s="134">
        <v>0.20000000298023224</v>
      </c>
      <c r="J222" s="134">
        <v>0.20000000298023224</v>
      </c>
      <c r="K222" s="134">
        <v>0.20000000298023224</v>
      </c>
      <c r="L222" s="134">
        <v>0.10000000149011612</v>
      </c>
      <c r="M222" s="134"/>
      <c r="N222" s="123"/>
      <c r="O222" s="123"/>
      <c r="P222" s="123"/>
      <c r="Q222" s="123"/>
      <c r="R222" s="123"/>
      <c r="S222" s="123"/>
      <c r="T222" s="123"/>
      <c r="U222" s="123"/>
      <c r="V222" s="123"/>
    </row>
    <row r="223" spans="1:22" ht="15" customHeight="1" x14ac:dyDescent="0.25">
      <c r="A223" s="132">
        <v>31</v>
      </c>
      <c r="B223" s="132" t="s">
        <v>1337</v>
      </c>
      <c r="C223" s="132" t="s">
        <v>1338</v>
      </c>
      <c r="D223" s="133" t="s">
        <v>1339</v>
      </c>
      <c r="E223" s="135">
        <v>44440</v>
      </c>
      <c r="F223" s="135">
        <v>44895</v>
      </c>
      <c r="G223" s="134">
        <v>0</v>
      </c>
      <c r="H223" s="134">
        <v>0.5</v>
      </c>
      <c r="I223" s="134">
        <v>0.5</v>
      </c>
      <c r="J223" s="134">
        <v>0</v>
      </c>
      <c r="K223" s="134">
        <v>0</v>
      </c>
      <c r="L223" s="134">
        <v>0</v>
      </c>
      <c r="M223" s="134"/>
      <c r="N223" s="123"/>
      <c r="O223" s="123"/>
      <c r="P223" s="123"/>
      <c r="Q223" s="123"/>
      <c r="R223" s="123"/>
      <c r="S223" s="123"/>
      <c r="T223" s="123"/>
      <c r="U223" s="123"/>
      <c r="V223" s="123"/>
    </row>
    <row r="224" spans="1:22" ht="15" customHeight="1" x14ac:dyDescent="0.25">
      <c r="A224" s="132">
        <v>31</v>
      </c>
      <c r="B224" s="132" t="s">
        <v>1337</v>
      </c>
      <c r="C224" s="132" t="s">
        <v>1340</v>
      </c>
      <c r="D224" s="133" t="s">
        <v>1341</v>
      </c>
      <c r="E224" s="135">
        <v>44440</v>
      </c>
      <c r="F224" s="135">
        <v>44681</v>
      </c>
      <c r="G224" s="134">
        <v>0</v>
      </c>
      <c r="H224" s="134">
        <v>0.5</v>
      </c>
      <c r="I224" s="134">
        <v>0.5</v>
      </c>
      <c r="J224" s="134">
        <v>0</v>
      </c>
      <c r="K224" s="134">
        <v>0</v>
      </c>
      <c r="L224" s="134">
        <v>0</v>
      </c>
      <c r="M224" s="134"/>
      <c r="N224" s="123"/>
      <c r="O224" s="123"/>
      <c r="P224" s="123"/>
      <c r="Q224" s="123"/>
      <c r="R224" s="123"/>
      <c r="S224" s="123"/>
      <c r="T224" s="123"/>
      <c r="U224" s="123"/>
      <c r="V224" s="123"/>
    </row>
    <row r="225" spans="1:22" ht="15" customHeight="1" x14ac:dyDescent="0.25">
      <c r="A225" s="132">
        <v>32</v>
      </c>
      <c r="B225" s="132" t="s">
        <v>1342</v>
      </c>
      <c r="C225" s="132" t="s">
        <v>1343</v>
      </c>
      <c r="D225" s="133" t="s">
        <v>1344</v>
      </c>
      <c r="E225" s="135">
        <v>44470</v>
      </c>
      <c r="F225" s="135">
        <v>45382</v>
      </c>
      <c r="G225" s="134">
        <v>5.000000074505806E-2</v>
      </c>
      <c r="H225" s="134">
        <v>0.20000000298023224</v>
      </c>
      <c r="I225" s="134">
        <v>0.20000000298023224</v>
      </c>
      <c r="J225" s="134">
        <v>0.20000000298023224</v>
      </c>
      <c r="K225" s="134">
        <v>0.20000000298023224</v>
      </c>
      <c r="L225" s="134">
        <v>0.15000000596046448</v>
      </c>
      <c r="M225" s="134"/>
      <c r="N225" s="123"/>
      <c r="O225" s="123"/>
      <c r="P225" s="123"/>
      <c r="Q225" s="123"/>
      <c r="R225" s="123"/>
      <c r="S225" s="123"/>
      <c r="T225" s="123"/>
      <c r="U225" s="123"/>
      <c r="V225" s="123"/>
    </row>
    <row r="226" spans="1:22" ht="15" customHeight="1" x14ac:dyDescent="0.25">
      <c r="A226" s="132">
        <v>32</v>
      </c>
      <c r="B226" s="132" t="s">
        <v>1342</v>
      </c>
      <c r="C226" s="132" t="s">
        <v>1345</v>
      </c>
      <c r="D226" s="133" t="s">
        <v>1346</v>
      </c>
      <c r="E226" s="135">
        <v>44470</v>
      </c>
      <c r="F226" s="135">
        <v>45382</v>
      </c>
      <c r="G226" s="134">
        <v>0</v>
      </c>
      <c r="H226" s="134">
        <v>0</v>
      </c>
      <c r="I226" s="134">
        <v>0</v>
      </c>
      <c r="J226" s="134">
        <v>0</v>
      </c>
      <c r="K226" s="134">
        <v>1</v>
      </c>
      <c r="L226" s="134">
        <v>0</v>
      </c>
      <c r="M226" s="134"/>
      <c r="N226" s="123"/>
      <c r="O226" s="123"/>
      <c r="P226" s="123"/>
      <c r="Q226" s="123"/>
      <c r="R226" s="123"/>
      <c r="S226" s="123"/>
      <c r="T226" s="123"/>
      <c r="U226" s="123"/>
      <c r="V226" s="123"/>
    </row>
    <row r="227" spans="1:22" ht="15" customHeight="1" x14ac:dyDescent="0.25">
      <c r="A227" s="132">
        <v>32</v>
      </c>
      <c r="B227" s="132" t="s">
        <v>1347</v>
      </c>
      <c r="C227" s="132" t="s">
        <v>1348</v>
      </c>
      <c r="D227" s="133" t="s">
        <v>1349</v>
      </c>
      <c r="E227" s="135">
        <v>44440</v>
      </c>
      <c r="F227" s="135">
        <v>45382</v>
      </c>
      <c r="G227" s="134">
        <v>0.10000000149011612</v>
      </c>
      <c r="H227" s="134">
        <v>0.25</v>
      </c>
      <c r="I227" s="134">
        <v>0.25</v>
      </c>
      <c r="J227" s="134">
        <v>0.20000000298023224</v>
      </c>
      <c r="K227" s="134">
        <v>0.15000000596046448</v>
      </c>
      <c r="L227" s="134">
        <v>5.000000074505806E-2</v>
      </c>
      <c r="M227" s="134"/>
      <c r="N227" s="123"/>
      <c r="O227" s="123"/>
      <c r="P227" s="123"/>
      <c r="Q227" s="123"/>
      <c r="R227" s="123"/>
      <c r="S227" s="123"/>
      <c r="T227" s="123"/>
      <c r="U227" s="123"/>
      <c r="V227" s="123"/>
    </row>
    <row r="228" spans="1:22" ht="15" customHeight="1" x14ac:dyDescent="0.25">
      <c r="A228" s="132">
        <v>32</v>
      </c>
      <c r="B228" s="132" t="s">
        <v>1347</v>
      </c>
      <c r="C228" s="132" t="s">
        <v>1350</v>
      </c>
      <c r="D228" s="133" t="s">
        <v>1351</v>
      </c>
      <c r="E228" s="135">
        <v>44440</v>
      </c>
      <c r="F228" s="135">
        <v>45382</v>
      </c>
      <c r="G228" s="134">
        <v>0.10000000149011612</v>
      </c>
      <c r="H228" s="134">
        <v>0.20000000298023224</v>
      </c>
      <c r="I228" s="134">
        <v>0.20000000298023224</v>
      </c>
      <c r="J228" s="134">
        <v>0.25</v>
      </c>
      <c r="K228" s="134">
        <v>0.20000000298023224</v>
      </c>
      <c r="L228" s="134">
        <v>5.000000074505806E-2</v>
      </c>
      <c r="M228" s="134"/>
      <c r="N228" s="123"/>
      <c r="O228" s="123"/>
      <c r="P228" s="123"/>
      <c r="Q228" s="123"/>
      <c r="R228" s="123"/>
      <c r="S228" s="123"/>
      <c r="T228" s="123"/>
      <c r="U228" s="123"/>
      <c r="V228" s="123"/>
    </row>
    <row r="229" spans="1:22" ht="15" customHeight="1" x14ac:dyDescent="0.25">
      <c r="A229" s="132">
        <v>32</v>
      </c>
      <c r="B229" s="132" t="s">
        <v>1347</v>
      </c>
      <c r="C229" s="132" t="s">
        <v>1352</v>
      </c>
      <c r="D229" s="133" t="s">
        <v>1353</v>
      </c>
      <c r="E229" s="135">
        <v>44440</v>
      </c>
      <c r="F229" s="135">
        <v>45382</v>
      </c>
      <c r="G229" s="134">
        <v>0</v>
      </c>
      <c r="H229" s="134">
        <v>0.25</v>
      </c>
      <c r="I229" s="134">
        <v>0.20000000298023224</v>
      </c>
      <c r="J229" s="134">
        <v>0.20000000298023224</v>
      </c>
      <c r="K229" s="134">
        <v>0.20000000298023224</v>
      </c>
      <c r="L229" s="134">
        <v>0.15000000596046448</v>
      </c>
      <c r="M229" s="134"/>
      <c r="N229" s="123"/>
      <c r="O229" s="123"/>
      <c r="P229" s="123"/>
      <c r="Q229" s="123"/>
      <c r="R229" s="123"/>
      <c r="S229" s="123"/>
      <c r="T229" s="123"/>
      <c r="U229" s="123"/>
      <c r="V229" s="123"/>
    </row>
    <row r="230" spans="1:22" ht="15" customHeight="1" x14ac:dyDescent="0.25">
      <c r="A230" s="132">
        <v>32</v>
      </c>
      <c r="B230" s="132" t="s">
        <v>1354</v>
      </c>
      <c r="C230" s="132" t="s">
        <v>1355</v>
      </c>
      <c r="D230" s="133" t="s">
        <v>1356</v>
      </c>
      <c r="E230" s="135">
        <v>44805</v>
      </c>
      <c r="F230" s="135">
        <v>45382</v>
      </c>
      <c r="G230" s="134">
        <v>0</v>
      </c>
      <c r="H230" s="134">
        <v>0</v>
      </c>
      <c r="I230" s="134">
        <v>0.20000000298023224</v>
      </c>
      <c r="J230" s="134">
        <v>0.30000001192092896</v>
      </c>
      <c r="K230" s="134">
        <v>0.40000000596046448</v>
      </c>
      <c r="L230" s="134">
        <v>0.10000000149011612</v>
      </c>
      <c r="M230" s="134"/>
      <c r="N230" s="123"/>
      <c r="O230" s="123"/>
      <c r="P230" s="123"/>
      <c r="Q230" s="123"/>
      <c r="R230" s="123"/>
      <c r="S230" s="123"/>
      <c r="T230" s="123"/>
      <c r="U230" s="123"/>
      <c r="V230" s="123"/>
    </row>
    <row r="231" spans="1:22" ht="15" customHeight="1" x14ac:dyDescent="0.25">
      <c r="A231" s="132">
        <v>33</v>
      </c>
      <c r="B231" s="132" t="s">
        <v>1878</v>
      </c>
      <c r="C231" s="132" t="s">
        <v>1879</v>
      </c>
      <c r="D231" s="133" t="s">
        <v>1880</v>
      </c>
      <c r="E231" s="135">
        <v>44440</v>
      </c>
      <c r="F231" s="135">
        <v>45016</v>
      </c>
      <c r="G231" s="134">
        <v>0.1</v>
      </c>
      <c r="H231" s="134">
        <v>0.4</v>
      </c>
      <c r="I231" s="134">
        <v>0.45</v>
      </c>
      <c r="J231" s="134">
        <v>0.05</v>
      </c>
      <c r="K231" s="134">
        <v>0</v>
      </c>
      <c r="L231" s="134">
        <v>0</v>
      </c>
      <c r="M231" s="134"/>
      <c r="N231" s="123"/>
      <c r="O231" s="123"/>
      <c r="P231" s="123"/>
      <c r="Q231" s="123"/>
      <c r="R231" s="123"/>
      <c r="S231" s="123"/>
      <c r="T231" s="123"/>
      <c r="U231" s="123"/>
      <c r="V231" s="123"/>
    </row>
    <row r="232" spans="1:22" ht="15" customHeight="1" x14ac:dyDescent="0.25">
      <c r="A232" s="132">
        <v>33</v>
      </c>
      <c r="B232" s="132" t="s">
        <v>1878</v>
      </c>
      <c r="C232" s="132" t="s">
        <v>1881</v>
      </c>
      <c r="D232" s="133" t="s">
        <v>1882</v>
      </c>
      <c r="E232" s="135">
        <v>44440</v>
      </c>
      <c r="F232" s="135">
        <v>44911</v>
      </c>
      <c r="G232" s="134">
        <v>0.1</v>
      </c>
      <c r="H232" s="134">
        <v>0.4</v>
      </c>
      <c r="I232" s="134">
        <v>0.5</v>
      </c>
      <c r="J232" s="134">
        <v>0</v>
      </c>
      <c r="K232" s="134">
        <v>0</v>
      </c>
      <c r="L232" s="134">
        <v>0</v>
      </c>
      <c r="M232" s="134"/>
      <c r="N232" s="123"/>
      <c r="O232" s="123"/>
      <c r="P232" s="123"/>
      <c r="Q232" s="123"/>
      <c r="R232" s="123"/>
      <c r="S232" s="123"/>
      <c r="T232" s="123"/>
      <c r="U232" s="123"/>
      <c r="V232" s="123"/>
    </row>
    <row r="233" spans="1:22" ht="15" customHeight="1" x14ac:dyDescent="0.25">
      <c r="A233" s="132">
        <v>33</v>
      </c>
      <c r="B233" s="132" t="s">
        <v>1883</v>
      </c>
      <c r="C233" s="132" t="s">
        <v>1884</v>
      </c>
      <c r="D233" s="133" t="s">
        <v>1885</v>
      </c>
      <c r="E233" s="135">
        <v>44440</v>
      </c>
      <c r="F233" s="135">
        <v>45107</v>
      </c>
      <c r="G233" s="134">
        <v>0</v>
      </c>
      <c r="H233" s="134">
        <v>0.3</v>
      </c>
      <c r="I233" s="134">
        <v>0.3</v>
      </c>
      <c r="J233" s="134">
        <v>0.3</v>
      </c>
      <c r="K233" s="134">
        <v>0.1</v>
      </c>
      <c r="L233" s="134">
        <v>0</v>
      </c>
      <c r="M233" s="134"/>
      <c r="N233" s="123"/>
      <c r="O233" s="123"/>
      <c r="P233" s="123"/>
      <c r="Q233" s="123"/>
      <c r="R233" s="123"/>
      <c r="S233" s="123"/>
      <c r="T233" s="123"/>
      <c r="U233" s="123"/>
      <c r="V233" s="123"/>
    </row>
    <row r="234" spans="1:22" ht="15" customHeight="1" x14ac:dyDescent="0.25">
      <c r="A234" s="132">
        <v>33</v>
      </c>
      <c r="B234" s="132" t="s">
        <v>1883</v>
      </c>
      <c r="C234" s="132" t="s">
        <v>1886</v>
      </c>
      <c r="D234" s="133" t="s">
        <v>1887</v>
      </c>
      <c r="E234" s="135">
        <v>45107</v>
      </c>
      <c r="F234" s="135">
        <v>45382</v>
      </c>
      <c r="G234" s="134">
        <v>0</v>
      </c>
      <c r="H234" s="134">
        <v>0</v>
      </c>
      <c r="I234" s="134">
        <v>0</v>
      </c>
      <c r="J234" s="134">
        <v>0</v>
      </c>
      <c r="K234" s="134">
        <v>0.8</v>
      </c>
      <c r="L234" s="134">
        <v>0.2</v>
      </c>
      <c r="M234" s="134"/>
      <c r="N234" s="123"/>
      <c r="O234" s="123"/>
      <c r="P234" s="123"/>
      <c r="Q234" s="123"/>
      <c r="R234" s="123"/>
      <c r="S234" s="123"/>
      <c r="T234" s="123"/>
      <c r="U234" s="123"/>
      <c r="V234" s="123"/>
    </row>
    <row r="235" spans="1:22" ht="15" customHeight="1" x14ac:dyDescent="0.25">
      <c r="A235" s="132">
        <v>33</v>
      </c>
      <c r="B235" s="132" t="s">
        <v>1883</v>
      </c>
      <c r="C235" s="132" t="s">
        <v>1888</v>
      </c>
      <c r="D235" s="133" t="s">
        <v>1889</v>
      </c>
      <c r="E235" s="135">
        <v>44781</v>
      </c>
      <c r="F235" s="135">
        <v>45242</v>
      </c>
      <c r="G235" s="134">
        <v>0</v>
      </c>
      <c r="H235" s="134">
        <v>0</v>
      </c>
      <c r="I235" s="134">
        <v>0.5</v>
      </c>
      <c r="J235" s="134">
        <v>0.3</v>
      </c>
      <c r="K235" s="134">
        <v>0.2</v>
      </c>
      <c r="L235" s="134">
        <v>0</v>
      </c>
      <c r="M235" s="134"/>
      <c r="N235" s="123"/>
      <c r="O235" s="123"/>
      <c r="P235" s="123"/>
      <c r="Q235" s="123"/>
      <c r="R235" s="123"/>
      <c r="S235" s="123"/>
      <c r="T235" s="123"/>
      <c r="U235" s="123"/>
      <c r="V235" s="123"/>
    </row>
    <row r="236" spans="1:22" ht="15" customHeight="1" x14ac:dyDescent="0.25">
      <c r="A236" s="132">
        <v>33</v>
      </c>
      <c r="B236" s="132" t="s">
        <v>1890</v>
      </c>
      <c r="C236" s="132" t="s">
        <v>1891</v>
      </c>
      <c r="D236" s="133" t="s">
        <v>1892</v>
      </c>
      <c r="E236" s="135">
        <v>45107</v>
      </c>
      <c r="F236" s="135">
        <v>45382</v>
      </c>
      <c r="G236" s="134">
        <v>0</v>
      </c>
      <c r="H236" s="134">
        <v>0</v>
      </c>
      <c r="I236" s="134">
        <v>0</v>
      </c>
      <c r="J236" s="134">
        <v>0</v>
      </c>
      <c r="K236" s="134">
        <v>0.8</v>
      </c>
      <c r="L236" s="134">
        <v>0.2</v>
      </c>
      <c r="M236" s="134"/>
      <c r="N236" s="123"/>
      <c r="O236" s="123"/>
      <c r="P236" s="123"/>
      <c r="Q236" s="123"/>
      <c r="R236" s="123"/>
      <c r="S236" s="123"/>
      <c r="T236" s="123"/>
      <c r="U236" s="123"/>
      <c r="V236" s="123"/>
    </row>
    <row r="237" spans="1:22" ht="15" customHeight="1" x14ac:dyDescent="0.25">
      <c r="A237" s="132">
        <v>33</v>
      </c>
      <c r="B237" s="132" t="s">
        <v>1890</v>
      </c>
      <c r="C237" s="132" t="s">
        <v>1893</v>
      </c>
      <c r="D237" s="133" t="s">
        <v>1894</v>
      </c>
      <c r="E237" s="135">
        <v>45107</v>
      </c>
      <c r="F237" s="135">
        <v>45382</v>
      </c>
      <c r="G237" s="134">
        <v>0</v>
      </c>
      <c r="H237" s="134">
        <v>0</v>
      </c>
      <c r="I237" s="134">
        <v>0</v>
      </c>
      <c r="J237" s="134">
        <v>0</v>
      </c>
      <c r="K237" s="134">
        <v>0.8</v>
      </c>
      <c r="L237" s="134">
        <v>0.2</v>
      </c>
      <c r="M237" s="134"/>
      <c r="N237" s="123"/>
      <c r="O237" s="123"/>
      <c r="P237" s="123"/>
      <c r="Q237" s="123"/>
      <c r="R237" s="123"/>
      <c r="S237" s="123"/>
      <c r="T237" s="123"/>
      <c r="U237" s="123"/>
      <c r="V237" s="123"/>
    </row>
    <row r="238" spans="1:22" ht="15" customHeight="1" x14ac:dyDescent="0.25">
      <c r="A238" s="132">
        <v>34</v>
      </c>
      <c r="B238" s="132" t="s">
        <v>1357</v>
      </c>
      <c r="C238" s="132" t="s">
        <v>1358</v>
      </c>
      <c r="D238" s="133" t="s">
        <v>1359</v>
      </c>
      <c r="E238" s="135">
        <v>44578</v>
      </c>
      <c r="F238" s="135">
        <v>44742</v>
      </c>
      <c r="G238" s="134">
        <v>0</v>
      </c>
      <c r="H238" s="134">
        <v>1</v>
      </c>
      <c r="I238" s="134">
        <v>0</v>
      </c>
      <c r="J238" s="134">
        <v>0</v>
      </c>
      <c r="K238" s="134">
        <v>0</v>
      </c>
      <c r="L238" s="134">
        <v>0</v>
      </c>
      <c r="M238" s="134"/>
      <c r="N238" s="123"/>
      <c r="O238" s="123"/>
      <c r="P238" s="123"/>
      <c r="Q238" s="123"/>
      <c r="R238" s="123"/>
      <c r="S238" s="123"/>
      <c r="T238" s="123"/>
      <c r="U238" s="123"/>
      <c r="V238" s="123"/>
    </row>
    <row r="239" spans="1:22" ht="15" customHeight="1" x14ac:dyDescent="0.25">
      <c r="A239" s="132">
        <v>34</v>
      </c>
      <c r="B239" s="132" t="s">
        <v>1357</v>
      </c>
      <c r="C239" s="132" t="s">
        <v>1360</v>
      </c>
      <c r="D239" s="133" t="s">
        <v>1361</v>
      </c>
      <c r="E239" s="135">
        <v>44743</v>
      </c>
      <c r="F239" s="135">
        <v>45382</v>
      </c>
      <c r="G239" s="134">
        <v>0</v>
      </c>
      <c r="H239" s="134">
        <v>0</v>
      </c>
      <c r="I239" s="134">
        <v>0.25</v>
      </c>
      <c r="J239" s="134">
        <v>0.25</v>
      </c>
      <c r="K239" s="134">
        <v>0.25</v>
      </c>
      <c r="L239" s="134">
        <v>0.25</v>
      </c>
      <c r="M239" s="134"/>
      <c r="N239" s="123"/>
      <c r="O239" s="123"/>
      <c r="P239" s="123"/>
      <c r="Q239" s="123"/>
      <c r="R239" s="123"/>
      <c r="S239" s="123"/>
      <c r="T239" s="123"/>
      <c r="U239" s="123"/>
      <c r="V239" s="123"/>
    </row>
    <row r="240" spans="1:22" ht="15" customHeight="1" x14ac:dyDescent="0.25">
      <c r="A240" s="132">
        <v>34</v>
      </c>
      <c r="B240" s="132" t="s">
        <v>1362</v>
      </c>
      <c r="C240" s="132" t="s">
        <v>1363</v>
      </c>
      <c r="D240" s="133" t="s">
        <v>1364</v>
      </c>
      <c r="E240" s="135">
        <v>45078</v>
      </c>
      <c r="F240" s="135">
        <v>45382</v>
      </c>
      <c r="G240" s="134">
        <v>0</v>
      </c>
      <c r="H240" s="134">
        <v>0</v>
      </c>
      <c r="I240" s="134">
        <v>0</v>
      </c>
      <c r="J240" s="134">
        <v>0</v>
      </c>
      <c r="K240" s="134">
        <v>0.5</v>
      </c>
      <c r="L240" s="134">
        <v>0.5</v>
      </c>
      <c r="M240" s="134"/>
      <c r="N240" s="123"/>
      <c r="O240" s="123"/>
      <c r="P240" s="123"/>
      <c r="Q240" s="123"/>
      <c r="R240" s="123"/>
      <c r="S240" s="123"/>
      <c r="T240" s="123"/>
      <c r="U240" s="123"/>
      <c r="V240" s="123"/>
    </row>
    <row r="241" spans="1:22" ht="15" customHeight="1" x14ac:dyDescent="0.25">
      <c r="A241" s="132">
        <v>35</v>
      </c>
      <c r="B241" s="132" t="s">
        <v>1365</v>
      </c>
      <c r="C241" s="132" t="s">
        <v>1366</v>
      </c>
      <c r="D241" s="133" t="s">
        <v>1367</v>
      </c>
      <c r="E241" s="135">
        <v>44470</v>
      </c>
      <c r="F241" s="135">
        <v>45352</v>
      </c>
      <c r="G241" s="134">
        <v>0.10000000149011612</v>
      </c>
      <c r="H241" s="134">
        <v>0.20000000298023224</v>
      </c>
      <c r="I241" s="134">
        <v>0.25</v>
      </c>
      <c r="J241" s="134">
        <v>0.20000000298023224</v>
      </c>
      <c r="K241" s="134">
        <v>0.15000000596046448</v>
      </c>
      <c r="L241" s="134">
        <v>0.10000000149011612</v>
      </c>
      <c r="M241" s="134"/>
      <c r="N241" s="123"/>
      <c r="O241" s="123"/>
      <c r="P241" s="123"/>
      <c r="Q241" s="123"/>
      <c r="R241" s="123"/>
      <c r="S241" s="123"/>
      <c r="T241" s="123"/>
      <c r="U241" s="123"/>
      <c r="V241" s="123"/>
    </row>
    <row r="242" spans="1:22" ht="15" customHeight="1" x14ac:dyDescent="0.25">
      <c r="A242" s="132">
        <v>35</v>
      </c>
      <c r="B242" s="132" t="s">
        <v>1365</v>
      </c>
      <c r="C242" s="132" t="s">
        <v>1368</v>
      </c>
      <c r="D242" s="133" t="s">
        <v>1369</v>
      </c>
      <c r="E242" s="135">
        <v>44774</v>
      </c>
      <c r="F242" s="135">
        <v>45352</v>
      </c>
      <c r="G242" s="134">
        <v>0</v>
      </c>
      <c r="H242" s="134">
        <v>0</v>
      </c>
      <c r="I242" s="134">
        <v>0.30000001192092896</v>
      </c>
      <c r="J242" s="134">
        <v>0.40000000596046448</v>
      </c>
      <c r="K242" s="134">
        <v>0.20000000298023224</v>
      </c>
      <c r="L242" s="134">
        <v>0.10000000149011612</v>
      </c>
      <c r="M242" s="134"/>
      <c r="N242" s="123"/>
      <c r="O242" s="123"/>
      <c r="P242" s="123"/>
      <c r="Q242" s="123"/>
      <c r="R242" s="123"/>
      <c r="S242" s="123"/>
      <c r="T242" s="123"/>
      <c r="U242" s="123"/>
      <c r="V242" s="123"/>
    </row>
    <row r="243" spans="1:22" ht="15" customHeight="1" x14ac:dyDescent="0.25">
      <c r="A243" s="132">
        <v>35</v>
      </c>
      <c r="B243" s="132" t="s">
        <v>1365</v>
      </c>
      <c r="C243" s="132" t="s">
        <v>1370</v>
      </c>
      <c r="D243" s="133" t="s">
        <v>1371</v>
      </c>
      <c r="E243" s="135">
        <v>44866</v>
      </c>
      <c r="F243" s="135">
        <v>45352</v>
      </c>
      <c r="G243" s="134">
        <v>0</v>
      </c>
      <c r="H243" s="134">
        <v>0</v>
      </c>
      <c r="I243" s="134">
        <v>0.55000001192092896</v>
      </c>
      <c r="J243" s="134">
        <v>0.15000000596046448</v>
      </c>
      <c r="K243" s="134">
        <v>0.20000000298023224</v>
      </c>
      <c r="L243" s="134">
        <v>0.10000000149011612</v>
      </c>
      <c r="M243" s="134"/>
      <c r="N243" s="123"/>
      <c r="O243" s="123"/>
      <c r="P243" s="123"/>
      <c r="Q243" s="123"/>
      <c r="R243" s="123"/>
      <c r="S243" s="123"/>
      <c r="T243" s="123"/>
      <c r="U243" s="123"/>
      <c r="V243" s="123"/>
    </row>
    <row r="244" spans="1:22" ht="15" customHeight="1" x14ac:dyDescent="0.25">
      <c r="A244" s="132">
        <v>35</v>
      </c>
      <c r="B244" s="132" t="s">
        <v>1372</v>
      </c>
      <c r="C244" s="132" t="s">
        <v>1373</v>
      </c>
      <c r="D244" s="133" t="s">
        <v>1374</v>
      </c>
      <c r="E244" s="135">
        <v>44593</v>
      </c>
      <c r="F244" s="135">
        <v>44958</v>
      </c>
      <c r="G244" s="134">
        <v>0</v>
      </c>
      <c r="H244" s="134">
        <v>0.25</v>
      </c>
      <c r="I244" s="134">
        <v>0.25</v>
      </c>
      <c r="J244" s="134">
        <v>0.5</v>
      </c>
      <c r="K244" s="134">
        <v>0</v>
      </c>
      <c r="L244" s="134">
        <v>0</v>
      </c>
      <c r="M244" s="134"/>
      <c r="N244" s="123"/>
      <c r="O244" s="123"/>
      <c r="P244" s="123"/>
      <c r="Q244" s="123"/>
      <c r="R244" s="123"/>
      <c r="S244" s="123"/>
      <c r="T244" s="123"/>
      <c r="U244" s="123"/>
      <c r="V244" s="123"/>
    </row>
    <row r="245" spans="1:22" ht="15" customHeight="1" x14ac:dyDescent="0.25">
      <c r="A245" s="132">
        <v>35</v>
      </c>
      <c r="B245" s="132" t="s">
        <v>1372</v>
      </c>
      <c r="C245" s="132" t="s">
        <v>1375</v>
      </c>
      <c r="D245" s="133" t="s">
        <v>1376</v>
      </c>
      <c r="E245" s="135">
        <v>44621</v>
      </c>
      <c r="F245" s="135">
        <v>45352</v>
      </c>
      <c r="G245" s="134">
        <v>0</v>
      </c>
      <c r="H245" s="134">
        <v>0.10000000149011612</v>
      </c>
      <c r="I245" s="134">
        <v>0.10000000149011612</v>
      </c>
      <c r="J245" s="134">
        <v>0.30000001192092896</v>
      </c>
      <c r="K245" s="134">
        <v>0.30000001192092896</v>
      </c>
      <c r="L245" s="134">
        <v>0.20000000298023224</v>
      </c>
      <c r="M245" s="134"/>
      <c r="N245" s="123"/>
      <c r="O245" s="123"/>
      <c r="P245" s="123"/>
      <c r="Q245" s="123"/>
      <c r="R245" s="123"/>
      <c r="S245" s="123"/>
      <c r="T245" s="123"/>
      <c r="U245" s="123"/>
      <c r="V245" s="123"/>
    </row>
    <row r="246" spans="1:22" ht="15" customHeight="1" x14ac:dyDescent="0.25">
      <c r="A246" s="132">
        <v>35</v>
      </c>
      <c r="B246" s="132" t="s">
        <v>1377</v>
      </c>
      <c r="C246" s="132" t="s">
        <v>1378</v>
      </c>
      <c r="D246" s="133" t="s">
        <v>1379</v>
      </c>
      <c r="E246" s="135">
        <v>44621</v>
      </c>
      <c r="F246" s="135">
        <v>45352</v>
      </c>
      <c r="G246" s="134">
        <v>0</v>
      </c>
      <c r="H246" s="134">
        <v>0.10000000149011612</v>
      </c>
      <c r="I246" s="134">
        <v>0.10000000149011612</v>
      </c>
      <c r="J246" s="134">
        <v>0.30000001192092896</v>
      </c>
      <c r="K246" s="134">
        <v>0.20000000298023224</v>
      </c>
      <c r="L246" s="134">
        <v>0.30000001192092896</v>
      </c>
      <c r="M246" s="134"/>
      <c r="N246" s="123"/>
      <c r="O246" s="123"/>
      <c r="P246" s="123"/>
      <c r="Q246" s="123"/>
      <c r="R246" s="123"/>
      <c r="S246" s="123"/>
      <c r="T246" s="123"/>
      <c r="U246" s="123"/>
      <c r="V246" s="123"/>
    </row>
    <row r="247" spans="1:22" ht="15" customHeight="1" x14ac:dyDescent="0.25">
      <c r="A247" s="132">
        <v>35</v>
      </c>
      <c r="B247" s="132" t="s">
        <v>1377</v>
      </c>
      <c r="C247" s="132" t="s">
        <v>1380</v>
      </c>
      <c r="D247" s="133" t="s">
        <v>1381</v>
      </c>
      <c r="E247" s="135">
        <v>44593</v>
      </c>
      <c r="F247" s="135">
        <v>45352</v>
      </c>
      <c r="G247" s="134">
        <v>0</v>
      </c>
      <c r="H247" s="134">
        <v>0.20000000298023224</v>
      </c>
      <c r="I247" s="134">
        <v>0.20000000298023224</v>
      </c>
      <c r="J247" s="134">
        <v>0.20000000298023224</v>
      </c>
      <c r="K247" s="134">
        <v>0.20000000298023224</v>
      </c>
      <c r="L247" s="134">
        <v>0.20000000298023224</v>
      </c>
      <c r="M247" s="134"/>
      <c r="N247" s="123"/>
      <c r="O247" s="123"/>
      <c r="P247" s="123"/>
      <c r="Q247" s="123"/>
      <c r="R247" s="123"/>
      <c r="S247" s="123"/>
      <c r="T247" s="123"/>
      <c r="U247" s="123"/>
      <c r="V247" s="123"/>
    </row>
    <row r="248" spans="1:22" ht="15" customHeight="1" x14ac:dyDescent="0.25">
      <c r="A248" s="132">
        <v>35</v>
      </c>
      <c r="B248" s="132" t="s">
        <v>1377</v>
      </c>
      <c r="C248" s="132" t="s">
        <v>1382</v>
      </c>
      <c r="D248" s="133" t="s">
        <v>1383</v>
      </c>
      <c r="E248" s="135">
        <v>44652</v>
      </c>
      <c r="F248" s="135">
        <v>45231</v>
      </c>
      <c r="G248" s="134">
        <v>0</v>
      </c>
      <c r="H248" s="134">
        <v>0.10000000149011612</v>
      </c>
      <c r="I248" s="134">
        <v>0.10000000149011612</v>
      </c>
      <c r="J248" s="134">
        <v>0.60000002384185791</v>
      </c>
      <c r="K248" s="134">
        <v>0.20000000298023224</v>
      </c>
      <c r="L248" s="134">
        <v>0</v>
      </c>
      <c r="M248" s="134"/>
      <c r="N248" s="123"/>
      <c r="O248" s="123"/>
      <c r="P248" s="123"/>
      <c r="Q248" s="123"/>
      <c r="R248" s="123"/>
      <c r="S248" s="123"/>
      <c r="T248" s="123"/>
      <c r="U248" s="123"/>
      <c r="V248" s="123"/>
    </row>
    <row r="249" spans="1:22" ht="15" customHeight="1" x14ac:dyDescent="0.25">
      <c r="A249" s="132">
        <v>35</v>
      </c>
      <c r="B249" s="132" t="s">
        <v>1377</v>
      </c>
      <c r="C249" s="132" t="s">
        <v>1384</v>
      </c>
      <c r="D249" s="133" t="s">
        <v>1385</v>
      </c>
      <c r="E249" s="135">
        <v>44686</v>
      </c>
      <c r="F249" s="135">
        <v>45323</v>
      </c>
      <c r="G249" s="134">
        <v>0</v>
      </c>
      <c r="H249" s="134">
        <v>0.15000000596046448</v>
      </c>
      <c r="I249" s="134">
        <v>0.15000000596046448</v>
      </c>
      <c r="J249" s="134">
        <v>0.20000000298023224</v>
      </c>
      <c r="K249" s="134">
        <v>0.20000000298023224</v>
      </c>
      <c r="L249" s="134">
        <v>0.30000001192092896</v>
      </c>
      <c r="M249" s="134"/>
      <c r="N249" s="123"/>
      <c r="O249" s="123"/>
      <c r="P249" s="123"/>
      <c r="Q249" s="123"/>
      <c r="R249" s="123"/>
      <c r="S249" s="123"/>
      <c r="T249" s="123"/>
      <c r="U249" s="123"/>
      <c r="V249" s="123"/>
    </row>
    <row r="250" spans="1:22" ht="15" customHeight="1" x14ac:dyDescent="0.25">
      <c r="A250" s="132">
        <v>36</v>
      </c>
      <c r="B250" s="132" t="s">
        <v>1386</v>
      </c>
      <c r="C250" s="132" t="s">
        <v>1387</v>
      </c>
      <c r="D250" s="133" t="s">
        <v>1388</v>
      </c>
      <c r="E250" s="135">
        <v>44440</v>
      </c>
      <c r="F250" s="135">
        <v>45382</v>
      </c>
      <c r="G250" s="134">
        <v>0.10000000149011612</v>
      </c>
      <c r="H250" s="134">
        <v>0.20000000298023224</v>
      </c>
      <c r="I250" s="134">
        <v>0.20000000298023224</v>
      </c>
      <c r="J250" s="134">
        <v>0.20000000298023224</v>
      </c>
      <c r="K250" s="134">
        <v>0.20000000298023224</v>
      </c>
      <c r="L250" s="134">
        <v>0.10000000149011612</v>
      </c>
      <c r="M250" s="134"/>
      <c r="N250" s="123"/>
      <c r="O250" s="123"/>
      <c r="P250" s="123"/>
      <c r="Q250" s="123"/>
      <c r="R250" s="123"/>
      <c r="S250" s="123"/>
      <c r="T250" s="123"/>
      <c r="U250" s="123"/>
      <c r="V250" s="123"/>
    </row>
    <row r="251" spans="1:22" ht="15" customHeight="1" x14ac:dyDescent="0.25">
      <c r="A251" s="132">
        <v>36</v>
      </c>
      <c r="B251" s="132" t="s">
        <v>1386</v>
      </c>
      <c r="C251" s="132" t="s">
        <v>1389</v>
      </c>
      <c r="D251" s="133" t="s">
        <v>1390</v>
      </c>
      <c r="E251" s="135">
        <v>44577</v>
      </c>
      <c r="F251" s="135">
        <v>45291</v>
      </c>
      <c r="G251" s="134">
        <v>0</v>
      </c>
      <c r="H251" s="134">
        <v>0.2142857164144516</v>
      </c>
      <c r="I251" s="134">
        <v>0.2142857164144516</v>
      </c>
      <c r="J251" s="134">
        <v>0.2142857164144516</v>
      </c>
      <c r="K251" s="134">
        <v>0.2142857164144516</v>
      </c>
      <c r="L251" s="134">
        <v>0.1428571492433548</v>
      </c>
      <c r="M251" s="134"/>
      <c r="N251" s="123"/>
      <c r="O251" s="123"/>
      <c r="P251" s="123"/>
      <c r="Q251" s="123"/>
      <c r="R251" s="123"/>
      <c r="S251" s="123"/>
      <c r="T251" s="123"/>
      <c r="U251" s="123"/>
      <c r="V251" s="123"/>
    </row>
    <row r="252" spans="1:22" ht="15" customHeight="1" x14ac:dyDescent="0.25">
      <c r="A252" s="132">
        <v>36</v>
      </c>
      <c r="B252" s="132" t="s">
        <v>1391</v>
      </c>
      <c r="C252" s="132" t="s">
        <v>1392</v>
      </c>
      <c r="D252" s="133" t="s">
        <v>1393</v>
      </c>
      <c r="E252" s="135">
        <v>44440</v>
      </c>
      <c r="F252" s="135">
        <v>45382</v>
      </c>
      <c r="G252" s="134">
        <v>0.15000000596046448</v>
      </c>
      <c r="H252" s="134">
        <v>0.44999998807907104</v>
      </c>
      <c r="I252" s="134">
        <v>0.30000001192092896</v>
      </c>
      <c r="J252" s="134">
        <v>5.000000074505806E-2</v>
      </c>
      <c r="K252" s="134">
        <v>3.9999999105930328E-2</v>
      </c>
      <c r="L252" s="134">
        <v>9.9999997764825821E-3</v>
      </c>
      <c r="M252" s="134"/>
      <c r="N252" s="123"/>
      <c r="O252" s="123"/>
      <c r="P252" s="123"/>
      <c r="Q252" s="123"/>
      <c r="R252" s="123"/>
      <c r="S252" s="123"/>
      <c r="T252" s="123"/>
      <c r="U252" s="123"/>
      <c r="V252" s="123"/>
    </row>
    <row r="253" spans="1:22" ht="15" customHeight="1" x14ac:dyDescent="0.25">
      <c r="A253" s="132">
        <v>36</v>
      </c>
      <c r="B253" s="132" t="s">
        <v>1391</v>
      </c>
      <c r="C253" s="132" t="s">
        <v>1394</v>
      </c>
      <c r="D253" s="133" t="s">
        <v>1395</v>
      </c>
      <c r="E253" s="135">
        <v>44440</v>
      </c>
      <c r="F253" s="135">
        <v>45382</v>
      </c>
      <c r="G253" s="134">
        <v>0.15999999642372131</v>
      </c>
      <c r="H253" s="134">
        <v>0.18999999761581421</v>
      </c>
      <c r="I253" s="134">
        <v>0.18999999761581421</v>
      </c>
      <c r="J253" s="134">
        <v>0.18999999761581421</v>
      </c>
      <c r="K253" s="134">
        <v>0.18999999761581421</v>
      </c>
      <c r="L253" s="134">
        <v>7.9999998211860657E-2</v>
      </c>
      <c r="M253" s="134"/>
      <c r="N253" s="123"/>
      <c r="O253" s="123"/>
      <c r="P253" s="123"/>
      <c r="Q253" s="123"/>
      <c r="R253" s="123"/>
      <c r="S253" s="123"/>
      <c r="T253" s="123"/>
      <c r="U253" s="123"/>
      <c r="V253" s="123"/>
    </row>
    <row r="254" spans="1:22" ht="15" customHeight="1" x14ac:dyDescent="0.25">
      <c r="A254" s="132">
        <v>36</v>
      </c>
      <c r="B254" s="132" t="s">
        <v>1391</v>
      </c>
      <c r="C254" s="132" t="s">
        <v>1396</v>
      </c>
      <c r="D254" s="133" t="s">
        <v>1397</v>
      </c>
      <c r="E254" s="135">
        <v>44440</v>
      </c>
      <c r="F254" s="135">
        <v>45291</v>
      </c>
      <c r="G254" s="134">
        <v>0</v>
      </c>
      <c r="H254" s="134">
        <v>0.25</v>
      </c>
      <c r="I254" s="134">
        <v>0.25</v>
      </c>
      <c r="J254" s="134">
        <v>0.25</v>
      </c>
      <c r="K254" s="134">
        <v>0.25</v>
      </c>
      <c r="L254" s="134">
        <v>0</v>
      </c>
      <c r="M254" s="134"/>
      <c r="N254" s="123"/>
      <c r="O254" s="123"/>
      <c r="P254" s="123"/>
      <c r="Q254" s="123"/>
      <c r="R254" s="123"/>
      <c r="S254" s="123"/>
      <c r="T254" s="123"/>
      <c r="U254" s="123"/>
      <c r="V254" s="123"/>
    </row>
    <row r="255" spans="1:22" ht="15" customHeight="1" x14ac:dyDescent="0.25">
      <c r="A255" s="132">
        <v>36</v>
      </c>
      <c r="B255" s="132" t="s">
        <v>1391</v>
      </c>
      <c r="C255" s="132" t="s">
        <v>1398</v>
      </c>
      <c r="D255" s="133" t="s">
        <v>1399</v>
      </c>
      <c r="E255" s="135">
        <v>44440</v>
      </c>
      <c r="F255" s="135">
        <v>45291</v>
      </c>
      <c r="G255" s="134">
        <v>0.10000000149011612</v>
      </c>
      <c r="H255" s="134">
        <v>0.36000001430511475</v>
      </c>
      <c r="I255" s="134">
        <v>0.36000001430511475</v>
      </c>
      <c r="J255" s="134">
        <v>7.0000000298023224E-2</v>
      </c>
      <c r="K255" s="134">
        <v>7.0000000298023224E-2</v>
      </c>
      <c r="L255" s="134">
        <v>3.9999999105930328E-2</v>
      </c>
      <c r="M255" s="134"/>
      <c r="N255" s="123"/>
      <c r="O255" s="123"/>
      <c r="P255" s="123"/>
      <c r="Q255" s="123"/>
      <c r="R255" s="123"/>
      <c r="S255" s="123"/>
      <c r="T255" s="123"/>
      <c r="U255" s="123"/>
      <c r="V255" s="123"/>
    </row>
    <row r="256" spans="1:22" ht="15" customHeight="1" x14ac:dyDescent="0.25">
      <c r="A256" s="132">
        <v>36</v>
      </c>
      <c r="B256" s="132" t="s">
        <v>1391</v>
      </c>
      <c r="C256" s="132" t="s">
        <v>1400</v>
      </c>
      <c r="D256" s="133" t="s">
        <v>1401</v>
      </c>
      <c r="E256" s="135">
        <v>44577</v>
      </c>
      <c r="F256" s="135">
        <v>45382</v>
      </c>
      <c r="G256" s="134">
        <v>9.9999997764825821E-3</v>
      </c>
      <c r="H256" s="134">
        <v>0.25</v>
      </c>
      <c r="I256" s="134">
        <v>0.55000001192092896</v>
      </c>
      <c r="J256" s="134">
        <v>7.9999998211860657E-2</v>
      </c>
      <c r="K256" s="134">
        <v>0.10999999940395355</v>
      </c>
      <c r="L256" s="134">
        <v>0</v>
      </c>
      <c r="M256" s="134"/>
      <c r="N256" s="123"/>
      <c r="O256" s="123"/>
      <c r="P256" s="123"/>
      <c r="Q256" s="123"/>
      <c r="R256" s="123"/>
      <c r="S256" s="123"/>
      <c r="T256" s="123"/>
      <c r="U256" s="123"/>
      <c r="V256" s="123"/>
    </row>
    <row r="257" spans="1:22" ht="15" customHeight="1" x14ac:dyDescent="0.25">
      <c r="A257" s="132">
        <v>36</v>
      </c>
      <c r="B257" s="132" t="s">
        <v>1402</v>
      </c>
      <c r="C257" s="132" t="s">
        <v>1403</v>
      </c>
      <c r="D257" s="133" t="s">
        <v>1404</v>
      </c>
      <c r="E257" s="135">
        <v>44577</v>
      </c>
      <c r="F257" s="135">
        <v>45382</v>
      </c>
      <c r="G257" s="134">
        <v>9.9999997764825821E-3</v>
      </c>
      <c r="H257" s="134">
        <v>0.20000000298023224</v>
      </c>
      <c r="I257" s="134">
        <v>0.60000002384185791</v>
      </c>
      <c r="J257" s="134">
        <v>9.0000003576278687E-2</v>
      </c>
      <c r="K257" s="134">
        <v>0.10000000149011612</v>
      </c>
      <c r="L257" s="134">
        <v>0</v>
      </c>
      <c r="M257" s="134"/>
      <c r="N257" s="123"/>
      <c r="O257" s="123"/>
      <c r="P257" s="123"/>
      <c r="Q257" s="123"/>
      <c r="R257" s="123"/>
      <c r="S257" s="123"/>
      <c r="T257" s="123"/>
      <c r="U257" s="123"/>
      <c r="V257" s="123"/>
    </row>
    <row r="258" spans="1:22" ht="15" customHeight="1" x14ac:dyDescent="0.25">
      <c r="A258" s="132">
        <v>36</v>
      </c>
      <c r="B258" s="132" t="s">
        <v>1402</v>
      </c>
      <c r="C258" s="132" t="s">
        <v>1405</v>
      </c>
      <c r="D258" s="133" t="s">
        <v>1406</v>
      </c>
      <c r="E258" s="135">
        <v>44440</v>
      </c>
      <c r="F258" s="135">
        <v>45382</v>
      </c>
      <c r="G258" s="134">
        <v>0.15000000596046448</v>
      </c>
      <c r="H258" s="134">
        <v>0.20999999344348907</v>
      </c>
      <c r="I258" s="134">
        <v>0.20999999344348907</v>
      </c>
      <c r="J258" s="134">
        <v>0.18000000715255737</v>
      </c>
      <c r="K258" s="134">
        <v>0.18000000715255737</v>
      </c>
      <c r="L258" s="134">
        <v>7.0000000298023224E-2</v>
      </c>
      <c r="M258" s="134"/>
      <c r="N258" s="123"/>
      <c r="O258" s="123"/>
      <c r="P258" s="123"/>
      <c r="Q258" s="123"/>
      <c r="R258" s="123"/>
      <c r="S258" s="123"/>
      <c r="T258" s="123"/>
      <c r="U258" s="123"/>
      <c r="V258" s="123"/>
    </row>
    <row r="259" spans="1:22" ht="15" customHeight="1" x14ac:dyDescent="0.25">
      <c r="A259" s="132">
        <v>36</v>
      </c>
      <c r="B259" s="132" t="s">
        <v>1402</v>
      </c>
      <c r="C259" s="132" t="s">
        <v>1407</v>
      </c>
      <c r="D259" s="133" t="s">
        <v>1408</v>
      </c>
      <c r="E259" s="135">
        <v>44440</v>
      </c>
      <c r="F259" s="135">
        <v>45382</v>
      </c>
      <c r="G259" s="134">
        <v>0.15999999642372131</v>
      </c>
      <c r="H259" s="134">
        <v>0.18999999761581421</v>
      </c>
      <c r="I259" s="134">
        <v>0.18999999761581421</v>
      </c>
      <c r="J259" s="134">
        <v>0.18999999761581421</v>
      </c>
      <c r="K259" s="134">
        <v>0.18999999761581421</v>
      </c>
      <c r="L259" s="134">
        <v>7.9999998211860657E-2</v>
      </c>
      <c r="M259" s="134"/>
      <c r="N259" s="123"/>
      <c r="O259" s="123"/>
      <c r="P259" s="123"/>
      <c r="Q259" s="123"/>
      <c r="R259" s="123"/>
      <c r="S259" s="123"/>
      <c r="T259" s="123"/>
      <c r="U259" s="123"/>
      <c r="V259" s="123"/>
    </row>
    <row r="260" spans="1:22" ht="15" customHeight="1" x14ac:dyDescent="0.25">
      <c r="A260" s="132">
        <v>36</v>
      </c>
      <c r="B260" s="132" t="s">
        <v>1402</v>
      </c>
      <c r="C260" s="132" t="s">
        <v>1409</v>
      </c>
      <c r="D260" s="133" t="s">
        <v>1410</v>
      </c>
      <c r="E260" s="135">
        <v>44440</v>
      </c>
      <c r="F260" s="135">
        <v>45382</v>
      </c>
      <c r="G260" s="134">
        <v>0.15999999642372131</v>
      </c>
      <c r="H260" s="134">
        <v>0.18999999761581421</v>
      </c>
      <c r="I260" s="134">
        <v>0.18999999761581421</v>
      </c>
      <c r="J260" s="134">
        <v>0.18999999761581421</v>
      </c>
      <c r="K260" s="134">
        <v>0.18999999761581421</v>
      </c>
      <c r="L260" s="134">
        <v>7.9999998211860657E-2</v>
      </c>
      <c r="M260" s="134"/>
      <c r="N260" s="123"/>
      <c r="O260" s="123"/>
      <c r="P260" s="123"/>
      <c r="Q260" s="123"/>
      <c r="R260" s="123"/>
      <c r="S260" s="123"/>
      <c r="T260" s="123"/>
      <c r="U260" s="123"/>
      <c r="V260" s="123"/>
    </row>
    <row r="261" spans="1:22" ht="15" customHeight="1" x14ac:dyDescent="0.25">
      <c r="A261" s="132">
        <v>37</v>
      </c>
      <c r="B261" s="132" t="s">
        <v>1895</v>
      </c>
      <c r="C261" s="132" t="s">
        <v>1896</v>
      </c>
      <c r="D261" s="133" t="s">
        <v>1897</v>
      </c>
      <c r="E261" s="135">
        <v>44623</v>
      </c>
      <c r="F261" s="135">
        <v>45350</v>
      </c>
      <c r="G261" s="134">
        <v>0</v>
      </c>
      <c r="H261" s="134">
        <v>0.17000000178813934</v>
      </c>
      <c r="I261" s="134">
        <v>0.34000000357627869</v>
      </c>
      <c r="J261" s="134">
        <v>0.17000000178813934</v>
      </c>
      <c r="K261" s="134">
        <v>0.17000000178813934</v>
      </c>
      <c r="L261" s="134">
        <v>0.15000000596046448</v>
      </c>
      <c r="M261" s="134"/>
      <c r="N261" s="123"/>
      <c r="O261" s="123"/>
      <c r="P261" s="123"/>
      <c r="Q261" s="123"/>
      <c r="R261" s="123"/>
      <c r="S261" s="123"/>
      <c r="T261" s="123"/>
      <c r="U261" s="123"/>
      <c r="V261" s="123"/>
    </row>
    <row r="262" spans="1:22" ht="15" customHeight="1" x14ac:dyDescent="0.25">
      <c r="A262" s="132">
        <v>37</v>
      </c>
      <c r="B262" s="132" t="s">
        <v>1895</v>
      </c>
      <c r="C262" s="132" t="s">
        <v>1898</v>
      </c>
      <c r="D262" s="133" t="s">
        <v>1899</v>
      </c>
      <c r="E262" s="135">
        <v>44988</v>
      </c>
      <c r="F262" s="135">
        <v>45258</v>
      </c>
      <c r="G262" s="134">
        <v>0</v>
      </c>
      <c r="H262" s="134">
        <v>0</v>
      </c>
      <c r="I262" s="134">
        <v>0</v>
      </c>
      <c r="J262" s="134">
        <v>0.5</v>
      </c>
      <c r="K262" s="134">
        <v>0.5</v>
      </c>
      <c r="L262" s="134">
        <v>0</v>
      </c>
      <c r="M262" s="134"/>
      <c r="N262" s="123"/>
      <c r="O262" s="123"/>
      <c r="P262" s="123"/>
      <c r="Q262" s="123"/>
      <c r="R262" s="123"/>
      <c r="S262" s="123"/>
      <c r="T262" s="123"/>
      <c r="U262" s="123"/>
      <c r="V262" s="123"/>
    </row>
    <row r="263" spans="1:22" ht="15" customHeight="1" x14ac:dyDescent="0.25">
      <c r="A263" s="132">
        <v>37</v>
      </c>
      <c r="B263" s="132" t="s">
        <v>1895</v>
      </c>
      <c r="C263" s="132" t="s">
        <v>1900</v>
      </c>
      <c r="D263" s="133" t="s">
        <v>1901</v>
      </c>
      <c r="E263" s="135">
        <v>44623</v>
      </c>
      <c r="F263" s="135">
        <v>45258</v>
      </c>
      <c r="G263" s="134">
        <v>0</v>
      </c>
      <c r="H263" s="134">
        <v>0.25</v>
      </c>
      <c r="I263" s="134">
        <v>0.25</v>
      </c>
      <c r="J263" s="134">
        <v>0.25</v>
      </c>
      <c r="K263" s="134">
        <v>0.25</v>
      </c>
      <c r="L263" s="134">
        <v>0</v>
      </c>
      <c r="M263" s="134"/>
      <c r="N263" s="123"/>
      <c r="O263" s="123"/>
      <c r="P263" s="123"/>
      <c r="Q263" s="123"/>
      <c r="R263" s="123"/>
      <c r="S263" s="123"/>
      <c r="T263" s="123"/>
      <c r="U263" s="123"/>
      <c r="V263" s="123"/>
    </row>
    <row r="264" spans="1:22" ht="15" customHeight="1" x14ac:dyDescent="0.25">
      <c r="A264" s="132">
        <v>37</v>
      </c>
      <c r="B264" s="132" t="s">
        <v>1902</v>
      </c>
      <c r="C264" s="132" t="s">
        <v>1903</v>
      </c>
      <c r="D264" s="133" t="s">
        <v>1904</v>
      </c>
      <c r="E264" s="135">
        <v>44780</v>
      </c>
      <c r="F264" s="135">
        <v>45350</v>
      </c>
      <c r="G264" s="134">
        <v>0</v>
      </c>
      <c r="H264" s="134">
        <v>5.000000074505806E-2</v>
      </c>
      <c r="I264" s="134">
        <v>0.25</v>
      </c>
      <c r="J264" s="134">
        <v>0.30000001192092896</v>
      </c>
      <c r="K264" s="134">
        <v>0.30000001192092896</v>
      </c>
      <c r="L264" s="134">
        <v>0.10000000149011612</v>
      </c>
      <c r="M264" s="134"/>
      <c r="N264" s="123"/>
      <c r="O264" s="123"/>
      <c r="P264" s="123"/>
      <c r="Q264" s="123"/>
      <c r="R264" s="123"/>
      <c r="S264" s="123"/>
      <c r="T264" s="123"/>
      <c r="U264" s="123"/>
      <c r="V264" s="123"/>
    </row>
    <row r="265" spans="1:22" ht="15" customHeight="1" x14ac:dyDescent="0.25">
      <c r="A265" s="132">
        <v>37</v>
      </c>
      <c r="B265" s="132" t="s">
        <v>1902</v>
      </c>
      <c r="C265" s="132" t="s">
        <v>1905</v>
      </c>
      <c r="D265" s="133" t="s">
        <v>1906</v>
      </c>
      <c r="E265" s="135">
        <v>44719</v>
      </c>
      <c r="F265" s="135">
        <v>45379</v>
      </c>
      <c r="G265" s="134">
        <v>0</v>
      </c>
      <c r="H265" s="134">
        <v>5.000000074505806E-2</v>
      </c>
      <c r="I265" s="134">
        <v>0.25</v>
      </c>
      <c r="J265" s="134">
        <v>0.30000001192092896</v>
      </c>
      <c r="K265" s="134">
        <v>0.30000001192092896</v>
      </c>
      <c r="L265" s="134">
        <v>0.10000000149011612</v>
      </c>
      <c r="M265" s="134"/>
      <c r="N265" s="123"/>
      <c r="O265" s="123"/>
      <c r="P265" s="123"/>
      <c r="Q265" s="123"/>
      <c r="R265" s="123"/>
      <c r="S265" s="123"/>
      <c r="T265" s="123"/>
      <c r="U265" s="123"/>
      <c r="V265" s="123"/>
    </row>
    <row r="266" spans="1:22" ht="15" customHeight="1" x14ac:dyDescent="0.25">
      <c r="A266" s="132">
        <v>37</v>
      </c>
      <c r="B266" s="132" t="s">
        <v>1902</v>
      </c>
      <c r="C266" s="132" t="s">
        <v>1907</v>
      </c>
      <c r="D266" s="133" t="s">
        <v>1908</v>
      </c>
      <c r="E266" s="135">
        <v>44780</v>
      </c>
      <c r="F266" s="135">
        <v>45350</v>
      </c>
      <c r="G266" s="134">
        <v>0</v>
      </c>
      <c r="H266" s="134">
        <v>5.000000074505806E-2</v>
      </c>
      <c r="I266" s="134">
        <v>0.25</v>
      </c>
      <c r="J266" s="134">
        <v>0.30000001192092896</v>
      </c>
      <c r="K266" s="134">
        <v>0.30000001192092896</v>
      </c>
      <c r="L266" s="134">
        <v>0.10000000149011612</v>
      </c>
      <c r="M266" s="134"/>
      <c r="N266" s="123"/>
      <c r="O266" s="123"/>
      <c r="P266" s="123"/>
      <c r="Q266" s="123"/>
      <c r="R266" s="123"/>
      <c r="S266" s="123"/>
      <c r="T266" s="123"/>
      <c r="U266" s="123"/>
      <c r="V266" s="123"/>
    </row>
    <row r="267" spans="1:22" ht="15" customHeight="1" x14ac:dyDescent="0.25">
      <c r="A267" s="132">
        <v>37</v>
      </c>
      <c r="B267" s="132" t="s">
        <v>1902</v>
      </c>
      <c r="C267" s="132" t="s">
        <v>1909</v>
      </c>
      <c r="D267" s="133" t="s">
        <v>1910</v>
      </c>
      <c r="E267" s="135">
        <v>44719</v>
      </c>
      <c r="F267" s="135">
        <v>45379</v>
      </c>
      <c r="G267" s="134">
        <v>0</v>
      </c>
      <c r="H267" s="134">
        <v>5.000000074505806E-2</v>
      </c>
      <c r="I267" s="134">
        <v>0.25</v>
      </c>
      <c r="J267" s="134">
        <v>0.30000001192092896</v>
      </c>
      <c r="K267" s="134">
        <v>0.30000001192092896</v>
      </c>
      <c r="L267" s="134">
        <v>0.10000000149011612</v>
      </c>
      <c r="M267" s="134"/>
      <c r="N267" s="123"/>
      <c r="O267" s="123"/>
      <c r="P267" s="123"/>
      <c r="Q267" s="123"/>
      <c r="R267" s="123"/>
      <c r="S267" s="123"/>
      <c r="T267" s="123"/>
      <c r="U267" s="123"/>
      <c r="V267" s="123"/>
    </row>
    <row r="268" spans="1:22" ht="15" customHeight="1" x14ac:dyDescent="0.25">
      <c r="A268" s="132">
        <v>37</v>
      </c>
      <c r="B268" s="132" t="s">
        <v>1902</v>
      </c>
      <c r="C268" s="132" t="s">
        <v>1911</v>
      </c>
      <c r="D268" s="133" t="s">
        <v>1912</v>
      </c>
      <c r="E268" s="135">
        <v>44479</v>
      </c>
      <c r="F268" s="135">
        <v>45258</v>
      </c>
      <c r="G268" s="134">
        <v>5.000000074505806E-2</v>
      </c>
      <c r="H268" s="134">
        <v>0.10000000149011612</v>
      </c>
      <c r="I268" s="134">
        <v>0.15000000596046448</v>
      </c>
      <c r="J268" s="134">
        <v>0.20000000298023224</v>
      </c>
      <c r="K268" s="134">
        <v>0.25</v>
      </c>
      <c r="L268" s="134">
        <v>0.25</v>
      </c>
      <c r="M268" s="134"/>
      <c r="N268" s="123"/>
      <c r="O268" s="123"/>
      <c r="P268" s="123"/>
      <c r="Q268" s="123"/>
      <c r="R268" s="123"/>
      <c r="S268" s="123"/>
      <c r="T268" s="123"/>
      <c r="U268" s="123"/>
      <c r="V268" s="123"/>
    </row>
    <row r="269" spans="1:22" ht="15" customHeight="1" x14ac:dyDescent="0.25">
      <c r="A269" s="132">
        <v>37</v>
      </c>
      <c r="B269" s="132" t="s">
        <v>1902</v>
      </c>
      <c r="C269" s="132" t="s">
        <v>1913</v>
      </c>
      <c r="D269" s="133" t="s">
        <v>1914</v>
      </c>
      <c r="E269" s="135">
        <v>44440</v>
      </c>
      <c r="F269" s="135">
        <v>45382</v>
      </c>
      <c r="G269" s="134">
        <v>0</v>
      </c>
      <c r="H269" s="134">
        <v>0.20000000298023224</v>
      </c>
      <c r="I269" s="134">
        <v>0.20000000298023224</v>
      </c>
      <c r="J269" s="134">
        <v>0.20000000298023224</v>
      </c>
      <c r="K269" s="134">
        <v>0.20000000298023224</v>
      </c>
      <c r="L269" s="134">
        <v>0.20000000298023224</v>
      </c>
      <c r="M269" s="134"/>
      <c r="N269" s="123"/>
      <c r="O269" s="123"/>
      <c r="P269" s="123"/>
      <c r="Q269" s="123"/>
      <c r="R269" s="123"/>
      <c r="S269" s="123"/>
      <c r="T269" s="123"/>
      <c r="U269" s="123"/>
      <c r="V269" s="123"/>
    </row>
    <row r="270" spans="1:22" ht="15" customHeight="1" x14ac:dyDescent="0.25">
      <c r="A270" s="132">
        <v>37</v>
      </c>
      <c r="B270" s="132" t="s">
        <v>1902</v>
      </c>
      <c r="C270" s="132" t="s">
        <v>1915</v>
      </c>
      <c r="D270" s="133" t="s">
        <v>1916</v>
      </c>
      <c r="E270" s="135">
        <v>44440</v>
      </c>
      <c r="F270" s="135">
        <v>45382</v>
      </c>
      <c r="G270" s="134">
        <v>0</v>
      </c>
      <c r="H270" s="134">
        <v>0.20000000298023224</v>
      </c>
      <c r="I270" s="134">
        <v>0.20000000298023224</v>
      </c>
      <c r="J270" s="134">
        <v>0.20000000298023224</v>
      </c>
      <c r="K270" s="134">
        <v>0.20000000298023224</v>
      </c>
      <c r="L270" s="134">
        <v>0.20000000298023224</v>
      </c>
      <c r="M270" s="134"/>
      <c r="N270" s="123"/>
      <c r="O270" s="123"/>
      <c r="P270" s="123"/>
      <c r="Q270" s="123"/>
      <c r="R270" s="123"/>
      <c r="S270" s="123"/>
      <c r="T270" s="123"/>
      <c r="U270" s="123"/>
      <c r="V270" s="123"/>
    </row>
    <row r="271" spans="1:22" ht="15" customHeight="1" x14ac:dyDescent="0.25">
      <c r="A271" s="132">
        <v>37</v>
      </c>
      <c r="B271" s="132" t="s">
        <v>1902</v>
      </c>
      <c r="C271" s="132" t="s">
        <v>1917</v>
      </c>
      <c r="D271" s="133" t="s">
        <v>1918</v>
      </c>
      <c r="E271" s="135">
        <v>44780</v>
      </c>
      <c r="F271" s="135">
        <v>45350</v>
      </c>
      <c r="G271" s="134">
        <v>0</v>
      </c>
      <c r="H271" s="134">
        <v>0</v>
      </c>
      <c r="I271" s="134">
        <v>0.25</v>
      </c>
      <c r="J271" s="134">
        <v>0.25</v>
      </c>
      <c r="K271" s="134">
        <v>0.25</v>
      </c>
      <c r="L271" s="134">
        <v>0.25</v>
      </c>
      <c r="M271" s="134"/>
      <c r="N271" s="123"/>
      <c r="O271" s="123"/>
      <c r="P271" s="123"/>
      <c r="Q271" s="123"/>
      <c r="R271" s="123"/>
      <c r="S271" s="123"/>
      <c r="T271" s="123"/>
      <c r="U271" s="123"/>
      <c r="V271" s="123"/>
    </row>
    <row r="272" spans="1:22" ht="15" customHeight="1" x14ac:dyDescent="0.25">
      <c r="A272" s="132">
        <v>37</v>
      </c>
      <c r="B272" s="132" t="s">
        <v>1919</v>
      </c>
      <c r="C272" s="132" t="s">
        <v>1920</v>
      </c>
      <c r="D272" s="133" t="s">
        <v>1921</v>
      </c>
      <c r="E272" s="135">
        <v>44780</v>
      </c>
      <c r="F272" s="135">
        <v>45166</v>
      </c>
      <c r="G272" s="134">
        <v>0</v>
      </c>
      <c r="H272" s="134">
        <v>0</v>
      </c>
      <c r="I272" s="134">
        <v>0.25</v>
      </c>
      <c r="J272" s="134">
        <v>0.25</v>
      </c>
      <c r="K272" s="134">
        <v>0.25</v>
      </c>
      <c r="L272" s="134">
        <v>0.25</v>
      </c>
      <c r="M272" s="134"/>
      <c r="N272" s="123"/>
      <c r="O272" s="123"/>
      <c r="P272" s="123"/>
      <c r="Q272" s="123"/>
      <c r="R272" s="123"/>
      <c r="S272" s="123"/>
      <c r="T272" s="123"/>
      <c r="U272" s="123"/>
      <c r="V272" s="123"/>
    </row>
    <row r="273" spans="1:22" ht="15" customHeight="1" x14ac:dyDescent="0.25">
      <c r="A273" s="132">
        <v>37</v>
      </c>
      <c r="B273" s="132" t="s">
        <v>1919</v>
      </c>
      <c r="C273" s="132" t="s">
        <v>1922</v>
      </c>
      <c r="D273" s="133" t="s">
        <v>1923</v>
      </c>
      <c r="E273" s="135">
        <v>44780</v>
      </c>
      <c r="F273" s="135">
        <v>45166</v>
      </c>
      <c r="G273" s="134">
        <v>0</v>
      </c>
      <c r="H273" s="134">
        <v>0</v>
      </c>
      <c r="I273" s="134">
        <v>0.25</v>
      </c>
      <c r="J273" s="134">
        <v>0.25</v>
      </c>
      <c r="K273" s="134">
        <v>0.25</v>
      </c>
      <c r="L273" s="134">
        <v>0.25</v>
      </c>
      <c r="M273" s="134"/>
      <c r="N273" s="123"/>
      <c r="O273" s="123"/>
      <c r="P273" s="123"/>
      <c r="Q273" s="123"/>
      <c r="R273" s="123"/>
      <c r="S273" s="123"/>
      <c r="T273" s="123"/>
      <c r="U273" s="123"/>
      <c r="V273" s="123"/>
    </row>
    <row r="274" spans="1:22" ht="15" customHeight="1" x14ac:dyDescent="0.25">
      <c r="A274" s="132">
        <v>38</v>
      </c>
      <c r="B274" s="132" t="s">
        <v>1012</v>
      </c>
      <c r="C274" s="132" t="s">
        <v>1013</v>
      </c>
      <c r="D274" s="133" t="s">
        <v>1014</v>
      </c>
      <c r="E274" s="135">
        <v>44683</v>
      </c>
      <c r="F274" s="135">
        <v>44771</v>
      </c>
      <c r="G274" s="134">
        <v>0</v>
      </c>
      <c r="H274" s="134">
        <v>0.80000001192092896</v>
      </c>
      <c r="I274" s="134">
        <v>0.20000000298023224</v>
      </c>
      <c r="J274" s="134">
        <v>0</v>
      </c>
      <c r="K274" s="134">
        <v>0</v>
      </c>
      <c r="L274" s="134">
        <v>0</v>
      </c>
      <c r="M274" s="134"/>
      <c r="N274" s="123"/>
      <c r="O274" s="123"/>
      <c r="P274" s="123"/>
      <c r="Q274" s="123"/>
      <c r="R274" s="123"/>
      <c r="S274" s="123"/>
      <c r="T274" s="123"/>
      <c r="U274" s="123"/>
      <c r="V274" s="123"/>
    </row>
    <row r="275" spans="1:22" ht="15" customHeight="1" x14ac:dyDescent="0.25">
      <c r="A275" s="132">
        <v>38</v>
      </c>
      <c r="B275" s="132" t="s">
        <v>1012</v>
      </c>
      <c r="C275" s="132" t="s">
        <v>1015</v>
      </c>
      <c r="D275" s="133" t="s">
        <v>1016</v>
      </c>
      <c r="E275" s="135">
        <v>44774</v>
      </c>
      <c r="F275" s="135">
        <v>45351</v>
      </c>
      <c r="G275" s="134">
        <v>0</v>
      </c>
      <c r="H275" s="134">
        <v>0</v>
      </c>
      <c r="I275" s="134">
        <v>0.15000000596046448</v>
      </c>
      <c r="J275" s="134">
        <v>0.40000000596046448</v>
      </c>
      <c r="K275" s="134">
        <v>0.40000000596046448</v>
      </c>
      <c r="L275" s="134">
        <v>5.000000074505806E-2</v>
      </c>
      <c r="M275" s="134"/>
      <c r="N275" s="123"/>
      <c r="O275" s="123"/>
      <c r="P275" s="123"/>
      <c r="Q275" s="123"/>
      <c r="R275" s="123"/>
      <c r="S275" s="123"/>
      <c r="T275" s="123"/>
      <c r="U275" s="123"/>
      <c r="V275" s="123"/>
    </row>
    <row r="276" spans="1:22" ht="15" customHeight="1" x14ac:dyDescent="0.25">
      <c r="A276" s="132">
        <v>38</v>
      </c>
      <c r="B276" s="132" t="s">
        <v>1017</v>
      </c>
      <c r="C276" s="132" t="s">
        <v>1018</v>
      </c>
      <c r="D276" s="133" t="s">
        <v>1019</v>
      </c>
      <c r="E276" s="135">
        <v>44634</v>
      </c>
      <c r="F276" s="135">
        <v>44681</v>
      </c>
      <c r="G276" s="134">
        <v>0</v>
      </c>
      <c r="H276" s="134">
        <v>1</v>
      </c>
      <c r="I276" s="134">
        <v>0</v>
      </c>
      <c r="J276" s="134">
        <v>0</v>
      </c>
      <c r="K276" s="134">
        <v>0</v>
      </c>
      <c r="L276" s="134">
        <v>0</v>
      </c>
      <c r="M276" s="134"/>
      <c r="N276" s="123"/>
      <c r="O276" s="123"/>
      <c r="P276" s="123"/>
      <c r="Q276" s="123"/>
      <c r="R276" s="123"/>
      <c r="S276" s="123"/>
      <c r="T276" s="123"/>
      <c r="U276" s="123"/>
      <c r="V276" s="123"/>
    </row>
    <row r="277" spans="1:22" ht="15" customHeight="1" x14ac:dyDescent="0.25">
      <c r="A277" s="132">
        <v>38</v>
      </c>
      <c r="B277" s="132" t="s">
        <v>1020</v>
      </c>
      <c r="C277" s="132" t="s">
        <v>1021</v>
      </c>
      <c r="D277" s="133" t="s">
        <v>1022</v>
      </c>
      <c r="E277" s="135">
        <v>45236</v>
      </c>
      <c r="F277" s="135">
        <v>45260</v>
      </c>
      <c r="G277" s="134">
        <v>0</v>
      </c>
      <c r="H277" s="134">
        <v>0</v>
      </c>
      <c r="I277" s="134">
        <v>0</v>
      </c>
      <c r="J277" s="134">
        <v>0</v>
      </c>
      <c r="K277" s="134">
        <v>1</v>
      </c>
      <c r="L277" s="134">
        <v>0</v>
      </c>
      <c r="M277" s="134"/>
      <c r="N277" s="123"/>
      <c r="O277" s="123"/>
      <c r="P277" s="123"/>
      <c r="Q277" s="123"/>
      <c r="R277" s="123"/>
      <c r="S277" s="123"/>
      <c r="T277" s="123"/>
      <c r="U277" s="123"/>
      <c r="V277" s="123"/>
    </row>
    <row r="278" spans="1:22" ht="15" customHeight="1" x14ac:dyDescent="0.25">
      <c r="A278" s="132">
        <v>38</v>
      </c>
      <c r="B278" s="132" t="s">
        <v>1020</v>
      </c>
      <c r="C278" s="132" t="s">
        <v>1023</v>
      </c>
      <c r="D278" s="133" t="s">
        <v>1024</v>
      </c>
      <c r="E278" s="135">
        <v>45313</v>
      </c>
      <c r="F278" s="135">
        <v>45359</v>
      </c>
      <c r="G278" s="134">
        <v>0</v>
      </c>
      <c r="H278" s="134">
        <v>0</v>
      </c>
      <c r="I278" s="134">
        <v>0</v>
      </c>
      <c r="J278" s="134">
        <v>0</v>
      </c>
      <c r="K278" s="134">
        <v>0</v>
      </c>
      <c r="L278" s="134">
        <v>1</v>
      </c>
      <c r="M278" s="134"/>
      <c r="N278" s="123"/>
      <c r="O278" s="123"/>
      <c r="P278" s="123"/>
      <c r="Q278" s="123"/>
      <c r="R278" s="123"/>
      <c r="S278" s="123"/>
      <c r="T278" s="123"/>
      <c r="U278" s="123"/>
      <c r="V278" s="123"/>
    </row>
    <row r="279" spans="1:22" ht="15" customHeight="1" x14ac:dyDescent="0.25">
      <c r="A279" s="132">
        <v>38</v>
      </c>
      <c r="B279" s="132" t="s">
        <v>1025</v>
      </c>
      <c r="C279" s="132" t="s">
        <v>1026</v>
      </c>
      <c r="D279" s="133" t="s">
        <v>1027</v>
      </c>
      <c r="E279" s="135">
        <v>45170</v>
      </c>
      <c r="F279" s="135">
        <v>45199</v>
      </c>
      <c r="G279" s="134">
        <v>0</v>
      </c>
      <c r="H279" s="134">
        <v>0</v>
      </c>
      <c r="I279" s="134">
        <v>0</v>
      </c>
      <c r="J279" s="134">
        <v>0</v>
      </c>
      <c r="K279" s="134">
        <v>1</v>
      </c>
      <c r="L279" s="134">
        <v>0</v>
      </c>
      <c r="M279" s="134"/>
      <c r="N279" s="123"/>
      <c r="O279" s="123"/>
      <c r="P279" s="123"/>
      <c r="Q279" s="123"/>
      <c r="R279" s="123"/>
      <c r="S279" s="123"/>
      <c r="T279" s="123"/>
      <c r="U279" s="123"/>
      <c r="V279" s="123"/>
    </row>
    <row r="280" spans="1:22" ht="15" customHeight="1" x14ac:dyDescent="0.25">
      <c r="A280" s="132">
        <v>39</v>
      </c>
      <c r="B280" s="132" t="s">
        <v>1411</v>
      </c>
      <c r="C280" s="132" t="s">
        <v>1412</v>
      </c>
      <c r="D280" s="133" t="s">
        <v>1413</v>
      </c>
      <c r="E280" s="135">
        <v>44410</v>
      </c>
      <c r="F280" s="135">
        <v>44862</v>
      </c>
      <c r="G280" s="134">
        <v>0.10000000149011612</v>
      </c>
      <c r="H280" s="134">
        <v>0.40000000596046448</v>
      </c>
      <c r="I280" s="134">
        <v>0.5</v>
      </c>
      <c r="J280" s="134">
        <v>0</v>
      </c>
      <c r="K280" s="134">
        <v>0</v>
      </c>
      <c r="L280" s="134">
        <v>0</v>
      </c>
      <c r="M280" s="134"/>
      <c r="N280" s="123"/>
      <c r="O280" s="123"/>
      <c r="P280" s="123"/>
      <c r="Q280" s="123"/>
      <c r="R280" s="123"/>
      <c r="S280" s="123"/>
      <c r="T280" s="123"/>
      <c r="U280" s="123"/>
      <c r="V280" s="123"/>
    </row>
    <row r="281" spans="1:22" ht="15" customHeight="1" x14ac:dyDescent="0.25">
      <c r="A281" s="132">
        <v>39</v>
      </c>
      <c r="B281" s="132" t="s">
        <v>1411</v>
      </c>
      <c r="C281" s="132" t="s">
        <v>1414</v>
      </c>
      <c r="D281" s="133" t="s">
        <v>1415</v>
      </c>
      <c r="E281" s="135">
        <v>44774</v>
      </c>
      <c r="F281" s="135">
        <v>44799</v>
      </c>
      <c r="G281" s="134">
        <v>0</v>
      </c>
      <c r="H281" s="134">
        <v>0</v>
      </c>
      <c r="I281" s="134">
        <v>1</v>
      </c>
      <c r="J281" s="134">
        <v>0</v>
      </c>
      <c r="K281" s="134">
        <v>0</v>
      </c>
      <c r="L281" s="134">
        <v>0</v>
      </c>
      <c r="M281" s="134"/>
      <c r="N281" s="123"/>
      <c r="O281" s="123"/>
      <c r="P281" s="123"/>
      <c r="Q281" s="123"/>
      <c r="R281" s="123"/>
      <c r="S281" s="123"/>
      <c r="T281" s="123"/>
      <c r="U281" s="123"/>
      <c r="V281" s="123"/>
    </row>
    <row r="282" spans="1:22" ht="15" customHeight="1" x14ac:dyDescent="0.25">
      <c r="A282" s="132">
        <v>39</v>
      </c>
      <c r="B282" s="132" t="s">
        <v>1416</v>
      </c>
      <c r="C282" s="132" t="s">
        <v>1417</v>
      </c>
      <c r="D282" s="133" t="s">
        <v>1418</v>
      </c>
      <c r="E282" s="135">
        <v>44440</v>
      </c>
      <c r="F282" s="135">
        <v>45373</v>
      </c>
      <c r="G282" s="134">
        <v>5.000000074505806E-2</v>
      </c>
      <c r="H282" s="134">
        <v>0.10000000149011612</v>
      </c>
      <c r="I282" s="134">
        <v>0.25</v>
      </c>
      <c r="J282" s="134">
        <v>0.25</v>
      </c>
      <c r="K282" s="134">
        <v>0.25</v>
      </c>
      <c r="L282" s="134">
        <v>0.10000000149011612</v>
      </c>
      <c r="M282" s="134"/>
      <c r="N282" s="123"/>
      <c r="O282" s="123"/>
      <c r="P282" s="123"/>
      <c r="Q282" s="123"/>
      <c r="R282" s="123"/>
      <c r="S282" s="123"/>
      <c r="T282" s="123"/>
      <c r="U282" s="123"/>
      <c r="V282" s="123"/>
    </row>
    <row r="283" spans="1:22" ht="15" customHeight="1" x14ac:dyDescent="0.25">
      <c r="A283" s="132">
        <v>39</v>
      </c>
      <c r="B283" s="132" t="s">
        <v>1416</v>
      </c>
      <c r="C283" s="132" t="s">
        <v>1419</v>
      </c>
      <c r="D283" s="133" t="s">
        <v>1420</v>
      </c>
      <c r="E283" s="135">
        <v>44440</v>
      </c>
      <c r="F283" s="135">
        <v>45373</v>
      </c>
      <c r="G283" s="134">
        <v>5.000000074505806E-2</v>
      </c>
      <c r="H283" s="134">
        <v>5.000000074505806E-2</v>
      </c>
      <c r="I283" s="134">
        <v>0.10000000149011612</v>
      </c>
      <c r="J283" s="134">
        <v>0.30000001192092896</v>
      </c>
      <c r="K283" s="134">
        <v>0.30000001192092896</v>
      </c>
      <c r="L283" s="134">
        <v>0.20000000298023224</v>
      </c>
      <c r="M283" s="134"/>
      <c r="N283" s="123"/>
      <c r="O283" s="123"/>
      <c r="P283" s="123"/>
      <c r="Q283" s="123"/>
      <c r="R283" s="123"/>
      <c r="S283" s="123"/>
      <c r="T283" s="123"/>
      <c r="U283" s="123"/>
      <c r="V283" s="123"/>
    </row>
    <row r="284" spans="1:22" ht="15" customHeight="1" x14ac:dyDescent="0.25">
      <c r="A284" s="132">
        <v>39</v>
      </c>
      <c r="B284" s="132" t="s">
        <v>1421</v>
      </c>
      <c r="C284" s="132" t="s">
        <v>1422</v>
      </c>
      <c r="D284" s="133" t="s">
        <v>1423</v>
      </c>
      <c r="E284" s="135">
        <v>44440</v>
      </c>
      <c r="F284" s="135">
        <v>45373</v>
      </c>
      <c r="G284" s="134">
        <v>5.000000074505806E-2</v>
      </c>
      <c r="H284" s="134">
        <v>0.15000000596046448</v>
      </c>
      <c r="I284" s="134">
        <v>0.15000000596046448</v>
      </c>
      <c r="J284" s="134">
        <v>0.20000000298023224</v>
      </c>
      <c r="K284" s="134">
        <v>0.25</v>
      </c>
      <c r="L284" s="134">
        <v>0.20000000298023224</v>
      </c>
      <c r="M284" s="134"/>
      <c r="N284" s="123"/>
      <c r="O284" s="123"/>
      <c r="P284" s="123"/>
      <c r="Q284" s="123"/>
      <c r="R284" s="123"/>
      <c r="S284" s="123"/>
      <c r="T284" s="123"/>
      <c r="U284" s="123"/>
      <c r="V284" s="123"/>
    </row>
    <row r="285" spans="1:22" ht="15" customHeight="1" x14ac:dyDescent="0.25">
      <c r="A285" s="132">
        <v>40</v>
      </c>
      <c r="B285" s="132" t="s">
        <v>1424</v>
      </c>
      <c r="C285" s="132" t="s">
        <v>1425</v>
      </c>
      <c r="D285" s="133" t="s">
        <v>1426</v>
      </c>
      <c r="E285" s="135">
        <v>44440</v>
      </c>
      <c r="F285" s="135">
        <v>45169</v>
      </c>
      <c r="G285" s="134">
        <v>5.000000074505806E-2</v>
      </c>
      <c r="H285" s="134">
        <v>0.10000000149011612</v>
      </c>
      <c r="I285" s="134">
        <v>0.30000001192092896</v>
      </c>
      <c r="J285" s="134">
        <v>0.44999998807907104</v>
      </c>
      <c r="K285" s="134">
        <v>0.10000000149011612</v>
      </c>
      <c r="L285" s="134">
        <v>0</v>
      </c>
      <c r="M285" s="134"/>
      <c r="N285" s="123"/>
      <c r="O285" s="123"/>
      <c r="P285" s="123"/>
      <c r="Q285" s="123"/>
      <c r="R285" s="123"/>
      <c r="S285" s="123"/>
      <c r="T285" s="123"/>
      <c r="U285" s="123"/>
      <c r="V285" s="123"/>
    </row>
    <row r="286" spans="1:22" ht="15" customHeight="1" x14ac:dyDescent="0.25">
      <c r="A286" s="132">
        <v>40</v>
      </c>
      <c r="B286" s="132" t="s">
        <v>1424</v>
      </c>
      <c r="C286" s="132" t="s">
        <v>1427</v>
      </c>
      <c r="D286" s="133" t="s">
        <v>1428</v>
      </c>
      <c r="E286" s="135">
        <v>44440</v>
      </c>
      <c r="F286" s="135">
        <v>45373</v>
      </c>
      <c r="G286" s="134">
        <v>0</v>
      </c>
      <c r="H286" s="134">
        <v>0</v>
      </c>
      <c r="I286" s="134">
        <v>0</v>
      </c>
      <c r="J286" s="134">
        <v>0</v>
      </c>
      <c r="K286" s="134">
        <v>0</v>
      </c>
      <c r="L286" s="134">
        <v>0</v>
      </c>
      <c r="M286" s="134"/>
      <c r="N286" s="123"/>
      <c r="O286" s="123"/>
      <c r="P286" s="123"/>
      <c r="Q286" s="123"/>
      <c r="R286" s="123"/>
      <c r="S286" s="123"/>
      <c r="T286" s="123"/>
      <c r="U286" s="123"/>
      <c r="V286" s="123"/>
    </row>
    <row r="287" spans="1:22" ht="15" customHeight="1" x14ac:dyDescent="0.25">
      <c r="A287" s="132">
        <v>40</v>
      </c>
      <c r="B287" s="132" t="s">
        <v>1424</v>
      </c>
      <c r="C287" s="132" t="s">
        <v>1429</v>
      </c>
      <c r="D287" s="133" t="s">
        <v>250</v>
      </c>
      <c r="E287" s="135">
        <v>44440</v>
      </c>
      <c r="F287" s="135">
        <v>44911</v>
      </c>
      <c r="G287" s="134">
        <v>0</v>
      </c>
      <c r="H287" s="134">
        <v>0.10000000149011612</v>
      </c>
      <c r="I287" s="134">
        <v>0.89999997615814209</v>
      </c>
      <c r="J287" s="134">
        <v>0</v>
      </c>
      <c r="K287" s="134">
        <v>0</v>
      </c>
      <c r="L287" s="134">
        <v>0</v>
      </c>
      <c r="M287" s="134"/>
      <c r="N287" s="123"/>
      <c r="O287" s="123"/>
      <c r="P287" s="123"/>
      <c r="Q287" s="123"/>
      <c r="R287" s="123"/>
      <c r="S287" s="123"/>
      <c r="T287" s="123"/>
      <c r="U287" s="123"/>
      <c r="V287" s="123"/>
    </row>
    <row r="288" spans="1:22" ht="15" customHeight="1" x14ac:dyDescent="0.25">
      <c r="A288" s="132">
        <v>40</v>
      </c>
      <c r="B288" s="132" t="s">
        <v>1424</v>
      </c>
      <c r="C288" s="132" t="s">
        <v>1430</v>
      </c>
      <c r="D288" s="133" t="s">
        <v>1431</v>
      </c>
      <c r="E288" s="135">
        <v>44440</v>
      </c>
      <c r="F288" s="135">
        <v>45373</v>
      </c>
      <c r="G288" s="134">
        <v>0</v>
      </c>
      <c r="H288" s="134">
        <v>0</v>
      </c>
      <c r="I288" s="134">
        <v>0</v>
      </c>
      <c r="J288" s="134">
        <v>0</v>
      </c>
      <c r="K288" s="134">
        <v>0</v>
      </c>
      <c r="L288" s="134">
        <v>0</v>
      </c>
      <c r="M288" s="134"/>
      <c r="N288" s="123"/>
      <c r="O288" s="123"/>
      <c r="P288" s="123"/>
      <c r="Q288" s="123"/>
      <c r="R288" s="123"/>
      <c r="S288" s="123"/>
      <c r="T288" s="123"/>
      <c r="U288" s="123"/>
      <c r="V288" s="123"/>
    </row>
    <row r="289" spans="1:22" ht="15" customHeight="1" x14ac:dyDescent="0.25">
      <c r="A289" s="132">
        <v>40</v>
      </c>
      <c r="B289" s="132" t="s">
        <v>1424</v>
      </c>
      <c r="C289" s="132" t="s">
        <v>1432</v>
      </c>
      <c r="D289" s="133" t="s">
        <v>1433</v>
      </c>
      <c r="E289" s="135">
        <v>44440</v>
      </c>
      <c r="F289" s="135">
        <v>45205</v>
      </c>
      <c r="G289" s="134">
        <v>0.20000000298023224</v>
      </c>
      <c r="H289" s="134">
        <v>0.10000000149011612</v>
      </c>
      <c r="I289" s="134">
        <v>0.20000000298023224</v>
      </c>
      <c r="J289" s="134">
        <v>0.30000001192092896</v>
      </c>
      <c r="K289" s="134">
        <v>0.20000000298023224</v>
      </c>
      <c r="L289" s="134">
        <v>0</v>
      </c>
      <c r="M289" s="134"/>
      <c r="N289" s="123"/>
      <c r="O289" s="123"/>
      <c r="P289" s="123"/>
      <c r="Q289" s="123"/>
      <c r="R289" s="123"/>
      <c r="S289" s="123"/>
      <c r="T289" s="123"/>
      <c r="U289" s="123"/>
      <c r="V289" s="123"/>
    </row>
    <row r="290" spans="1:22" ht="15" customHeight="1" x14ac:dyDescent="0.25">
      <c r="A290" s="132">
        <v>40</v>
      </c>
      <c r="B290" s="132" t="s">
        <v>1434</v>
      </c>
      <c r="C290" s="132" t="s">
        <v>1435</v>
      </c>
      <c r="D290" s="133" t="s">
        <v>1436</v>
      </c>
      <c r="E290" s="135">
        <v>44441</v>
      </c>
      <c r="F290" s="135">
        <v>45373</v>
      </c>
      <c r="G290" s="134">
        <v>0</v>
      </c>
      <c r="H290" s="134">
        <v>0</v>
      </c>
      <c r="I290" s="134">
        <v>0</v>
      </c>
      <c r="J290" s="134">
        <v>0</v>
      </c>
      <c r="K290" s="134">
        <v>0</v>
      </c>
      <c r="L290" s="134">
        <v>0</v>
      </c>
      <c r="M290" s="134"/>
      <c r="N290" s="123"/>
      <c r="O290" s="123"/>
      <c r="P290" s="123"/>
      <c r="Q290" s="123"/>
      <c r="R290" s="123"/>
      <c r="S290" s="123"/>
      <c r="T290" s="123"/>
      <c r="U290" s="123"/>
      <c r="V290" s="123"/>
    </row>
    <row r="291" spans="1:22" ht="15" customHeight="1" x14ac:dyDescent="0.25">
      <c r="A291" s="132">
        <v>40</v>
      </c>
      <c r="B291" s="132" t="s">
        <v>1434</v>
      </c>
      <c r="C291" s="132" t="s">
        <v>1437</v>
      </c>
      <c r="D291" s="133" t="s">
        <v>1438</v>
      </c>
      <c r="E291" s="135">
        <v>45173</v>
      </c>
      <c r="F291" s="135">
        <v>45373</v>
      </c>
      <c r="G291" s="134">
        <v>0</v>
      </c>
      <c r="H291" s="134">
        <v>0</v>
      </c>
      <c r="I291" s="134">
        <v>0</v>
      </c>
      <c r="J291" s="134">
        <v>0</v>
      </c>
      <c r="K291" s="134">
        <v>0</v>
      </c>
      <c r="L291" s="134">
        <v>0</v>
      </c>
      <c r="M291" s="134"/>
      <c r="N291" s="123"/>
      <c r="O291" s="123"/>
      <c r="P291" s="123"/>
      <c r="Q291" s="123"/>
      <c r="R291" s="123"/>
      <c r="S291" s="123"/>
      <c r="T291" s="123"/>
      <c r="U291" s="123"/>
      <c r="V291" s="123"/>
    </row>
    <row r="292" spans="1:22" ht="15" customHeight="1" x14ac:dyDescent="0.25">
      <c r="A292" s="132">
        <v>40</v>
      </c>
      <c r="B292" s="132" t="s">
        <v>1439</v>
      </c>
      <c r="C292" s="132" t="s">
        <v>1440</v>
      </c>
      <c r="D292" s="133" t="s">
        <v>1441</v>
      </c>
      <c r="E292" s="135">
        <v>44410</v>
      </c>
      <c r="F292" s="135">
        <v>45373</v>
      </c>
      <c r="G292" s="134">
        <v>0</v>
      </c>
      <c r="H292" s="134">
        <v>0</v>
      </c>
      <c r="I292" s="134">
        <v>0</v>
      </c>
      <c r="J292" s="134">
        <v>0</v>
      </c>
      <c r="K292" s="134">
        <v>0</v>
      </c>
      <c r="L292" s="134">
        <v>0</v>
      </c>
      <c r="M292" s="134"/>
      <c r="N292" s="123"/>
      <c r="O292" s="123"/>
      <c r="P292" s="123"/>
      <c r="Q292" s="123"/>
      <c r="R292" s="123"/>
      <c r="S292" s="123"/>
      <c r="T292" s="123"/>
      <c r="U292" s="123"/>
      <c r="V292" s="123"/>
    </row>
    <row r="293" spans="1:22" ht="15" customHeight="1" x14ac:dyDescent="0.25">
      <c r="A293" s="132">
        <v>40</v>
      </c>
      <c r="B293" s="132" t="s">
        <v>1439</v>
      </c>
      <c r="C293" s="132" t="s">
        <v>1442</v>
      </c>
      <c r="D293" s="133" t="s">
        <v>1443</v>
      </c>
      <c r="E293" s="135">
        <v>44410</v>
      </c>
      <c r="F293" s="135">
        <v>45373</v>
      </c>
      <c r="G293" s="134">
        <v>0</v>
      </c>
      <c r="H293" s="134">
        <v>0</v>
      </c>
      <c r="I293" s="134">
        <v>0</v>
      </c>
      <c r="J293" s="134">
        <v>0</v>
      </c>
      <c r="K293" s="134">
        <v>0</v>
      </c>
      <c r="L293" s="134">
        <v>0</v>
      </c>
      <c r="M293" s="134"/>
      <c r="N293" s="123"/>
      <c r="O293" s="123"/>
      <c r="P293" s="123"/>
      <c r="Q293" s="123"/>
      <c r="R293" s="123"/>
      <c r="S293" s="123"/>
      <c r="T293" s="123"/>
      <c r="U293" s="123"/>
      <c r="V293" s="123"/>
    </row>
    <row r="294" spans="1:22" ht="15" customHeight="1" x14ac:dyDescent="0.25">
      <c r="A294" s="132">
        <v>40</v>
      </c>
      <c r="B294" s="132" t="s">
        <v>1439</v>
      </c>
      <c r="C294" s="132" t="s">
        <v>1444</v>
      </c>
      <c r="D294" s="133" t="s">
        <v>1445</v>
      </c>
      <c r="E294" s="135">
        <v>44410</v>
      </c>
      <c r="F294" s="135">
        <v>45373</v>
      </c>
      <c r="G294" s="134">
        <v>0</v>
      </c>
      <c r="H294" s="134">
        <v>0</v>
      </c>
      <c r="I294" s="134">
        <v>0</v>
      </c>
      <c r="J294" s="134">
        <v>0</v>
      </c>
      <c r="K294" s="134">
        <v>0</v>
      </c>
      <c r="L294" s="134">
        <v>0</v>
      </c>
      <c r="M294" s="134"/>
      <c r="N294" s="123"/>
      <c r="O294" s="123"/>
      <c r="P294" s="123"/>
      <c r="Q294" s="123"/>
      <c r="R294" s="123"/>
      <c r="S294" s="123"/>
      <c r="T294" s="123"/>
      <c r="U294" s="123"/>
      <c r="V294" s="123"/>
    </row>
    <row r="295" spans="1:22" ht="15" customHeight="1" x14ac:dyDescent="0.25">
      <c r="A295" s="132">
        <v>40</v>
      </c>
      <c r="B295" s="132" t="s">
        <v>1439</v>
      </c>
      <c r="C295" s="132" t="s">
        <v>1446</v>
      </c>
      <c r="D295" s="133" t="s">
        <v>1447</v>
      </c>
      <c r="E295" s="135">
        <v>44410</v>
      </c>
      <c r="F295" s="135">
        <v>45373</v>
      </c>
      <c r="G295" s="134">
        <v>0</v>
      </c>
      <c r="H295" s="134">
        <v>0</v>
      </c>
      <c r="I295" s="134">
        <v>0</v>
      </c>
      <c r="J295" s="134">
        <v>0</v>
      </c>
      <c r="K295" s="134">
        <v>0</v>
      </c>
      <c r="L295" s="134">
        <v>0</v>
      </c>
      <c r="M295" s="134"/>
      <c r="N295" s="123"/>
      <c r="O295" s="123"/>
      <c r="P295" s="123"/>
      <c r="Q295" s="123"/>
      <c r="R295" s="123"/>
      <c r="S295" s="123"/>
      <c r="T295" s="123"/>
      <c r="U295" s="123"/>
      <c r="V295" s="123"/>
    </row>
    <row r="296" spans="1:22" ht="15" customHeight="1" x14ac:dyDescent="0.25">
      <c r="A296" s="132">
        <v>40</v>
      </c>
      <c r="B296" s="132" t="s">
        <v>1448</v>
      </c>
      <c r="C296" s="132" t="s">
        <v>1449</v>
      </c>
      <c r="D296" s="133" t="s">
        <v>1450</v>
      </c>
      <c r="E296" s="135">
        <v>44410</v>
      </c>
      <c r="F296" s="135">
        <v>45373</v>
      </c>
      <c r="G296" s="134">
        <v>0.15000000596046448</v>
      </c>
      <c r="H296" s="134">
        <v>0.15000000596046448</v>
      </c>
      <c r="I296" s="134">
        <v>0.20000000298023224</v>
      </c>
      <c r="J296" s="134">
        <v>0.30000001192092896</v>
      </c>
      <c r="K296" s="134">
        <v>0.20000000298023224</v>
      </c>
      <c r="L296" s="134">
        <v>0</v>
      </c>
      <c r="M296" s="134"/>
      <c r="N296" s="123"/>
      <c r="O296" s="123"/>
      <c r="P296" s="123"/>
      <c r="Q296" s="123"/>
      <c r="R296" s="123"/>
      <c r="S296" s="123"/>
      <c r="T296" s="123"/>
      <c r="U296" s="123"/>
      <c r="V296" s="123"/>
    </row>
    <row r="297" spans="1:22" ht="15" customHeight="1" x14ac:dyDescent="0.25">
      <c r="A297" s="132">
        <v>41</v>
      </c>
      <c r="B297" s="132" t="s">
        <v>1924</v>
      </c>
      <c r="C297" s="132" t="s">
        <v>1925</v>
      </c>
      <c r="D297" s="133" t="s">
        <v>1926</v>
      </c>
      <c r="E297" s="135">
        <v>44423</v>
      </c>
      <c r="F297" s="135">
        <v>44545</v>
      </c>
      <c r="G297" s="134">
        <v>1</v>
      </c>
      <c r="H297" s="134">
        <v>0</v>
      </c>
      <c r="I297" s="134">
        <v>0</v>
      </c>
      <c r="J297" s="134">
        <v>0</v>
      </c>
      <c r="K297" s="134">
        <v>0</v>
      </c>
      <c r="L297" s="134">
        <v>0</v>
      </c>
      <c r="M297" s="134"/>
      <c r="N297" s="123"/>
      <c r="O297" s="123"/>
      <c r="P297" s="123"/>
      <c r="Q297" s="123"/>
      <c r="R297" s="123"/>
      <c r="S297" s="123"/>
      <c r="T297" s="123"/>
      <c r="U297" s="123"/>
      <c r="V297" s="123"/>
    </row>
    <row r="298" spans="1:22" ht="15" customHeight="1" x14ac:dyDescent="0.25">
      <c r="A298" s="132">
        <v>41</v>
      </c>
      <c r="B298" s="132" t="s">
        <v>1924</v>
      </c>
      <c r="C298" s="132" t="s">
        <v>1927</v>
      </c>
      <c r="D298" s="133" t="s">
        <v>1928</v>
      </c>
      <c r="E298" s="135">
        <v>44576</v>
      </c>
      <c r="F298" s="135">
        <v>44635</v>
      </c>
      <c r="G298" s="134">
        <v>0</v>
      </c>
      <c r="H298" s="134">
        <v>1</v>
      </c>
      <c r="I298" s="134">
        <v>0</v>
      </c>
      <c r="J298" s="134">
        <v>0</v>
      </c>
      <c r="K298" s="134">
        <v>0</v>
      </c>
      <c r="L298" s="134">
        <v>0</v>
      </c>
      <c r="M298" s="134"/>
      <c r="N298" s="123"/>
      <c r="O298" s="123"/>
      <c r="P298" s="123"/>
      <c r="Q298" s="123"/>
      <c r="R298" s="123"/>
      <c r="S298" s="123"/>
      <c r="T298" s="123"/>
      <c r="U298" s="123"/>
      <c r="V298" s="123"/>
    </row>
    <row r="299" spans="1:22" ht="15" customHeight="1" x14ac:dyDescent="0.25">
      <c r="A299" s="132">
        <v>41</v>
      </c>
      <c r="B299" s="132" t="s">
        <v>1924</v>
      </c>
      <c r="C299" s="132" t="s">
        <v>1929</v>
      </c>
      <c r="D299" s="133" t="s">
        <v>1930</v>
      </c>
      <c r="E299" s="135">
        <v>44635</v>
      </c>
      <c r="F299" s="135">
        <v>45366</v>
      </c>
      <c r="G299" s="134">
        <v>0</v>
      </c>
      <c r="H299" s="134">
        <v>0.20000000298023224</v>
      </c>
      <c r="I299" s="134">
        <v>0.25</v>
      </c>
      <c r="J299" s="134">
        <v>0.25</v>
      </c>
      <c r="K299" s="134">
        <v>0.20000000298023224</v>
      </c>
      <c r="L299" s="134">
        <v>0.10000000149011612</v>
      </c>
      <c r="M299" s="134"/>
      <c r="N299" s="123"/>
      <c r="O299" s="123"/>
      <c r="P299" s="123"/>
      <c r="Q299" s="123"/>
      <c r="R299" s="123"/>
      <c r="S299" s="123"/>
      <c r="T299" s="123"/>
      <c r="U299" s="123"/>
      <c r="V299" s="123"/>
    </row>
    <row r="300" spans="1:22" ht="15" customHeight="1" x14ac:dyDescent="0.25">
      <c r="A300" s="132">
        <v>41</v>
      </c>
      <c r="B300" s="132" t="s">
        <v>1931</v>
      </c>
      <c r="C300" s="132" t="s">
        <v>1932</v>
      </c>
      <c r="D300" s="133" t="s">
        <v>1933</v>
      </c>
      <c r="E300" s="135">
        <v>44423</v>
      </c>
      <c r="F300" s="135">
        <v>44515</v>
      </c>
      <c r="G300" s="134">
        <v>1</v>
      </c>
      <c r="H300" s="134">
        <v>0</v>
      </c>
      <c r="I300" s="134">
        <v>0</v>
      </c>
      <c r="J300" s="134">
        <v>0</v>
      </c>
      <c r="K300" s="134">
        <v>0</v>
      </c>
      <c r="L300" s="134">
        <v>0</v>
      </c>
      <c r="M300" s="134"/>
      <c r="N300" s="123"/>
      <c r="O300" s="123"/>
      <c r="P300" s="123"/>
      <c r="Q300" s="123"/>
      <c r="R300" s="123"/>
      <c r="S300" s="123"/>
      <c r="T300" s="123"/>
      <c r="U300" s="123"/>
      <c r="V300" s="123"/>
    </row>
    <row r="301" spans="1:22" ht="15" customHeight="1" x14ac:dyDescent="0.25">
      <c r="A301" s="132">
        <v>41</v>
      </c>
      <c r="B301" s="132" t="s">
        <v>1931</v>
      </c>
      <c r="C301" s="132" t="s">
        <v>1934</v>
      </c>
      <c r="D301" s="133" t="s">
        <v>1935</v>
      </c>
      <c r="E301" s="135">
        <v>44515</v>
      </c>
      <c r="F301" s="135">
        <v>45366</v>
      </c>
      <c r="G301" s="134">
        <v>0</v>
      </c>
      <c r="H301" s="134">
        <v>0.10000000149011612</v>
      </c>
      <c r="I301" s="134">
        <v>0.30000001192092896</v>
      </c>
      <c r="J301" s="134">
        <v>0.30000001192092896</v>
      </c>
      <c r="K301" s="134">
        <v>0.20000000298023224</v>
      </c>
      <c r="L301" s="134">
        <v>0.10000000149011612</v>
      </c>
      <c r="M301" s="134"/>
      <c r="N301" s="123"/>
      <c r="O301" s="123"/>
      <c r="P301" s="123"/>
      <c r="Q301" s="123"/>
      <c r="R301" s="123"/>
      <c r="S301" s="123"/>
      <c r="T301" s="123"/>
      <c r="U301" s="123"/>
      <c r="V301" s="123"/>
    </row>
    <row r="302" spans="1:22" ht="15" customHeight="1" x14ac:dyDescent="0.25">
      <c r="A302" s="132">
        <v>41</v>
      </c>
      <c r="B302" s="132" t="s">
        <v>1931</v>
      </c>
      <c r="C302" s="132" t="s">
        <v>1936</v>
      </c>
      <c r="D302" s="133" t="s">
        <v>1937</v>
      </c>
      <c r="E302" s="135">
        <v>44515</v>
      </c>
      <c r="F302" s="135">
        <v>44666</v>
      </c>
      <c r="G302" s="134">
        <v>0.20000000298023224</v>
      </c>
      <c r="H302" s="134">
        <v>0.80000001192092896</v>
      </c>
      <c r="I302" s="134">
        <v>0</v>
      </c>
      <c r="J302" s="134">
        <v>0</v>
      </c>
      <c r="K302" s="134">
        <v>0</v>
      </c>
      <c r="L302" s="134">
        <v>0</v>
      </c>
      <c r="M302" s="134"/>
      <c r="N302" s="123"/>
      <c r="O302" s="123"/>
      <c r="P302" s="123"/>
      <c r="Q302" s="123"/>
      <c r="R302" s="123"/>
      <c r="S302" s="123"/>
      <c r="T302" s="123"/>
      <c r="U302" s="123"/>
      <c r="V302" s="123"/>
    </row>
    <row r="303" spans="1:22" ht="15" customHeight="1" x14ac:dyDescent="0.25">
      <c r="A303" s="132">
        <v>41</v>
      </c>
      <c r="B303" s="132" t="s">
        <v>1931</v>
      </c>
      <c r="C303" s="132" t="s">
        <v>1938</v>
      </c>
      <c r="D303" s="133" t="s">
        <v>1939</v>
      </c>
      <c r="E303" s="135">
        <v>44423</v>
      </c>
      <c r="F303" s="135">
        <v>44635</v>
      </c>
      <c r="G303" s="134">
        <v>0.20000000298023224</v>
      </c>
      <c r="H303" s="134">
        <v>0.80000001192092896</v>
      </c>
      <c r="I303" s="134">
        <v>0</v>
      </c>
      <c r="J303" s="134">
        <v>0</v>
      </c>
      <c r="K303" s="134">
        <v>0</v>
      </c>
      <c r="L303" s="134">
        <v>0</v>
      </c>
      <c r="M303" s="134"/>
      <c r="N303" s="123"/>
      <c r="O303" s="123"/>
      <c r="P303" s="123"/>
      <c r="Q303" s="123"/>
      <c r="R303" s="123"/>
      <c r="S303" s="123"/>
      <c r="T303" s="123"/>
      <c r="U303" s="123"/>
      <c r="V303" s="123"/>
    </row>
    <row r="304" spans="1:22" ht="15" customHeight="1" x14ac:dyDescent="0.25">
      <c r="A304" s="132">
        <v>41</v>
      </c>
      <c r="B304" s="132" t="s">
        <v>1940</v>
      </c>
      <c r="C304" s="132" t="s">
        <v>1941</v>
      </c>
      <c r="D304" s="133" t="s">
        <v>1942</v>
      </c>
      <c r="E304" s="135">
        <v>44423</v>
      </c>
      <c r="F304" s="135">
        <v>44666</v>
      </c>
      <c r="G304" s="134">
        <v>0.20000000298023224</v>
      </c>
      <c r="H304" s="134">
        <v>0.80000001192092896</v>
      </c>
      <c r="I304" s="134">
        <v>0</v>
      </c>
      <c r="J304" s="134">
        <v>0</v>
      </c>
      <c r="K304" s="134">
        <v>0</v>
      </c>
      <c r="L304" s="134">
        <v>0</v>
      </c>
      <c r="M304" s="134"/>
      <c r="N304" s="123"/>
      <c r="O304" s="123"/>
      <c r="P304" s="123"/>
      <c r="Q304" s="123"/>
      <c r="R304" s="123"/>
      <c r="S304" s="123"/>
      <c r="T304" s="123"/>
      <c r="U304" s="123"/>
      <c r="V304" s="123"/>
    </row>
    <row r="305" spans="1:22" ht="15" customHeight="1" x14ac:dyDescent="0.25">
      <c r="A305" s="132">
        <v>41</v>
      </c>
      <c r="B305" s="132" t="s">
        <v>1940</v>
      </c>
      <c r="C305" s="132" t="s">
        <v>1943</v>
      </c>
      <c r="D305" s="133" t="s">
        <v>1944</v>
      </c>
      <c r="E305" s="135">
        <v>44607</v>
      </c>
      <c r="F305" s="135">
        <v>44788</v>
      </c>
      <c r="G305" s="134">
        <v>0</v>
      </c>
      <c r="H305" s="134">
        <v>0.60000002384185791</v>
      </c>
      <c r="I305" s="134">
        <v>0.40000000596046448</v>
      </c>
      <c r="J305" s="134">
        <v>0</v>
      </c>
      <c r="K305" s="134">
        <v>0</v>
      </c>
      <c r="L305" s="134">
        <v>0</v>
      </c>
      <c r="M305" s="134"/>
      <c r="N305" s="123"/>
      <c r="O305" s="123"/>
      <c r="P305" s="123"/>
      <c r="Q305" s="123"/>
      <c r="R305" s="123"/>
      <c r="S305" s="123"/>
      <c r="T305" s="123"/>
      <c r="U305" s="123"/>
      <c r="V305" s="123"/>
    </row>
    <row r="306" spans="1:22" ht="15" customHeight="1" x14ac:dyDescent="0.25">
      <c r="A306" s="132">
        <v>41</v>
      </c>
      <c r="B306" s="132" t="s">
        <v>1940</v>
      </c>
      <c r="C306" s="132" t="s">
        <v>1945</v>
      </c>
      <c r="D306" s="133" t="s">
        <v>1946</v>
      </c>
      <c r="E306" s="135">
        <v>44423</v>
      </c>
      <c r="F306" s="135">
        <v>44484</v>
      </c>
      <c r="G306" s="134">
        <v>1</v>
      </c>
      <c r="H306" s="134">
        <v>0</v>
      </c>
      <c r="I306" s="134">
        <v>0</v>
      </c>
      <c r="J306" s="134">
        <v>0</v>
      </c>
      <c r="K306" s="134">
        <v>0</v>
      </c>
      <c r="L306" s="134">
        <v>0</v>
      </c>
      <c r="M306" s="134"/>
      <c r="N306" s="123"/>
      <c r="O306" s="123"/>
      <c r="P306" s="123"/>
      <c r="Q306" s="123"/>
      <c r="R306" s="123"/>
      <c r="S306" s="123"/>
      <c r="T306" s="123"/>
      <c r="U306" s="123"/>
      <c r="V306" s="123"/>
    </row>
    <row r="307" spans="1:22" ht="15" customHeight="1" x14ac:dyDescent="0.25">
      <c r="A307" s="132">
        <v>41</v>
      </c>
      <c r="B307" s="132" t="s">
        <v>1940</v>
      </c>
      <c r="C307" s="132" t="s">
        <v>1947</v>
      </c>
      <c r="D307" s="133" t="s">
        <v>1948</v>
      </c>
      <c r="E307" s="135">
        <v>44484</v>
      </c>
      <c r="F307" s="135">
        <v>44607</v>
      </c>
      <c r="G307" s="134">
        <v>0.80000001192092896</v>
      </c>
      <c r="H307" s="134">
        <v>0.20000000298023224</v>
      </c>
      <c r="I307" s="134">
        <v>0</v>
      </c>
      <c r="J307" s="134">
        <v>0</v>
      </c>
      <c r="K307" s="134">
        <v>0</v>
      </c>
      <c r="L307" s="134">
        <v>0</v>
      </c>
      <c r="M307" s="134"/>
      <c r="N307" s="123"/>
      <c r="O307" s="123"/>
      <c r="P307" s="123"/>
      <c r="Q307" s="123"/>
      <c r="R307" s="123"/>
      <c r="S307" s="123"/>
      <c r="T307" s="123"/>
      <c r="U307" s="123"/>
      <c r="V307" s="123"/>
    </row>
    <row r="308" spans="1:22" ht="15" customHeight="1" x14ac:dyDescent="0.25">
      <c r="A308" s="132">
        <v>41</v>
      </c>
      <c r="B308" s="132" t="s">
        <v>1949</v>
      </c>
      <c r="C308" s="132" t="s">
        <v>1950</v>
      </c>
      <c r="D308" s="133" t="s">
        <v>1951</v>
      </c>
      <c r="E308" s="135">
        <v>44423</v>
      </c>
      <c r="F308" s="135">
        <v>44545</v>
      </c>
      <c r="G308" s="134">
        <v>1</v>
      </c>
      <c r="H308" s="134">
        <v>0</v>
      </c>
      <c r="I308" s="134">
        <v>0</v>
      </c>
      <c r="J308" s="134">
        <v>0</v>
      </c>
      <c r="K308" s="134">
        <v>0</v>
      </c>
      <c r="L308" s="134">
        <v>0</v>
      </c>
      <c r="M308" s="134"/>
      <c r="N308" s="123"/>
      <c r="O308" s="123"/>
      <c r="P308" s="123"/>
      <c r="Q308" s="123"/>
      <c r="R308" s="123"/>
      <c r="S308" s="123"/>
      <c r="T308" s="123"/>
      <c r="U308" s="123"/>
      <c r="V308" s="123"/>
    </row>
    <row r="309" spans="1:22" ht="15" customHeight="1" x14ac:dyDescent="0.25">
      <c r="A309" s="132">
        <v>41</v>
      </c>
      <c r="B309" s="132" t="s">
        <v>1949</v>
      </c>
      <c r="C309" s="132" t="s">
        <v>1952</v>
      </c>
      <c r="D309" s="133" t="s">
        <v>1953</v>
      </c>
      <c r="E309" s="135">
        <v>44515</v>
      </c>
      <c r="F309" s="135">
        <v>44666</v>
      </c>
      <c r="G309" s="134">
        <v>0.20000000298023224</v>
      </c>
      <c r="H309" s="134">
        <v>0.80000001192092896</v>
      </c>
      <c r="I309" s="134">
        <v>0</v>
      </c>
      <c r="J309" s="134">
        <v>0</v>
      </c>
      <c r="K309" s="134">
        <v>0</v>
      </c>
      <c r="L309" s="134">
        <v>0</v>
      </c>
      <c r="M309" s="134"/>
      <c r="N309" s="123"/>
      <c r="O309" s="123"/>
      <c r="P309" s="123"/>
      <c r="Q309" s="123"/>
      <c r="R309" s="123"/>
      <c r="S309" s="123"/>
      <c r="T309" s="123"/>
      <c r="U309" s="123"/>
      <c r="V309" s="123"/>
    </row>
    <row r="310" spans="1:22" ht="15" customHeight="1" x14ac:dyDescent="0.25">
      <c r="A310" s="132">
        <v>41</v>
      </c>
      <c r="B310" s="132" t="s">
        <v>1949</v>
      </c>
      <c r="C310" s="132" t="s">
        <v>1954</v>
      </c>
      <c r="D310" s="133" t="s">
        <v>1955</v>
      </c>
      <c r="E310" s="135">
        <v>44666</v>
      </c>
      <c r="F310" s="135">
        <v>44757</v>
      </c>
      <c r="G310" s="134">
        <v>0</v>
      </c>
      <c r="H310" s="134">
        <v>0.69999998807907104</v>
      </c>
      <c r="I310" s="134">
        <v>0.30000001192092896</v>
      </c>
      <c r="J310" s="134">
        <v>0</v>
      </c>
      <c r="K310" s="134">
        <v>0</v>
      </c>
      <c r="L310" s="134">
        <v>0</v>
      </c>
      <c r="M310" s="134"/>
      <c r="N310" s="123"/>
      <c r="O310" s="123"/>
      <c r="P310" s="123"/>
      <c r="Q310" s="123"/>
      <c r="R310" s="123"/>
      <c r="S310" s="123"/>
      <c r="T310" s="123"/>
      <c r="U310" s="123"/>
      <c r="V310" s="123"/>
    </row>
    <row r="311" spans="1:22" ht="15" customHeight="1" x14ac:dyDescent="0.25">
      <c r="A311" s="132">
        <v>41</v>
      </c>
      <c r="B311" s="132" t="s">
        <v>1949</v>
      </c>
      <c r="C311" s="132" t="s">
        <v>1956</v>
      </c>
      <c r="D311" s="133" t="s">
        <v>1957</v>
      </c>
      <c r="E311" s="135">
        <v>44423</v>
      </c>
      <c r="F311" s="135">
        <v>44515</v>
      </c>
      <c r="G311" s="134">
        <v>1</v>
      </c>
      <c r="H311" s="134">
        <v>0</v>
      </c>
      <c r="I311" s="134">
        <v>0</v>
      </c>
      <c r="J311" s="134">
        <v>0</v>
      </c>
      <c r="K311" s="134">
        <v>0</v>
      </c>
      <c r="L311" s="134">
        <v>0</v>
      </c>
      <c r="M311" s="134"/>
      <c r="N311" s="123"/>
      <c r="O311" s="123"/>
      <c r="P311" s="123"/>
      <c r="Q311" s="123"/>
      <c r="R311" s="123"/>
      <c r="S311" s="123"/>
      <c r="T311" s="123"/>
      <c r="U311" s="123"/>
      <c r="V311" s="123"/>
    </row>
    <row r="312" spans="1:22" ht="15" customHeight="1" x14ac:dyDescent="0.25">
      <c r="A312" s="132">
        <v>41</v>
      </c>
      <c r="B312" s="132" t="s">
        <v>1949</v>
      </c>
      <c r="C312" s="132" t="s">
        <v>1958</v>
      </c>
      <c r="D312" s="133" t="s">
        <v>1959</v>
      </c>
      <c r="E312" s="135">
        <v>44515</v>
      </c>
      <c r="F312" s="135">
        <v>44757</v>
      </c>
      <c r="G312" s="134">
        <v>0.10000000149011612</v>
      </c>
      <c r="H312" s="134">
        <v>0.60000002384185791</v>
      </c>
      <c r="I312" s="134">
        <v>0.30000001192092896</v>
      </c>
      <c r="J312" s="134">
        <v>0</v>
      </c>
      <c r="K312" s="134">
        <v>0</v>
      </c>
      <c r="L312" s="134">
        <v>0</v>
      </c>
      <c r="M312" s="134"/>
      <c r="N312" s="123"/>
      <c r="O312" s="123"/>
      <c r="P312" s="123"/>
      <c r="Q312" s="123"/>
      <c r="R312" s="123"/>
      <c r="S312" s="123"/>
      <c r="T312" s="123"/>
      <c r="U312" s="123"/>
      <c r="V312" s="123"/>
    </row>
    <row r="313" spans="1:22" ht="15" customHeight="1" x14ac:dyDescent="0.25">
      <c r="A313" s="132">
        <v>41</v>
      </c>
      <c r="B313" s="132" t="s">
        <v>1949</v>
      </c>
      <c r="C313" s="132" t="s">
        <v>1960</v>
      </c>
      <c r="D313" s="133" t="s">
        <v>1961</v>
      </c>
      <c r="E313" s="135">
        <v>44757</v>
      </c>
      <c r="F313" s="135">
        <v>45366</v>
      </c>
      <c r="G313" s="134">
        <v>0</v>
      </c>
      <c r="H313" s="134">
        <v>0</v>
      </c>
      <c r="I313" s="134">
        <v>0.10000000149011612</v>
      </c>
      <c r="J313" s="134">
        <v>0.30000001192092896</v>
      </c>
      <c r="K313" s="134">
        <v>0.40000000596046448</v>
      </c>
      <c r="L313" s="134">
        <v>0.20000000298023224</v>
      </c>
      <c r="M313" s="134"/>
      <c r="N313" s="123"/>
      <c r="O313" s="123"/>
      <c r="P313" s="123"/>
      <c r="Q313" s="123"/>
      <c r="R313" s="123"/>
      <c r="S313" s="123"/>
      <c r="T313" s="123"/>
      <c r="U313" s="123"/>
      <c r="V313" s="123"/>
    </row>
    <row r="314" spans="1:22" ht="15" customHeight="1" x14ac:dyDescent="0.25">
      <c r="A314" s="132">
        <v>41</v>
      </c>
      <c r="B314" s="132" t="s">
        <v>1949</v>
      </c>
      <c r="C314" s="132" t="s">
        <v>1962</v>
      </c>
      <c r="D314" s="133" t="s">
        <v>1963</v>
      </c>
      <c r="E314" s="135">
        <v>44757</v>
      </c>
      <c r="F314" s="135">
        <v>44849</v>
      </c>
      <c r="G314" s="134">
        <v>0</v>
      </c>
      <c r="H314" s="134">
        <v>0</v>
      </c>
      <c r="I314" s="134">
        <v>1</v>
      </c>
      <c r="J314" s="134">
        <v>0</v>
      </c>
      <c r="K314" s="134">
        <v>0</v>
      </c>
      <c r="L314" s="134">
        <v>0</v>
      </c>
      <c r="M314" s="134"/>
      <c r="N314" s="123"/>
      <c r="O314" s="123"/>
      <c r="P314" s="123"/>
      <c r="Q314" s="123"/>
      <c r="R314" s="123"/>
      <c r="S314" s="123"/>
      <c r="T314" s="123"/>
      <c r="U314" s="123"/>
      <c r="V314" s="123"/>
    </row>
    <row r="315" spans="1:22" ht="15" customHeight="1" x14ac:dyDescent="0.25">
      <c r="A315" s="132">
        <v>41</v>
      </c>
      <c r="B315" s="132" t="s">
        <v>1949</v>
      </c>
      <c r="C315" s="132" t="s">
        <v>1964</v>
      </c>
      <c r="D315" s="133" t="s">
        <v>1965</v>
      </c>
      <c r="E315" s="135">
        <v>44849</v>
      </c>
      <c r="F315" s="135">
        <v>44972</v>
      </c>
      <c r="G315" s="134">
        <v>0</v>
      </c>
      <c r="H315" s="134">
        <v>0</v>
      </c>
      <c r="I315" s="134">
        <v>0.60000002384185791</v>
      </c>
      <c r="J315" s="134">
        <v>0.40000000596046448</v>
      </c>
      <c r="K315" s="134">
        <v>0</v>
      </c>
      <c r="L315" s="134">
        <v>0</v>
      </c>
      <c r="M315" s="134"/>
      <c r="N315" s="123"/>
      <c r="O315" s="123"/>
      <c r="P315" s="123"/>
      <c r="Q315" s="123"/>
      <c r="R315" s="123"/>
      <c r="S315" s="123"/>
      <c r="T315" s="123"/>
      <c r="U315" s="123"/>
      <c r="V315" s="123"/>
    </row>
    <row r="316" spans="1:22" ht="15" customHeight="1" x14ac:dyDescent="0.25">
      <c r="A316" s="132">
        <v>41</v>
      </c>
      <c r="B316" s="132" t="s">
        <v>1949</v>
      </c>
      <c r="C316" s="132" t="s">
        <v>1966</v>
      </c>
      <c r="D316" s="133" t="s">
        <v>1967</v>
      </c>
      <c r="E316" s="135">
        <v>44972</v>
      </c>
      <c r="F316" s="135">
        <v>45366</v>
      </c>
      <c r="G316" s="134">
        <v>0</v>
      </c>
      <c r="H316" s="134">
        <v>0</v>
      </c>
      <c r="I316" s="134">
        <v>0</v>
      </c>
      <c r="J316" s="134">
        <v>0.20000000298023224</v>
      </c>
      <c r="K316" s="134">
        <v>0.60000002384185791</v>
      </c>
      <c r="L316" s="134">
        <v>0.20000000298023224</v>
      </c>
      <c r="M316" s="134"/>
      <c r="N316" s="123"/>
      <c r="O316" s="123"/>
      <c r="P316" s="123"/>
      <c r="Q316" s="123"/>
      <c r="R316" s="123"/>
      <c r="S316" s="123"/>
      <c r="T316" s="123"/>
      <c r="U316" s="123"/>
      <c r="V316" s="123"/>
    </row>
    <row r="317" spans="1:22" ht="15" customHeight="1" x14ac:dyDescent="0.25">
      <c r="A317" s="132">
        <v>41</v>
      </c>
      <c r="B317" s="132" t="s">
        <v>1949</v>
      </c>
      <c r="C317" s="132" t="s">
        <v>1968</v>
      </c>
      <c r="D317" s="133" t="s">
        <v>1969</v>
      </c>
      <c r="E317" s="135">
        <v>44423</v>
      </c>
      <c r="F317" s="135">
        <v>44607</v>
      </c>
      <c r="G317" s="134">
        <v>0.60000002384185791</v>
      </c>
      <c r="H317" s="134">
        <v>0.40000000596046448</v>
      </c>
      <c r="I317" s="134">
        <v>0</v>
      </c>
      <c r="J317" s="134">
        <v>0</v>
      </c>
      <c r="K317" s="134">
        <v>0</v>
      </c>
      <c r="L317" s="134">
        <v>0</v>
      </c>
      <c r="M317" s="134"/>
      <c r="N317" s="123"/>
      <c r="O317" s="123"/>
      <c r="P317" s="123"/>
      <c r="Q317" s="123"/>
      <c r="R317" s="123"/>
      <c r="S317" s="123"/>
      <c r="T317" s="123"/>
      <c r="U317" s="123"/>
      <c r="V317" s="123"/>
    </row>
    <row r="318" spans="1:22" ht="15" customHeight="1" x14ac:dyDescent="0.25">
      <c r="A318" s="132">
        <v>41</v>
      </c>
      <c r="B318" s="132" t="s">
        <v>1970</v>
      </c>
      <c r="C318" s="132" t="s">
        <v>1971</v>
      </c>
      <c r="D318" s="133" t="s">
        <v>1972</v>
      </c>
      <c r="E318" s="135">
        <v>44423</v>
      </c>
      <c r="F318" s="135">
        <v>45381</v>
      </c>
      <c r="G318" s="134">
        <v>0.15999999642372131</v>
      </c>
      <c r="H318" s="134">
        <v>0.17000000178813934</v>
      </c>
      <c r="I318" s="134">
        <v>0.17000000178813934</v>
      </c>
      <c r="J318" s="134">
        <v>0.17000000178813934</v>
      </c>
      <c r="K318" s="134">
        <v>0.17000000178813934</v>
      </c>
      <c r="L318" s="134">
        <v>0.15999999642372131</v>
      </c>
      <c r="M318" s="134"/>
      <c r="N318" s="123"/>
      <c r="O318" s="123"/>
      <c r="P318" s="123"/>
      <c r="Q318" s="123"/>
      <c r="R318" s="123"/>
      <c r="S318" s="123"/>
      <c r="T318" s="123"/>
      <c r="U318" s="123"/>
      <c r="V318" s="123"/>
    </row>
    <row r="319" spans="1:22" ht="15" customHeight="1" x14ac:dyDescent="0.25">
      <c r="A319" s="132">
        <v>42</v>
      </c>
      <c r="B319" s="132" t="s">
        <v>1451</v>
      </c>
      <c r="C319" s="132" t="s">
        <v>1452</v>
      </c>
      <c r="D319" s="133" t="s">
        <v>1453</v>
      </c>
      <c r="E319" s="135">
        <v>44581</v>
      </c>
      <c r="F319" s="135">
        <v>44915</v>
      </c>
      <c r="G319" s="134">
        <v>5.000000074505806E-2</v>
      </c>
      <c r="H319" s="134">
        <v>0.30000001192092896</v>
      </c>
      <c r="I319" s="134">
        <v>0.20000000298023224</v>
      </c>
      <c r="J319" s="134">
        <v>0.20000000298023224</v>
      </c>
      <c r="K319" s="134">
        <v>0.20000000298023224</v>
      </c>
      <c r="L319" s="134">
        <v>5.000000074505806E-2</v>
      </c>
      <c r="M319" s="134"/>
      <c r="N319" s="123"/>
      <c r="O319" s="123"/>
      <c r="P319" s="123"/>
      <c r="Q319" s="123"/>
      <c r="R319" s="123"/>
      <c r="S319" s="123"/>
      <c r="T319" s="123"/>
      <c r="U319" s="123"/>
      <c r="V319" s="123"/>
    </row>
    <row r="320" spans="1:22" ht="15" customHeight="1" x14ac:dyDescent="0.25">
      <c r="A320" s="132">
        <v>42</v>
      </c>
      <c r="B320" s="132" t="s">
        <v>1451</v>
      </c>
      <c r="C320" s="132" t="s">
        <v>1454</v>
      </c>
      <c r="D320" s="133" t="s">
        <v>1455</v>
      </c>
      <c r="E320" s="135">
        <v>44713</v>
      </c>
      <c r="F320" s="135">
        <v>45280</v>
      </c>
      <c r="G320" s="134">
        <v>0</v>
      </c>
      <c r="H320" s="134">
        <v>0.60000002384185791</v>
      </c>
      <c r="I320" s="134">
        <v>0.40000000596046448</v>
      </c>
      <c r="J320" s="134">
        <v>0</v>
      </c>
      <c r="K320" s="134">
        <v>0</v>
      </c>
      <c r="L320" s="134">
        <v>0</v>
      </c>
      <c r="M320" s="134"/>
      <c r="N320" s="123"/>
      <c r="O320" s="123"/>
      <c r="P320" s="123"/>
      <c r="Q320" s="123"/>
      <c r="R320" s="123"/>
      <c r="S320" s="123"/>
      <c r="T320" s="123"/>
      <c r="U320" s="123"/>
      <c r="V320" s="123"/>
    </row>
    <row r="321" spans="1:22" ht="15" customHeight="1" x14ac:dyDescent="0.25">
      <c r="A321" s="132">
        <v>42</v>
      </c>
      <c r="B321" s="132" t="s">
        <v>1456</v>
      </c>
      <c r="C321" s="132" t="s">
        <v>1457</v>
      </c>
      <c r="D321" s="133" t="s">
        <v>1458</v>
      </c>
      <c r="E321" s="135">
        <v>44409</v>
      </c>
      <c r="F321" s="135">
        <v>45382</v>
      </c>
      <c r="G321" s="134">
        <v>0.31999999284744263</v>
      </c>
      <c r="H321" s="134">
        <v>0.20999999344348907</v>
      </c>
      <c r="I321" s="134">
        <v>0.15999999642372131</v>
      </c>
      <c r="J321" s="134">
        <v>0.20999999344348907</v>
      </c>
      <c r="K321" s="134">
        <v>5.000000074505806E-2</v>
      </c>
      <c r="L321" s="134">
        <v>5.000000074505806E-2</v>
      </c>
      <c r="M321" s="134"/>
      <c r="N321" s="123"/>
      <c r="O321" s="123"/>
      <c r="P321" s="123"/>
      <c r="Q321" s="123"/>
      <c r="R321" s="123"/>
      <c r="S321" s="123"/>
      <c r="T321" s="123"/>
      <c r="U321" s="123"/>
      <c r="V321" s="123"/>
    </row>
    <row r="322" spans="1:22" ht="15" customHeight="1" x14ac:dyDescent="0.25">
      <c r="A322" s="132">
        <v>42</v>
      </c>
      <c r="B322" s="132" t="s">
        <v>1456</v>
      </c>
      <c r="C322" s="132" t="s">
        <v>1459</v>
      </c>
      <c r="D322" s="133" t="s">
        <v>1460</v>
      </c>
      <c r="E322" s="135">
        <v>44440</v>
      </c>
      <c r="F322" s="135">
        <v>45280</v>
      </c>
      <c r="G322" s="134">
        <v>0.25</v>
      </c>
      <c r="H322" s="134">
        <v>0.25</v>
      </c>
      <c r="I322" s="134">
        <v>0.12999999523162842</v>
      </c>
      <c r="J322" s="134">
        <v>0.25</v>
      </c>
      <c r="K322" s="134">
        <v>0.11999999731779099</v>
      </c>
      <c r="L322" s="134">
        <v>0</v>
      </c>
      <c r="M322" s="134"/>
      <c r="N322" s="123"/>
      <c r="O322" s="123"/>
      <c r="P322" s="123"/>
      <c r="Q322" s="123"/>
      <c r="R322" s="123"/>
      <c r="S322" s="123"/>
      <c r="T322" s="123"/>
      <c r="U322" s="123"/>
      <c r="V322" s="123"/>
    </row>
    <row r="323" spans="1:22" ht="15" customHeight="1" x14ac:dyDescent="0.25">
      <c r="A323" s="132">
        <v>42</v>
      </c>
      <c r="B323" s="132" t="s">
        <v>1456</v>
      </c>
      <c r="C323" s="132" t="s">
        <v>1461</v>
      </c>
      <c r="D323" s="133" t="s">
        <v>1462</v>
      </c>
      <c r="E323" s="135">
        <v>44409</v>
      </c>
      <c r="F323" s="135">
        <v>45382</v>
      </c>
      <c r="G323" s="134">
        <v>0.15000000596046448</v>
      </c>
      <c r="H323" s="134">
        <v>0.20000000298023224</v>
      </c>
      <c r="I323" s="134">
        <v>0.20000000298023224</v>
      </c>
      <c r="J323" s="134">
        <v>0.20000000298023224</v>
      </c>
      <c r="K323" s="134">
        <v>0.20000000298023224</v>
      </c>
      <c r="L323" s="134">
        <v>5.000000074505806E-2</v>
      </c>
      <c r="M323" s="134"/>
      <c r="N323" s="123"/>
      <c r="O323" s="123"/>
      <c r="P323" s="123"/>
      <c r="Q323" s="123"/>
      <c r="R323" s="123"/>
      <c r="S323" s="123"/>
      <c r="T323" s="123"/>
      <c r="U323" s="123"/>
      <c r="V323" s="123"/>
    </row>
    <row r="324" spans="1:22" ht="15" customHeight="1" x14ac:dyDescent="0.25">
      <c r="A324" s="132">
        <v>43</v>
      </c>
      <c r="B324" s="132" t="s">
        <v>1463</v>
      </c>
      <c r="C324" s="132" t="s">
        <v>1464</v>
      </c>
      <c r="D324" s="133" t="s">
        <v>1465</v>
      </c>
      <c r="E324" s="135">
        <v>44593</v>
      </c>
      <c r="F324" s="135">
        <v>44958</v>
      </c>
      <c r="G324" s="134">
        <v>0</v>
      </c>
      <c r="H324" s="134">
        <v>0.75</v>
      </c>
      <c r="I324" s="134">
        <v>0.25</v>
      </c>
      <c r="J324" s="134">
        <v>0</v>
      </c>
      <c r="K324" s="134">
        <v>0</v>
      </c>
      <c r="L324" s="134">
        <v>0</v>
      </c>
      <c r="M324" s="134"/>
      <c r="N324" s="123"/>
      <c r="O324" s="123"/>
      <c r="P324" s="123"/>
      <c r="Q324" s="123"/>
      <c r="R324" s="123"/>
      <c r="S324" s="123"/>
      <c r="T324" s="123"/>
      <c r="U324" s="123"/>
      <c r="V324" s="123"/>
    </row>
    <row r="325" spans="1:22" ht="15" customHeight="1" x14ac:dyDescent="0.25">
      <c r="A325" s="132">
        <v>43</v>
      </c>
      <c r="B325" s="132" t="s">
        <v>1463</v>
      </c>
      <c r="C325" s="132" t="s">
        <v>1466</v>
      </c>
      <c r="D325" s="133" t="s">
        <v>1467</v>
      </c>
      <c r="E325" s="135">
        <v>44593</v>
      </c>
      <c r="F325" s="135">
        <v>44958</v>
      </c>
      <c r="G325" s="134">
        <v>0</v>
      </c>
      <c r="H325" s="134">
        <v>0.75</v>
      </c>
      <c r="I325" s="134">
        <v>0.25</v>
      </c>
      <c r="J325" s="134">
        <v>0</v>
      </c>
      <c r="K325" s="134">
        <v>0</v>
      </c>
      <c r="L325" s="134">
        <v>0</v>
      </c>
      <c r="M325" s="134"/>
      <c r="N325" s="123"/>
      <c r="O325" s="123"/>
      <c r="P325" s="123"/>
      <c r="Q325" s="123"/>
      <c r="R325" s="123"/>
      <c r="S325" s="123"/>
      <c r="T325" s="123"/>
      <c r="U325" s="123"/>
      <c r="V325" s="123"/>
    </row>
    <row r="326" spans="1:22" ht="15" customHeight="1" x14ac:dyDescent="0.25">
      <c r="A326" s="132">
        <v>43</v>
      </c>
      <c r="B326" s="132" t="s">
        <v>1463</v>
      </c>
      <c r="C326" s="132" t="s">
        <v>1468</v>
      </c>
      <c r="D326" s="133" t="s">
        <v>1469</v>
      </c>
      <c r="E326" s="135">
        <v>44593</v>
      </c>
      <c r="F326" s="135">
        <v>44958</v>
      </c>
      <c r="G326" s="134">
        <v>0</v>
      </c>
      <c r="H326" s="134">
        <v>0.75</v>
      </c>
      <c r="I326" s="134">
        <v>0.25</v>
      </c>
      <c r="J326" s="134">
        <v>0</v>
      </c>
      <c r="K326" s="134">
        <v>0</v>
      </c>
      <c r="L326" s="134">
        <v>0</v>
      </c>
      <c r="M326" s="134"/>
      <c r="N326" s="123"/>
      <c r="O326" s="123"/>
      <c r="P326" s="123"/>
      <c r="Q326" s="123"/>
      <c r="R326" s="123"/>
      <c r="S326" s="123"/>
      <c r="T326" s="123"/>
      <c r="U326" s="123"/>
      <c r="V326" s="123"/>
    </row>
    <row r="327" spans="1:22" ht="15" customHeight="1" x14ac:dyDescent="0.25">
      <c r="A327" s="132">
        <v>43</v>
      </c>
      <c r="B327" s="132" t="s">
        <v>1470</v>
      </c>
      <c r="C327" s="132" t="s">
        <v>1471</v>
      </c>
      <c r="D327" s="133" t="s">
        <v>1472</v>
      </c>
      <c r="E327" s="135">
        <v>44593</v>
      </c>
      <c r="F327" s="135">
        <v>44958</v>
      </c>
      <c r="G327" s="134">
        <v>0</v>
      </c>
      <c r="H327" s="134">
        <v>0.75</v>
      </c>
      <c r="I327" s="134">
        <v>0.25</v>
      </c>
      <c r="J327" s="134">
        <v>0</v>
      </c>
      <c r="K327" s="134">
        <v>0</v>
      </c>
      <c r="L327" s="134">
        <v>0</v>
      </c>
      <c r="M327" s="134"/>
      <c r="N327" s="123"/>
      <c r="O327" s="123"/>
      <c r="P327" s="123"/>
      <c r="Q327" s="123"/>
      <c r="R327" s="123"/>
      <c r="S327" s="123"/>
      <c r="T327" s="123"/>
      <c r="U327" s="123"/>
      <c r="V327" s="123"/>
    </row>
    <row r="328" spans="1:22" ht="15" customHeight="1" x14ac:dyDescent="0.25">
      <c r="A328" s="132">
        <v>44</v>
      </c>
      <c r="B328" s="132" t="s">
        <v>1473</v>
      </c>
      <c r="C328" s="132" t="s">
        <v>1474</v>
      </c>
      <c r="D328" s="133" t="s">
        <v>1475</v>
      </c>
      <c r="E328" s="135">
        <v>44713</v>
      </c>
      <c r="F328" s="135">
        <v>44925</v>
      </c>
      <c r="G328" s="134">
        <v>0</v>
      </c>
      <c r="H328" s="134">
        <v>0</v>
      </c>
      <c r="I328" s="134">
        <v>1</v>
      </c>
      <c r="J328" s="134">
        <v>0</v>
      </c>
      <c r="K328" s="134">
        <v>0</v>
      </c>
      <c r="L328" s="134">
        <v>0</v>
      </c>
      <c r="M328" s="134"/>
      <c r="N328" s="123"/>
      <c r="O328" s="123"/>
      <c r="P328" s="123"/>
      <c r="Q328" s="123"/>
      <c r="R328" s="123"/>
      <c r="S328" s="123"/>
      <c r="T328" s="123"/>
      <c r="U328" s="123"/>
      <c r="V328" s="123"/>
    </row>
    <row r="329" spans="1:22" ht="15" customHeight="1" x14ac:dyDescent="0.25">
      <c r="A329" s="132">
        <v>44</v>
      </c>
      <c r="B329" s="132" t="s">
        <v>1473</v>
      </c>
      <c r="C329" s="132" t="s">
        <v>1476</v>
      </c>
      <c r="D329" s="133" t="s">
        <v>1477</v>
      </c>
      <c r="E329" s="135">
        <v>44927</v>
      </c>
      <c r="F329" s="135">
        <v>45078</v>
      </c>
      <c r="G329" s="134">
        <v>0</v>
      </c>
      <c r="H329" s="134">
        <v>0</v>
      </c>
      <c r="I329" s="134">
        <v>0</v>
      </c>
      <c r="J329" s="134">
        <v>1</v>
      </c>
      <c r="K329" s="134">
        <v>0</v>
      </c>
      <c r="L329" s="134">
        <v>0</v>
      </c>
      <c r="M329" s="134"/>
      <c r="N329" s="123"/>
      <c r="O329" s="123"/>
      <c r="P329" s="123"/>
      <c r="Q329" s="123"/>
      <c r="R329" s="123"/>
      <c r="S329" s="123"/>
      <c r="T329" s="123"/>
      <c r="U329" s="123"/>
      <c r="V329" s="123"/>
    </row>
    <row r="330" spans="1:22" ht="15" customHeight="1" x14ac:dyDescent="0.25">
      <c r="A330" s="132">
        <v>44</v>
      </c>
      <c r="B330" s="132" t="s">
        <v>1478</v>
      </c>
      <c r="C330" s="132" t="s">
        <v>1479</v>
      </c>
      <c r="D330" s="133" t="s">
        <v>1480</v>
      </c>
      <c r="E330" s="135">
        <v>44562</v>
      </c>
      <c r="F330" s="135">
        <v>44925</v>
      </c>
      <c r="G330" s="134">
        <v>0</v>
      </c>
      <c r="H330" s="134">
        <v>0.5</v>
      </c>
      <c r="I330" s="134">
        <v>0.5</v>
      </c>
      <c r="J330" s="134">
        <v>0</v>
      </c>
      <c r="K330" s="134">
        <v>0</v>
      </c>
      <c r="L330" s="134">
        <v>0</v>
      </c>
      <c r="M330" s="134"/>
      <c r="N330" s="123"/>
      <c r="O330" s="123"/>
      <c r="P330" s="123"/>
      <c r="Q330" s="123"/>
      <c r="R330" s="123"/>
      <c r="S330" s="123"/>
      <c r="T330" s="123"/>
      <c r="U330" s="123"/>
      <c r="V330" s="123"/>
    </row>
    <row r="331" spans="1:22" ht="15" customHeight="1" x14ac:dyDescent="0.25">
      <c r="A331" s="132">
        <v>44</v>
      </c>
      <c r="B331" s="132" t="s">
        <v>1478</v>
      </c>
      <c r="C331" s="132" t="s">
        <v>1481</v>
      </c>
      <c r="D331" s="133" t="s">
        <v>1482</v>
      </c>
      <c r="E331" s="135">
        <v>44593</v>
      </c>
      <c r="F331" s="135">
        <v>44864</v>
      </c>
      <c r="G331" s="134">
        <v>0</v>
      </c>
      <c r="H331" s="134">
        <v>0.5</v>
      </c>
      <c r="I331" s="134">
        <v>0.5</v>
      </c>
      <c r="J331" s="134">
        <v>0</v>
      </c>
      <c r="K331" s="134">
        <v>0</v>
      </c>
      <c r="L331" s="134">
        <v>0</v>
      </c>
      <c r="M331" s="134"/>
      <c r="N331" s="123"/>
      <c r="O331" s="123"/>
      <c r="P331" s="123"/>
      <c r="Q331" s="123"/>
      <c r="R331" s="123"/>
      <c r="S331" s="123"/>
      <c r="T331" s="123"/>
      <c r="U331" s="123"/>
      <c r="V331" s="123"/>
    </row>
    <row r="332" spans="1:22" ht="15" customHeight="1" x14ac:dyDescent="0.25">
      <c r="A332" s="132">
        <v>44</v>
      </c>
      <c r="B332" s="132" t="s">
        <v>1478</v>
      </c>
      <c r="C332" s="132" t="s">
        <v>1483</v>
      </c>
      <c r="D332" s="133" t="s">
        <v>1484</v>
      </c>
      <c r="E332" s="135">
        <v>44593</v>
      </c>
      <c r="F332" s="135">
        <v>45381</v>
      </c>
      <c r="G332" s="134">
        <v>0</v>
      </c>
      <c r="H332" s="134">
        <v>0.10000000149011612</v>
      </c>
      <c r="I332" s="134">
        <v>0.20000000298023224</v>
      </c>
      <c r="J332" s="134">
        <v>0.30000001192092896</v>
      </c>
      <c r="K332" s="134">
        <v>0.30000001192092896</v>
      </c>
      <c r="L332" s="134">
        <v>0.10000000149011612</v>
      </c>
      <c r="M332" s="134"/>
      <c r="N332" s="123"/>
      <c r="O332" s="123"/>
      <c r="P332" s="123"/>
      <c r="Q332" s="123"/>
      <c r="R332" s="123"/>
      <c r="S332" s="123"/>
      <c r="T332" s="123"/>
      <c r="U332" s="123"/>
      <c r="V332" s="123"/>
    </row>
    <row r="333" spans="1:22" ht="15" customHeight="1" x14ac:dyDescent="0.25">
      <c r="A333" s="132">
        <v>44</v>
      </c>
      <c r="B333" s="132" t="s">
        <v>1485</v>
      </c>
      <c r="C333" s="132" t="s">
        <v>1486</v>
      </c>
      <c r="D333" s="133" t="s">
        <v>1487</v>
      </c>
      <c r="E333" s="135">
        <v>44713</v>
      </c>
      <c r="F333" s="135">
        <v>45382</v>
      </c>
      <c r="G333" s="134">
        <v>0</v>
      </c>
      <c r="H333" s="134">
        <v>0.25</v>
      </c>
      <c r="I333" s="134">
        <v>0.25</v>
      </c>
      <c r="J333" s="134">
        <v>0.25</v>
      </c>
      <c r="K333" s="134">
        <v>0.25</v>
      </c>
      <c r="L333" s="134">
        <v>0</v>
      </c>
      <c r="M333" s="134"/>
      <c r="N333" s="123"/>
      <c r="O333" s="123"/>
      <c r="P333" s="123"/>
      <c r="Q333" s="123"/>
      <c r="R333" s="123"/>
      <c r="S333" s="123"/>
      <c r="T333" s="123"/>
      <c r="U333" s="123"/>
      <c r="V333" s="123"/>
    </row>
    <row r="334" spans="1:22" ht="15" customHeight="1" x14ac:dyDescent="0.25">
      <c r="A334" s="132">
        <v>44</v>
      </c>
      <c r="B334" s="132" t="s">
        <v>1485</v>
      </c>
      <c r="C334" s="132" t="s">
        <v>1488</v>
      </c>
      <c r="D334" s="133" t="s">
        <v>1489</v>
      </c>
      <c r="E334" s="135">
        <v>44713</v>
      </c>
      <c r="F334" s="135">
        <v>44713</v>
      </c>
      <c r="G334" s="134">
        <v>0</v>
      </c>
      <c r="H334" s="134">
        <v>0</v>
      </c>
      <c r="I334" s="134">
        <v>1</v>
      </c>
      <c r="J334" s="134">
        <v>0</v>
      </c>
      <c r="K334" s="134">
        <v>0</v>
      </c>
      <c r="L334" s="134">
        <v>0</v>
      </c>
      <c r="M334" s="134"/>
      <c r="N334" s="123"/>
      <c r="O334" s="123"/>
      <c r="P334" s="123"/>
      <c r="Q334" s="123"/>
      <c r="R334" s="123"/>
      <c r="S334" s="123"/>
      <c r="T334" s="123"/>
      <c r="U334" s="123"/>
      <c r="V334" s="123"/>
    </row>
    <row r="335" spans="1:22" ht="15" customHeight="1" x14ac:dyDescent="0.25">
      <c r="A335" s="132">
        <v>44</v>
      </c>
      <c r="B335" s="132" t="s">
        <v>1485</v>
      </c>
      <c r="C335" s="132" t="s">
        <v>1490</v>
      </c>
      <c r="D335" s="133" t="s">
        <v>1489</v>
      </c>
      <c r="E335" s="135">
        <v>45108</v>
      </c>
      <c r="F335" s="135">
        <v>45108</v>
      </c>
      <c r="G335" s="134">
        <v>0</v>
      </c>
      <c r="H335" s="134">
        <v>0</v>
      </c>
      <c r="I335" s="134">
        <v>0</v>
      </c>
      <c r="J335" s="134">
        <v>0</v>
      </c>
      <c r="K335" s="134">
        <v>1</v>
      </c>
      <c r="L335" s="134">
        <v>0</v>
      </c>
      <c r="M335" s="134"/>
      <c r="N335" s="123"/>
      <c r="O335" s="123"/>
      <c r="P335" s="123"/>
      <c r="Q335" s="123"/>
      <c r="R335" s="123"/>
      <c r="S335" s="123"/>
      <c r="T335" s="123"/>
      <c r="U335" s="123"/>
      <c r="V335" s="123"/>
    </row>
    <row r="336" spans="1:22" ht="15" customHeight="1" x14ac:dyDescent="0.25">
      <c r="A336" s="132">
        <v>45</v>
      </c>
      <c r="B336" s="132" t="s">
        <v>1491</v>
      </c>
      <c r="C336" s="132" t="s">
        <v>1492</v>
      </c>
      <c r="D336" s="133" t="s">
        <v>1493</v>
      </c>
      <c r="E336" s="135">
        <v>44409</v>
      </c>
      <c r="F336" s="135">
        <v>44774</v>
      </c>
      <c r="G336" s="134">
        <v>0.20000000298023224</v>
      </c>
      <c r="H336" s="134">
        <v>0.60000002384185791</v>
      </c>
      <c r="I336" s="134">
        <v>0.20000000298023224</v>
      </c>
      <c r="J336" s="134">
        <v>0</v>
      </c>
      <c r="K336" s="134">
        <v>0</v>
      </c>
      <c r="L336" s="134">
        <v>0</v>
      </c>
      <c r="M336" s="134"/>
      <c r="N336" s="123"/>
      <c r="O336" s="123"/>
      <c r="P336" s="123"/>
      <c r="Q336" s="123"/>
      <c r="R336" s="123"/>
      <c r="S336" s="123"/>
      <c r="T336" s="123"/>
      <c r="U336" s="123"/>
      <c r="V336" s="123"/>
    </row>
    <row r="337" spans="1:22" ht="15" customHeight="1" x14ac:dyDescent="0.25">
      <c r="A337" s="132">
        <v>45</v>
      </c>
      <c r="B337" s="132" t="s">
        <v>1494</v>
      </c>
      <c r="C337" s="132" t="s">
        <v>1495</v>
      </c>
      <c r="D337" s="133" t="s">
        <v>1496</v>
      </c>
      <c r="E337" s="135">
        <v>44774</v>
      </c>
      <c r="F337" s="135">
        <v>44985</v>
      </c>
      <c r="G337" s="134">
        <v>0</v>
      </c>
      <c r="H337" s="134">
        <v>0.10000000149011612</v>
      </c>
      <c r="I337" s="134">
        <v>0.80000001192092896</v>
      </c>
      <c r="J337" s="134">
        <v>0.10000000149011612</v>
      </c>
      <c r="K337" s="134">
        <v>0</v>
      </c>
      <c r="L337" s="134">
        <v>0</v>
      </c>
      <c r="M337" s="134"/>
      <c r="N337" s="123"/>
      <c r="O337" s="123"/>
      <c r="P337" s="123"/>
      <c r="Q337" s="123"/>
      <c r="R337" s="123"/>
      <c r="S337" s="123"/>
      <c r="T337" s="123"/>
      <c r="U337" s="123"/>
      <c r="V337" s="123"/>
    </row>
    <row r="338" spans="1:22" ht="15" customHeight="1" x14ac:dyDescent="0.25">
      <c r="A338" s="132">
        <v>46</v>
      </c>
      <c r="B338" s="132" t="s">
        <v>1497</v>
      </c>
      <c r="C338" s="132" t="s">
        <v>1498</v>
      </c>
      <c r="D338" s="133" t="s">
        <v>1499</v>
      </c>
      <c r="E338" s="135">
        <v>44440</v>
      </c>
      <c r="F338" s="135">
        <v>45382</v>
      </c>
      <c r="G338" s="134">
        <v>0.10000000149011612</v>
      </c>
      <c r="H338" s="134">
        <v>0.20000000298023224</v>
      </c>
      <c r="I338" s="134">
        <v>0.20000000298023224</v>
      </c>
      <c r="J338" s="134">
        <v>0.20000000298023224</v>
      </c>
      <c r="K338" s="134">
        <v>0.20000000298023224</v>
      </c>
      <c r="L338" s="134">
        <v>0.10000000149011612</v>
      </c>
      <c r="M338" s="134"/>
      <c r="N338" s="123"/>
      <c r="O338" s="123"/>
      <c r="P338" s="123"/>
      <c r="Q338" s="123"/>
      <c r="R338" s="123"/>
      <c r="S338" s="123"/>
      <c r="T338" s="123"/>
      <c r="U338" s="123"/>
      <c r="V338" s="123"/>
    </row>
    <row r="339" spans="1:22" ht="15" customHeight="1" x14ac:dyDescent="0.25">
      <c r="A339" s="132">
        <v>46</v>
      </c>
      <c r="B339" s="132" t="s">
        <v>1500</v>
      </c>
      <c r="C339" s="132" t="s">
        <v>1501</v>
      </c>
      <c r="D339" s="133" t="s">
        <v>1502</v>
      </c>
      <c r="E339" s="135">
        <v>44440</v>
      </c>
      <c r="F339" s="135">
        <v>45382</v>
      </c>
      <c r="G339" s="134">
        <v>0.10000000149011612</v>
      </c>
      <c r="H339" s="134">
        <v>0.20000000298023224</v>
      </c>
      <c r="I339" s="134">
        <v>0.20000000298023224</v>
      </c>
      <c r="J339" s="134">
        <v>0.20000000298023224</v>
      </c>
      <c r="K339" s="134">
        <v>0.20000000298023224</v>
      </c>
      <c r="L339" s="134">
        <v>0.10000000149011612</v>
      </c>
      <c r="M339" s="134"/>
      <c r="N339" s="123"/>
      <c r="O339" s="123"/>
      <c r="P339" s="123"/>
      <c r="Q339" s="123"/>
      <c r="R339" s="123"/>
      <c r="S339" s="123"/>
      <c r="T339" s="123"/>
      <c r="U339" s="123"/>
      <c r="V339" s="123"/>
    </row>
    <row r="340" spans="1:22" ht="15" customHeight="1" x14ac:dyDescent="0.25">
      <c r="A340" s="132">
        <v>47</v>
      </c>
      <c r="B340" s="132" t="s">
        <v>1503</v>
      </c>
      <c r="C340" s="132" t="s">
        <v>1504</v>
      </c>
      <c r="D340" s="133" t="s">
        <v>1505</v>
      </c>
      <c r="E340" s="135">
        <v>44409</v>
      </c>
      <c r="F340" s="135">
        <v>44470</v>
      </c>
      <c r="G340" s="134">
        <v>1</v>
      </c>
      <c r="H340" s="134">
        <v>0</v>
      </c>
      <c r="I340" s="134">
        <v>0</v>
      </c>
      <c r="J340" s="134">
        <v>0</v>
      </c>
      <c r="K340" s="134">
        <v>0</v>
      </c>
      <c r="L340" s="134">
        <v>0</v>
      </c>
      <c r="M340" s="134"/>
      <c r="N340" s="123"/>
      <c r="O340" s="123"/>
      <c r="P340" s="123"/>
      <c r="Q340" s="123"/>
      <c r="R340" s="123"/>
      <c r="S340" s="123"/>
      <c r="T340" s="123"/>
      <c r="U340" s="123"/>
      <c r="V340" s="123"/>
    </row>
    <row r="341" spans="1:22" ht="15" customHeight="1" x14ac:dyDescent="0.25">
      <c r="A341" s="132">
        <v>47</v>
      </c>
      <c r="B341" s="132" t="s">
        <v>1506</v>
      </c>
      <c r="C341" s="132" t="s">
        <v>1507</v>
      </c>
      <c r="D341" s="133" t="s">
        <v>1508</v>
      </c>
      <c r="E341" s="135">
        <v>44501</v>
      </c>
      <c r="F341" s="135">
        <v>44866</v>
      </c>
      <c r="G341" s="134">
        <v>0</v>
      </c>
      <c r="H341" s="134">
        <v>0.5</v>
      </c>
      <c r="I341" s="134">
        <v>0.5</v>
      </c>
      <c r="J341" s="134">
        <v>0</v>
      </c>
      <c r="K341" s="134">
        <v>0</v>
      </c>
      <c r="L341" s="134">
        <v>0</v>
      </c>
      <c r="M341" s="134"/>
      <c r="N341" s="123"/>
      <c r="O341" s="123"/>
      <c r="P341" s="123"/>
      <c r="Q341" s="123"/>
      <c r="R341" s="123"/>
      <c r="S341" s="123"/>
      <c r="T341" s="123"/>
      <c r="U341" s="123"/>
      <c r="V341" s="123"/>
    </row>
    <row r="342" spans="1:22" ht="15" customHeight="1" x14ac:dyDescent="0.25">
      <c r="A342" s="132">
        <v>48</v>
      </c>
      <c r="B342" s="132" t="s">
        <v>1509</v>
      </c>
      <c r="C342" s="132" t="s">
        <v>1510</v>
      </c>
      <c r="D342" s="133" t="s">
        <v>1505</v>
      </c>
      <c r="E342" s="135">
        <v>44621</v>
      </c>
      <c r="F342" s="135">
        <v>44681</v>
      </c>
      <c r="G342" s="61">
        <v>1</v>
      </c>
      <c r="H342" s="61">
        <v>0</v>
      </c>
      <c r="I342" s="61">
        <v>0</v>
      </c>
      <c r="J342" s="61">
        <v>0</v>
      </c>
      <c r="K342" s="61">
        <v>0</v>
      </c>
      <c r="L342" s="61">
        <v>0</v>
      </c>
      <c r="M342" s="134"/>
      <c r="N342" s="123"/>
      <c r="O342" s="123"/>
      <c r="P342" s="123"/>
      <c r="Q342" s="123"/>
      <c r="R342" s="123"/>
      <c r="S342" s="123"/>
      <c r="T342" s="123"/>
      <c r="U342" s="123"/>
      <c r="V342" s="123"/>
    </row>
    <row r="343" spans="1:22" ht="15" customHeight="1" x14ac:dyDescent="0.25">
      <c r="A343" s="132">
        <v>48</v>
      </c>
      <c r="B343" s="132" t="s">
        <v>1511</v>
      </c>
      <c r="C343" s="132" t="s">
        <v>1512</v>
      </c>
      <c r="D343" s="133" t="s">
        <v>1508</v>
      </c>
      <c r="E343" s="135">
        <v>44682</v>
      </c>
      <c r="F343" s="135">
        <v>45231</v>
      </c>
      <c r="G343" s="61">
        <v>0</v>
      </c>
      <c r="H343" s="61">
        <v>0.20000000298023224</v>
      </c>
      <c r="I343" s="61">
        <v>0.30000001192092896</v>
      </c>
      <c r="J343" s="61">
        <v>0.30000001192092896</v>
      </c>
      <c r="K343" s="61">
        <v>0.20000000298023224</v>
      </c>
      <c r="L343" s="61">
        <v>0</v>
      </c>
      <c r="M343" s="134"/>
      <c r="N343" s="123"/>
      <c r="O343" s="123"/>
      <c r="P343" s="123"/>
      <c r="Q343" s="123"/>
      <c r="R343" s="123"/>
      <c r="S343" s="123"/>
      <c r="T343" s="123"/>
      <c r="U343" s="123"/>
      <c r="V343" s="123"/>
    </row>
    <row r="344" spans="1:22" ht="15" customHeight="1" x14ac:dyDescent="0.25">
      <c r="A344" s="132">
        <v>49</v>
      </c>
      <c r="B344" s="132" t="s">
        <v>1513</v>
      </c>
      <c r="C344" s="132" t="s">
        <v>1514</v>
      </c>
      <c r="D344" s="133" t="s">
        <v>1515</v>
      </c>
      <c r="E344" s="135">
        <v>44409</v>
      </c>
      <c r="F344" s="135">
        <v>45352</v>
      </c>
      <c r="G344" s="61">
        <v>0.54000002145767212</v>
      </c>
      <c r="H344" s="61">
        <v>5.9999998658895493E-2</v>
      </c>
      <c r="I344" s="61">
        <v>7.0000000298023224E-2</v>
      </c>
      <c r="J344" s="61">
        <v>7.0000000298023224E-2</v>
      </c>
      <c r="K344" s="61">
        <v>7.9999998211860657E-2</v>
      </c>
      <c r="L344" s="61">
        <v>0.18000000715255737</v>
      </c>
      <c r="M344" s="134"/>
      <c r="N344" s="123"/>
      <c r="O344" s="123"/>
      <c r="P344" s="123"/>
      <c r="Q344" s="123"/>
      <c r="R344" s="123"/>
      <c r="S344" s="123"/>
      <c r="T344" s="123"/>
      <c r="U344" s="123"/>
      <c r="V344" s="123"/>
    </row>
    <row r="345" spans="1:22" ht="15" customHeight="1" x14ac:dyDescent="0.25">
      <c r="A345" s="132">
        <v>49</v>
      </c>
      <c r="B345" s="132" t="s">
        <v>1516</v>
      </c>
      <c r="C345" s="132" t="s">
        <v>1517</v>
      </c>
      <c r="D345" s="133" t="s">
        <v>1518</v>
      </c>
      <c r="E345" s="135">
        <v>44409</v>
      </c>
      <c r="F345" s="135">
        <v>45352</v>
      </c>
      <c r="G345" s="61">
        <v>0.20000000298023224</v>
      </c>
      <c r="H345" s="61">
        <v>0.10000000149011612</v>
      </c>
      <c r="I345" s="61">
        <v>0</v>
      </c>
      <c r="J345" s="61">
        <v>0</v>
      </c>
      <c r="K345" s="61">
        <v>0</v>
      </c>
      <c r="L345" s="61">
        <v>0.69999998807907104</v>
      </c>
      <c r="M345" s="134"/>
      <c r="N345" s="123"/>
      <c r="O345" s="123"/>
      <c r="P345" s="123"/>
      <c r="Q345" s="123"/>
      <c r="R345" s="123"/>
      <c r="S345" s="123"/>
      <c r="T345" s="123"/>
      <c r="U345" s="123"/>
      <c r="V345" s="123"/>
    </row>
    <row r="346" spans="1:22" ht="15" customHeight="1" x14ac:dyDescent="0.25">
      <c r="A346" s="132">
        <v>49</v>
      </c>
      <c r="B346" s="132" t="s">
        <v>1516</v>
      </c>
      <c r="C346" s="132" t="s">
        <v>1519</v>
      </c>
      <c r="D346" s="133" t="s">
        <v>1520</v>
      </c>
      <c r="E346" s="135">
        <v>44501</v>
      </c>
      <c r="F346" s="135">
        <v>45352</v>
      </c>
      <c r="G346" s="61">
        <v>0.20000000298023224</v>
      </c>
      <c r="H346" s="61">
        <v>0.10000000149011612</v>
      </c>
      <c r="I346" s="61">
        <v>0</v>
      </c>
      <c r="J346" s="61">
        <v>0</v>
      </c>
      <c r="K346" s="61">
        <v>0</v>
      </c>
      <c r="L346" s="61">
        <v>0.69999998807907104</v>
      </c>
      <c r="M346" s="134"/>
      <c r="N346" s="123"/>
      <c r="O346" s="123"/>
      <c r="P346" s="123"/>
      <c r="Q346" s="123"/>
      <c r="R346" s="123"/>
      <c r="S346" s="123"/>
      <c r="T346" s="123"/>
      <c r="U346" s="123"/>
      <c r="V346" s="123"/>
    </row>
    <row r="347" spans="1:22" ht="15" customHeight="1" x14ac:dyDescent="0.25">
      <c r="A347" s="132">
        <v>49</v>
      </c>
      <c r="B347" s="132" t="s">
        <v>1516</v>
      </c>
      <c r="C347" s="132" t="s">
        <v>1521</v>
      </c>
      <c r="D347" s="133" t="s">
        <v>1522</v>
      </c>
      <c r="E347" s="135">
        <v>44409</v>
      </c>
      <c r="F347" s="135">
        <v>44682</v>
      </c>
      <c r="G347" s="61">
        <v>0.30000001192092896</v>
      </c>
      <c r="H347" s="61">
        <v>0.69999998807907104</v>
      </c>
      <c r="I347" s="61">
        <v>0</v>
      </c>
      <c r="J347" s="61">
        <v>0</v>
      </c>
      <c r="K347" s="61">
        <v>0</v>
      </c>
      <c r="L347" s="61">
        <v>0</v>
      </c>
      <c r="M347" s="134"/>
      <c r="N347" s="123"/>
      <c r="O347" s="123"/>
      <c r="P347" s="123"/>
      <c r="Q347" s="123"/>
      <c r="R347" s="123"/>
      <c r="S347" s="123"/>
      <c r="T347" s="123"/>
      <c r="U347" s="123"/>
      <c r="V347" s="123"/>
    </row>
    <row r="348" spans="1:22" ht="15" customHeight="1" x14ac:dyDescent="0.25">
      <c r="A348" s="132">
        <v>49</v>
      </c>
      <c r="B348" s="132" t="s">
        <v>1516</v>
      </c>
      <c r="C348" s="132" t="s">
        <v>1523</v>
      </c>
      <c r="D348" s="133" t="s">
        <v>1524</v>
      </c>
      <c r="E348" s="135">
        <v>44562</v>
      </c>
      <c r="F348" s="135">
        <v>44866</v>
      </c>
      <c r="G348" s="61">
        <v>0.20000000298023224</v>
      </c>
      <c r="H348" s="61">
        <v>0.10000000149011612</v>
      </c>
      <c r="I348" s="61">
        <v>0.69999998807907104</v>
      </c>
      <c r="J348" s="61">
        <v>0</v>
      </c>
      <c r="K348" s="61">
        <v>0</v>
      </c>
      <c r="L348" s="61">
        <v>0</v>
      </c>
      <c r="M348" s="134"/>
      <c r="N348" s="123"/>
      <c r="O348" s="123"/>
      <c r="P348" s="123"/>
      <c r="Q348" s="123"/>
      <c r="R348" s="123"/>
      <c r="S348" s="123"/>
      <c r="T348" s="123"/>
      <c r="U348" s="123"/>
      <c r="V348" s="123"/>
    </row>
    <row r="349" spans="1:22" ht="15" customHeight="1" x14ac:dyDescent="0.25">
      <c r="A349" s="132">
        <v>49</v>
      </c>
      <c r="B349" s="132" t="s">
        <v>1516</v>
      </c>
      <c r="C349" s="132" t="s">
        <v>1525</v>
      </c>
      <c r="D349" s="133" t="s">
        <v>1526</v>
      </c>
      <c r="E349" s="135">
        <v>44562</v>
      </c>
      <c r="F349" s="135">
        <v>44866</v>
      </c>
      <c r="G349" s="61">
        <v>0.20000000298023224</v>
      </c>
      <c r="H349" s="61">
        <v>0.10000000149011612</v>
      </c>
      <c r="I349" s="61">
        <v>0.69999998807907104</v>
      </c>
      <c r="J349" s="61">
        <v>0</v>
      </c>
      <c r="K349" s="61">
        <v>0</v>
      </c>
      <c r="L349" s="61">
        <v>0</v>
      </c>
      <c r="M349" s="134"/>
      <c r="N349" s="123"/>
      <c r="O349" s="123"/>
      <c r="P349" s="123"/>
      <c r="Q349" s="123"/>
      <c r="R349" s="123"/>
      <c r="S349" s="123"/>
      <c r="T349" s="123"/>
      <c r="U349" s="123"/>
      <c r="V349" s="123"/>
    </row>
    <row r="350" spans="1:22" ht="15" customHeight="1" x14ac:dyDescent="0.25">
      <c r="A350" s="132">
        <v>49</v>
      </c>
      <c r="B350" s="132" t="s">
        <v>1516</v>
      </c>
      <c r="C350" s="132" t="s">
        <v>1527</v>
      </c>
      <c r="D350" s="133" t="s">
        <v>1528</v>
      </c>
      <c r="E350" s="135">
        <v>44713</v>
      </c>
      <c r="F350" s="135">
        <v>45352</v>
      </c>
      <c r="G350" s="61">
        <v>0</v>
      </c>
      <c r="H350" s="61">
        <v>0.20000000298023224</v>
      </c>
      <c r="I350" s="61">
        <v>0.10000000149011612</v>
      </c>
      <c r="J350" s="61">
        <v>0</v>
      </c>
      <c r="K350" s="61">
        <v>0</v>
      </c>
      <c r="L350" s="61">
        <v>0.69999998807907104</v>
      </c>
      <c r="M350" s="134"/>
      <c r="N350" s="123"/>
      <c r="O350" s="123"/>
      <c r="P350" s="123"/>
      <c r="Q350" s="123"/>
      <c r="R350" s="123"/>
      <c r="S350" s="123"/>
      <c r="T350" s="123"/>
      <c r="U350" s="123"/>
      <c r="V350" s="123"/>
    </row>
    <row r="351" spans="1:22" ht="15" customHeight="1" x14ac:dyDescent="0.25">
      <c r="A351" s="132">
        <v>49</v>
      </c>
      <c r="B351" s="132" t="s">
        <v>1516</v>
      </c>
      <c r="C351" s="132" t="s">
        <v>1529</v>
      </c>
      <c r="D351" s="133" t="s">
        <v>1530</v>
      </c>
      <c r="E351" s="135">
        <v>44501</v>
      </c>
      <c r="F351" s="135">
        <v>45231</v>
      </c>
      <c r="G351" s="134">
        <v>0.20000000298023224</v>
      </c>
      <c r="H351" s="134">
        <v>0.10000000149011612</v>
      </c>
      <c r="I351" s="134">
        <v>0</v>
      </c>
      <c r="J351" s="134">
        <v>0</v>
      </c>
      <c r="K351" s="134">
        <v>0.69999998807907104</v>
      </c>
      <c r="L351" s="134">
        <v>0</v>
      </c>
      <c r="M351" s="134"/>
      <c r="N351" s="123"/>
      <c r="O351" s="123"/>
      <c r="P351" s="123"/>
      <c r="Q351" s="123"/>
      <c r="R351" s="123"/>
      <c r="S351" s="123"/>
      <c r="T351" s="123"/>
      <c r="U351" s="123"/>
      <c r="V351" s="123"/>
    </row>
    <row r="352" spans="1:22" ht="15" customHeight="1" x14ac:dyDescent="0.25">
      <c r="A352" s="132">
        <v>49</v>
      </c>
      <c r="B352" s="132" t="s">
        <v>1516</v>
      </c>
      <c r="C352" s="132" t="s">
        <v>1531</v>
      </c>
      <c r="D352" s="133" t="s">
        <v>1532</v>
      </c>
      <c r="E352" s="135">
        <v>44713</v>
      </c>
      <c r="F352" s="135">
        <v>45352</v>
      </c>
      <c r="G352" s="134">
        <v>0</v>
      </c>
      <c r="H352" s="134">
        <v>0.20000000298023224</v>
      </c>
      <c r="I352" s="134">
        <v>0.10000000149011612</v>
      </c>
      <c r="J352" s="134">
        <v>0</v>
      </c>
      <c r="K352" s="134">
        <v>0</v>
      </c>
      <c r="L352" s="134">
        <v>0.69999998807907104</v>
      </c>
      <c r="M352" s="134"/>
      <c r="N352" s="123"/>
      <c r="O352" s="123"/>
      <c r="P352" s="123"/>
      <c r="Q352" s="123"/>
      <c r="R352" s="123"/>
      <c r="S352" s="123"/>
      <c r="T352" s="123"/>
      <c r="U352" s="123"/>
      <c r="V352" s="123"/>
    </row>
    <row r="353" spans="1:22" ht="15" customHeight="1" x14ac:dyDescent="0.25">
      <c r="A353" s="132">
        <v>49</v>
      </c>
      <c r="B353" s="132" t="s">
        <v>1516</v>
      </c>
      <c r="C353" s="132" t="s">
        <v>1533</v>
      </c>
      <c r="D353" s="133" t="s">
        <v>1534</v>
      </c>
      <c r="E353" s="135">
        <v>44713</v>
      </c>
      <c r="F353" s="135">
        <v>45352</v>
      </c>
      <c r="G353" s="134">
        <v>0</v>
      </c>
      <c r="H353" s="134">
        <v>0.20000000298023224</v>
      </c>
      <c r="I353" s="134">
        <v>0.10000000149011612</v>
      </c>
      <c r="J353" s="134">
        <v>0</v>
      </c>
      <c r="K353" s="134">
        <v>0</v>
      </c>
      <c r="L353" s="134">
        <v>0.69999998807907104</v>
      </c>
      <c r="M353" s="134"/>
      <c r="N353" s="123"/>
      <c r="O353" s="123"/>
      <c r="P353" s="123"/>
      <c r="Q353" s="123"/>
      <c r="R353" s="123"/>
      <c r="S353" s="123"/>
      <c r="T353" s="123"/>
      <c r="U353" s="123"/>
      <c r="V353" s="123"/>
    </row>
    <row r="354" spans="1:22" ht="15" customHeight="1" x14ac:dyDescent="0.25">
      <c r="A354" s="132">
        <v>49</v>
      </c>
      <c r="B354" s="132" t="s">
        <v>1516</v>
      </c>
      <c r="C354" s="132" t="s">
        <v>1535</v>
      </c>
      <c r="D354" s="133" t="s">
        <v>1536</v>
      </c>
      <c r="E354" s="135">
        <v>44713</v>
      </c>
      <c r="F354" s="135">
        <v>45352</v>
      </c>
      <c r="G354" s="134">
        <v>0</v>
      </c>
      <c r="H354" s="134">
        <v>0.20000000298023224</v>
      </c>
      <c r="I354" s="134">
        <v>0.10000000149011612</v>
      </c>
      <c r="J354" s="134">
        <v>0</v>
      </c>
      <c r="K354" s="134">
        <v>0</v>
      </c>
      <c r="L354" s="134">
        <v>0.69999998807907104</v>
      </c>
      <c r="M354" s="134"/>
      <c r="N354" s="123"/>
      <c r="O354" s="123"/>
      <c r="P354" s="123"/>
      <c r="Q354" s="123"/>
      <c r="R354" s="123"/>
      <c r="S354" s="123"/>
      <c r="T354" s="123"/>
      <c r="U354" s="123"/>
      <c r="V354" s="123"/>
    </row>
    <row r="355" spans="1:22" ht="15" customHeight="1" x14ac:dyDescent="0.25">
      <c r="A355" s="132">
        <v>49</v>
      </c>
      <c r="B355" s="132" t="s">
        <v>1516</v>
      </c>
      <c r="C355" s="132" t="s">
        <v>1537</v>
      </c>
      <c r="D355" s="133" t="s">
        <v>1538</v>
      </c>
      <c r="E355" s="135">
        <v>44501</v>
      </c>
      <c r="F355" s="135">
        <v>44713</v>
      </c>
      <c r="G355" s="134">
        <v>0.30000001192092896</v>
      </c>
      <c r="H355" s="134">
        <v>0.69999998807907104</v>
      </c>
      <c r="I355" s="134">
        <v>0</v>
      </c>
      <c r="J355" s="134">
        <v>0</v>
      </c>
      <c r="K355" s="134">
        <v>0</v>
      </c>
      <c r="L355" s="134">
        <v>0</v>
      </c>
      <c r="M355" s="134"/>
      <c r="N355" s="123"/>
      <c r="O355" s="123"/>
      <c r="P355" s="123"/>
      <c r="Q355" s="123"/>
      <c r="R355" s="123"/>
      <c r="S355" s="123"/>
      <c r="T355" s="123"/>
      <c r="U355" s="123"/>
      <c r="V355" s="123"/>
    </row>
    <row r="356" spans="1:22" ht="15" customHeight="1" x14ac:dyDescent="0.25">
      <c r="A356" s="132">
        <v>49</v>
      </c>
      <c r="B356" s="132" t="s">
        <v>1516</v>
      </c>
      <c r="C356" s="132" t="s">
        <v>1539</v>
      </c>
      <c r="D356" s="133" t="s">
        <v>1540</v>
      </c>
      <c r="E356" s="135">
        <v>44713</v>
      </c>
      <c r="F356" s="135">
        <v>45352</v>
      </c>
      <c r="G356" s="134">
        <v>0</v>
      </c>
      <c r="H356" s="134">
        <v>0.20000000298023224</v>
      </c>
      <c r="I356" s="134">
        <v>0.10000000149011612</v>
      </c>
      <c r="J356" s="134">
        <v>0</v>
      </c>
      <c r="K356" s="134">
        <v>0</v>
      </c>
      <c r="L356" s="134">
        <v>0.69999998807907104</v>
      </c>
      <c r="M356" s="134"/>
      <c r="N356" s="123"/>
      <c r="O356" s="123"/>
      <c r="P356" s="123"/>
      <c r="Q356" s="123"/>
      <c r="R356" s="123"/>
      <c r="S356" s="123"/>
      <c r="T356" s="123"/>
      <c r="U356" s="123"/>
      <c r="V356" s="123"/>
    </row>
    <row r="357" spans="1:22" ht="15" customHeight="1" x14ac:dyDescent="0.25">
      <c r="A357" s="132">
        <v>49</v>
      </c>
      <c r="B357" s="132" t="s">
        <v>1516</v>
      </c>
      <c r="C357" s="132" t="s">
        <v>1541</v>
      </c>
      <c r="D357" s="133" t="s">
        <v>1542</v>
      </c>
      <c r="E357" s="135">
        <v>44621</v>
      </c>
      <c r="F357" s="135">
        <v>45231</v>
      </c>
      <c r="G357" s="134">
        <v>0</v>
      </c>
      <c r="H357" s="134">
        <v>0.20000000298023224</v>
      </c>
      <c r="I357" s="134">
        <v>0.10000000149011612</v>
      </c>
      <c r="J357" s="134">
        <v>0</v>
      </c>
      <c r="K357" s="134">
        <v>0.69999998807907104</v>
      </c>
      <c r="L357" s="134">
        <v>0</v>
      </c>
      <c r="M357" s="134"/>
      <c r="N357" s="123"/>
      <c r="O357" s="123"/>
      <c r="P357" s="123"/>
      <c r="Q357" s="123"/>
      <c r="R357" s="123"/>
      <c r="S357" s="123"/>
      <c r="T357" s="123"/>
      <c r="U357" s="123"/>
      <c r="V357" s="123"/>
    </row>
    <row r="358" spans="1:22" ht="15" customHeight="1" x14ac:dyDescent="0.25">
      <c r="A358" s="132">
        <v>49</v>
      </c>
      <c r="B358" s="132" t="s">
        <v>1516</v>
      </c>
      <c r="C358" s="132" t="s">
        <v>1543</v>
      </c>
      <c r="D358" s="133" t="s">
        <v>1544</v>
      </c>
      <c r="E358" s="135">
        <v>44501</v>
      </c>
      <c r="F358" s="135">
        <v>44621</v>
      </c>
      <c r="G358" s="134">
        <v>0.30000001192092896</v>
      </c>
      <c r="H358" s="134">
        <v>0.69999998807907104</v>
      </c>
      <c r="I358" s="134">
        <v>0</v>
      </c>
      <c r="J358" s="134">
        <v>0</v>
      </c>
      <c r="K358" s="134">
        <v>0</v>
      </c>
      <c r="L358" s="134">
        <v>0</v>
      </c>
      <c r="M358" s="134"/>
      <c r="N358" s="123"/>
      <c r="O358" s="123"/>
      <c r="P358" s="123"/>
      <c r="Q358" s="123"/>
      <c r="R358" s="123"/>
      <c r="S358" s="123"/>
      <c r="T358" s="123"/>
      <c r="U358" s="123"/>
      <c r="V358" s="123"/>
    </row>
    <row r="359" spans="1:22" ht="15" customHeight="1" x14ac:dyDescent="0.25">
      <c r="A359" s="132">
        <v>49</v>
      </c>
      <c r="B359" s="132" t="s">
        <v>1516</v>
      </c>
      <c r="C359" s="132" t="s">
        <v>1545</v>
      </c>
      <c r="D359" s="133" t="s">
        <v>1546</v>
      </c>
      <c r="E359" s="135">
        <v>44713</v>
      </c>
      <c r="F359" s="135">
        <v>45352</v>
      </c>
      <c r="G359" s="134">
        <v>0</v>
      </c>
      <c r="H359" s="134">
        <v>0.20000000298023224</v>
      </c>
      <c r="I359" s="134">
        <v>0.10000000149011612</v>
      </c>
      <c r="J359" s="134">
        <v>0</v>
      </c>
      <c r="K359" s="134">
        <v>0</v>
      </c>
      <c r="L359" s="134">
        <v>0.69999998807907104</v>
      </c>
      <c r="M359" s="134"/>
      <c r="N359" s="123"/>
      <c r="O359" s="123"/>
      <c r="P359" s="123"/>
      <c r="Q359" s="123"/>
      <c r="R359" s="123"/>
      <c r="S359" s="123"/>
      <c r="T359" s="123"/>
      <c r="U359" s="123"/>
      <c r="V359" s="123"/>
    </row>
    <row r="360" spans="1:22" ht="15" customHeight="1" x14ac:dyDescent="0.25">
      <c r="A360" s="132">
        <v>50</v>
      </c>
      <c r="B360" s="132" t="s">
        <v>1547</v>
      </c>
      <c r="C360" s="132" t="s">
        <v>1548</v>
      </c>
      <c r="D360" s="133" t="s">
        <v>1549</v>
      </c>
      <c r="E360" s="135">
        <v>44470</v>
      </c>
      <c r="F360" s="135">
        <v>44743</v>
      </c>
      <c r="G360" s="134">
        <v>5.000000074505806E-2</v>
      </c>
      <c r="H360" s="134">
        <v>0.94999998807907104</v>
      </c>
      <c r="I360" s="134">
        <v>0</v>
      </c>
      <c r="J360" s="134">
        <v>0</v>
      </c>
      <c r="K360" s="134">
        <v>0</v>
      </c>
      <c r="L360" s="134">
        <v>0</v>
      </c>
      <c r="M360" s="134"/>
      <c r="N360" s="123"/>
      <c r="O360" s="123"/>
      <c r="P360" s="123"/>
      <c r="Q360" s="123"/>
      <c r="R360" s="123"/>
      <c r="S360" s="123"/>
      <c r="T360" s="123"/>
      <c r="U360" s="123"/>
      <c r="V360" s="123"/>
    </row>
    <row r="361" spans="1:22" ht="15" customHeight="1" x14ac:dyDescent="0.25">
      <c r="A361" s="132">
        <v>50</v>
      </c>
      <c r="B361" s="132" t="s">
        <v>1547</v>
      </c>
      <c r="C361" s="132" t="s">
        <v>1550</v>
      </c>
      <c r="D361" s="133" t="s">
        <v>1551</v>
      </c>
      <c r="E361" s="135">
        <v>44743</v>
      </c>
      <c r="F361" s="135">
        <v>45229</v>
      </c>
      <c r="G361" s="134">
        <v>0</v>
      </c>
      <c r="H361" s="134">
        <v>0.40000000596046448</v>
      </c>
      <c r="I361" s="134">
        <v>0.60000002384185791</v>
      </c>
      <c r="J361" s="134">
        <v>0</v>
      </c>
      <c r="K361" s="134">
        <v>0</v>
      </c>
      <c r="L361" s="134">
        <v>0</v>
      </c>
      <c r="M361" s="134"/>
      <c r="N361" s="123"/>
      <c r="O361" s="123"/>
      <c r="P361" s="123"/>
      <c r="Q361" s="123"/>
      <c r="R361" s="123"/>
      <c r="S361" s="123"/>
      <c r="T361" s="123"/>
      <c r="U361" s="123"/>
      <c r="V361" s="123"/>
    </row>
    <row r="362" spans="1:22" ht="15" customHeight="1" x14ac:dyDescent="0.25">
      <c r="A362" s="132">
        <v>50</v>
      </c>
      <c r="B362" s="132" t="s">
        <v>1547</v>
      </c>
      <c r="C362" s="132" t="s">
        <v>1552</v>
      </c>
      <c r="D362" s="133" t="s">
        <v>1553</v>
      </c>
      <c r="E362" s="135">
        <v>44819</v>
      </c>
      <c r="F362" s="135">
        <v>44895</v>
      </c>
      <c r="G362" s="134">
        <v>0</v>
      </c>
      <c r="H362" s="134">
        <v>0</v>
      </c>
      <c r="I362" s="134">
        <v>1</v>
      </c>
      <c r="J362" s="134">
        <v>0</v>
      </c>
      <c r="K362" s="134">
        <v>0</v>
      </c>
      <c r="L362" s="134">
        <v>0</v>
      </c>
      <c r="M362" s="134"/>
      <c r="N362" s="123"/>
      <c r="O362" s="123"/>
      <c r="P362" s="123"/>
      <c r="Q362" s="123"/>
      <c r="R362" s="123"/>
      <c r="S362" s="123"/>
      <c r="T362" s="123"/>
      <c r="U362" s="123"/>
      <c r="V362" s="123"/>
    </row>
    <row r="363" spans="1:22" ht="15" customHeight="1" x14ac:dyDescent="0.25">
      <c r="A363" s="132">
        <v>50</v>
      </c>
      <c r="B363" s="132" t="s">
        <v>1554</v>
      </c>
      <c r="C363" s="132" t="s">
        <v>1555</v>
      </c>
      <c r="D363" s="133" t="s">
        <v>1556</v>
      </c>
      <c r="E363" s="135">
        <v>44470</v>
      </c>
      <c r="F363" s="135">
        <v>44621</v>
      </c>
      <c r="G363" s="134">
        <v>5.000000074505806E-2</v>
      </c>
      <c r="H363" s="134">
        <v>0.94999998807907104</v>
      </c>
      <c r="I363" s="134">
        <v>0</v>
      </c>
      <c r="J363" s="134">
        <v>0</v>
      </c>
      <c r="K363" s="134">
        <v>0</v>
      </c>
      <c r="L363" s="134">
        <v>0</v>
      </c>
      <c r="M363" s="134"/>
      <c r="N363" s="123"/>
      <c r="O363" s="123"/>
      <c r="P363" s="123"/>
      <c r="Q363" s="123"/>
      <c r="R363" s="123"/>
      <c r="S363" s="123"/>
      <c r="T363" s="123"/>
      <c r="U363" s="123"/>
      <c r="V363" s="123"/>
    </row>
    <row r="364" spans="1:22" ht="15" customHeight="1" x14ac:dyDescent="0.25">
      <c r="A364" s="132">
        <v>50</v>
      </c>
      <c r="B364" s="132" t="s">
        <v>1557</v>
      </c>
      <c r="C364" s="132" t="s">
        <v>1558</v>
      </c>
      <c r="D364" s="133" t="s">
        <v>1559</v>
      </c>
      <c r="E364" s="135">
        <v>44805</v>
      </c>
      <c r="F364" s="135">
        <v>44905</v>
      </c>
      <c r="G364" s="134">
        <v>0</v>
      </c>
      <c r="H364" s="134">
        <v>0</v>
      </c>
      <c r="I364" s="134">
        <v>0.20000000298023224</v>
      </c>
      <c r="J364" s="134">
        <v>0.40000000596046448</v>
      </c>
      <c r="K364" s="134">
        <v>0.40000000596046448</v>
      </c>
      <c r="L364" s="134">
        <v>0</v>
      </c>
      <c r="M364" s="134"/>
      <c r="N364" s="123"/>
      <c r="O364" s="123"/>
      <c r="P364" s="123"/>
      <c r="Q364" s="123"/>
      <c r="R364" s="123"/>
      <c r="S364" s="123"/>
      <c r="T364" s="123"/>
      <c r="U364" s="123"/>
      <c r="V364" s="123"/>
    </row>
    <row r="365" spans="1:22" ht="15" customHeight="1" x14ac:dyDescent="0.25">
      <c r="A365" s="132">
        <v>50</v>
      </c>
      <c r="B365" s="132" t="s">
        <v>1557</v>
      </c>
      <c r="C365" s="132" t="s">
        <v>1560</v>
      </c>
      <c r="D365" s="133" t="s">
        <v>1561</v>
      </c>
      <c r="E365" s="135">
        <v>44958</v>
      </c>
      <c r="F365" s="135">
        <v>44985</v>
      </c>
      <c r="G365" s="134">
        <v>0</v>
      </c>
      <c r="H365" s="134">
        <v>0</v>
      </c>
      <c r="I365" s="134">
        <v>0</v>
      </c>
      <c r="J365" s="134">
        <v>1</v>
      </c>
      <c r="K365" s="134">
        <v>0</v>
      </c>
      <c r="L365" s="134">
        <v>0</v>
      </c>
      <c r="M365" s="134"/>
      <c r="N365" s="123"/>
      <c r="O365" s="123"/>
      <c r="P365" s="123"/>
      <c r="Q365" s="123"/>
      <c r="R365" s="123"/>
      <c r="S365" s="123"/>
      <c r="T365" s="123"/>
      <c r="U365" s="123"/>
      <c r="V365" s="123"/>
    </row>
    <row r="366" spans="1:22" ht="15" customHeight="1" x14ac:dyDescent="0.25">
      <c r="A366" s="132">
        <v>50</v>
      </c>
      <c r="B366" s="132" t="s">
        <v>1557</v>
      </c>
      <c r="C366" s="132" t="s">
        <v>1562</v>
      </c>
      <c r="D366" s="133" t="s">
        <v>1563</v>
      </c>
      <c r="E366" s="135">
        <v>45337</v>
      </c>
      <c r="F366" s="135">
        <v>45366</v>
      </c>
      <c r="G366" s="134">
        <v>0</v>
      </c>
      <c r="H366" s="134">
        <v>0</v>
      </c>
      <c r="I366" s="134">
        <v>0</v>
      </c>
      <c r="J366" s="134">
        <v>0</v>
      </c>
      <c r="K366" s="134">
        <v>0.80000001192092896</v>
      </c>
      <c r="L366" s="134">
        <v>0.20000000298023224</v>
      </c>
      <c r="M366" s="134"/>
      <c r="N366" s="123"/>
      <c r="O366" s="123"/>
      <c r="P366" s="123"/>
      <c r="Q366" s="123"/>
      <c r="R366" s="123"/>
      <c r="S366" s="123"/>
      <c r="T366" s="123"/>
      <c r="U366" s="123"/>
      <c r="V366" s="123"/>
    </row>
    <row r="367" spans="1:22" ht="15" customHeight="1" x14ac:dyDescent="0.25">
      <c r="A367" s="132">
        <v>51</v>
      </c>
      <c r="B367" s="132" t="s">
        <v>1564</v>
      </c>
      <c r="C367" s="132" t="s">
        <v>2517</v>
      </c>
      <c r="D367" s="133" t="s">
        <v>1565</v>
      </c>
      <c r="E367" s="135">
        <v>44440</v>
      </c>
      <c r="F367" s="135">
        <v>45382</v>
      </c>
      <c r="G367" s="134">
        <v>0.11999999731779099</v>
      </c>
      <c r="H367" s="134">
        <v>0.2199999988079071</v>
      </c>
      <c r="I367" s="134">
        <v>0.20000000298023224</v>
      </c>
      <c r="J367" s="134">
        <v>0.18000000715255737</v>
      </c>
      <c r="K367" s="134">
        <v>0.23999999463558197</v>
      </c>
      <c r="L367" s="134">
        <v>3.9999999105930328E-2</v>
      </c>
      <c r="M367" s="134"/>
      <c r="N367" s="123"/>
      <c r="O367" s="123"/>
      <c r="P367" s="123"/>
      <c r="Q367" s="123"/>
      <c r="R367" s="123"/>
      <c r="S367" s="123"/>
      <c r="T367" s="123"/>
      <c r="U367" s="123"/>
      <c r="V367" s="123"/>
    </row>
    <row r="368" spans="1:22" ht="15" customHeight="1" x14ac:dyDescent="0.25">
      <c r="A368" s="132">
        <v>51</v>
      </c>
      <c r="B368" s="132" t="s">
        <v>1564</v>
      </c>
      <c r="C368" s="132" t="s">
        <v>2518</v>
      </c>
      <c r="D368" s="133" t="s">
        <v>1566</v>
      </c>
      <c r="E368" s="135">
        <v>44440</v>
      </c>
      <c r="F368" s="135">
        <v>45382</v>
      </c>
      <c r="G368" s="134">
        <v>0.11999999731779099</v>
      </c>
      <c r="H368" s="134">
        <v>0.2199999988079071</v>
      </c>
      <c r="I368" s="134">
        <v>0.20000000298023224</v>
      </c>
      <c r="J368" s="134">
        <v>0.18000000715255737</v>
      </c>
      <c r="K368" s="134">
        <v>0.23999999463558197</v>
      </c>
      <c r="L368" s="134">
        <v>3.9999999105930328E-2</v>
      </c>
      <c r="M368" s="134"/>
      <c r="N368" s="123"/>
      <c r="O368" s="123"/>
      <c r="P368" s="123"/>
      <c r="Q368" s="123"/>
      <c r="R368" s="123"/>
      <c r="S368" s="123"/>
      <c r="T368" s="123"/>
      <c r="U368" s="123"/>
      <c r="V368" s="123"/>
    </row>
    <row r="369" spans="1:22" ht="15" customHeight="1" x14ac:dyDescent="0.25">
      <c r="A369" s="132">
        <v>51</v>
      </c>
      <c r="B369" s="132" t="s">
        <v>1564</v>
      </c>
      <c r="C369" s="132" t="s">
        <v>2524</v>
      </c>
      <c r="D369" s="133" t="s">
        <v>1567</v>
      </c>
      <c r="E369" s="135">
        <v>44440</v>
      </c>
      <c r="F369" s="135">
        <v>45382</v>
      </c>
      <c r="G369" s="134">
        <v>0.11999999731779099</v>
      </c>
      <c r="H369" s="134">
        <v>0.2199999988079071</v>
      </c>
      <c r="I369" s="134">
        <v>0.20000000298023224</v>
      </c>
      <c r="J369" s="134">
        <v>0.18000000715255737</v>
      </c>
      <c r="K369" s="134">
        <v>0.23999999463558197</v>
      </c>
      <c r="L369" s="134">
        <v>3.9999999105930328E-2</v>
      </c>
      <c r="M369" s="134"/>
      <c r="N369" s="123"/>
      <c r="O369" s="123"/>
      <c r="P369" s="123"/>
      <c r="Q369" s="123"/>
      <c r="R369" s="123"/>
      <c r="S369" s="123"/>
      <c r="T369" s="123"/>
      <c r="U369" s="123"/>
      <c r="V369" s="123"/>
    </row>
    <row r="370" spans="1:22" ht="15" customHeight="1" x14ac:dyDescent="0.25">
      <c r="A370" s="132">
        <v>51</v>
      </c>
      <c r="B370" s="132" t="s">
        <v>1564</v>
      </c>
      <c r="C370" s="132" t="s">
        <v>2525</v>
      </c>
      <c r="D370" s="133" t="s">
        <v>1568</v>
      </c>
      <c r="E370" s="135">
        <v>44440</v>
      </c>
      <c r="F370" s="135">
        <v>45382</v>
      </c>
      <c r="G370" s="134">
        <v>0.11999999731779099</v>
      </c>
      <c r="H370" s="134">
        <v>0.2199999988079071</v>
      </c>
      <c r="I370" s="134">
        <v>0.20000000298023224</v>
      </c>
      <c r="J370" s="134">
        <v>0.18000000715255737</v>
      </c>
      <c r="K370" s="134">
        <v>0.23999999463558197</v>
      </c>
      <c r="L370" s="134">
        <v>3.9999999105930328E-2</v>
      </c>
      <c r="M370" s="134"/>
      <c r="N370" s="123"/>
      <c r="O370" s="123"/>
      <c r="P370" s="123"/>
      <c r="Q370" s="123"/>
      <c r="R370" s="123"/>
      <c r="S370" s="123"/>
      <c r="T370" s="123"/>
      <c r="U370" s="123"/>
      <c r="V370" s="123"/>
    </row>
    <row r="371" spans="1:22" ht="15" customHeight="1" x14ac:dyDescent="0.25">
      <c r="A371" s="132">
        <v>51</v>
      </c>
      <c r="B371" s="132" t="s">
        <v>1564</v>
      </c>
      <c r="C371" s="132" t="s">
        <v>2526</v>
      </c>
      <c r="D371" s="133" t="s">
        <v>1569</v>
      </c>
      <c r="E371" s="135">
        <v>44593</v>
      </c>
      <c r="F371" s="135">
        <v>45382</v>
      </c>
      <c r="G371" s="134">
        <v>0</v>
      </c>
      <c r="H371" s="134">
        <v>0.20000000298023224</v>
      </c>
      <c r="I371" s="134">
        <v>0.20000000298023224</v>
      </c>
      <c r="J371" s="134">
        <v>0.30000001192092896</v>
      </c>
      <c r="K371" s="134">
        <v>0.30000001192092896</v>
      </c>
      <c r="L371" s="134">
        <v>0</v>
      </c>
      <c r="M371" s="134"/>
      <c r="N371" s="123"/>
      <c r="O371" s="123"/>
      <c r="P371" s="123"/>
      <c r="Q371" s="123"/>
      <c r="R371" s="123"/>
      <c r="S371" s="123"/>
      <c r="T371" s="123"/>
      <c r="U371" s="123"/>
      <c r="V371" s="123"/>
    </row>
    <row r="372" spans="1:22" ht="15" customHeight="1" x14ac:dyDescent="0.25">
      <c r="A372" s="132">
        <v>51</v>
      </c>
      <c r="B372" s="132" t="s">
        <v>1570</v>
      </c>
      <c r="C372" s="132" t="s">
        <v>2519</v>
      </c>
      <c r="D372" s="133" t="s">
        <v>1571</v>
      </c>
      <c r="E372" s="135">
        <v>44440</v>
      </c>
      <c r="F372" s="135">
        <v>45382</v>
      </c>
      <c r="G372" s="134">
        <v>3.9999999105930328E-2</v>
      </c>
      <c r="H372" s="134">
        <v>0.23000000417232513</v>
      </c>
      <c r="I372" s="134">
        <v>0.23000000417232513</v>
      </c>
      <c r="J372" s="134">
        <v>0.23000000417232513</v>
      </c>
      <c r="K372" s="134">
        <v>0.23000000417232513</v>
      </c>
      <c r="L372" s="134">
        <v>3.9999999105930328E-2</v>
      </c>
      <c r="M372" s="134"/>
      <c r="N372" s="123"/>
      <c r="O372" s="123"/>
      <c r="P372" s="123"/>
      <c r="Q372" s="123"/>
      <c r="R372" s="123"/>
      <c r="S372" s="123"/>
      <c r="T372" s="123"/>
      <c r="U372" s="123"/>
      <c r="V372" s="123"/>
    </row>
    <row r="373" spans="1:22" ht="15" customHeight="1" x14ac:dyDescent="0.25">
      <c r="A373" s="132">
        <v>51</v>
      </c>
      <c r="B373" s="132" t="s">
        <v>1570</v>
      </c>
      <c r="C373" s="132" t="s">
        <v>2520</v>
      </c>
      <c r="D373" s="133" t="s">
        <v>1572</v>
      </c>
      <c r="E373" s="135">
        <v>44440</v>
      </c>
      <c r="F373" s="135">
        <v>45382</v>
      </c>
      <c r="G373" s="134">
        <v>3.9999999105930328E-2</v>
      </c>
      <c r="H373" s="134">
        <v>0.20000000298023224</v>
      </c>
      <c r="I373" s="134">
        <v>0.2199999988079071</v>
      </c>
      <c r="J373" s="134">
        <v>0.25</v>
      </c>
      <c r="K373" s="134">
        <v>0.25</v>
      </c>
      <c r="L373" s="134">
        <v>3.9999999105930328E-2</v>
      </c>
      <c r="M373" s="134"/>
      <c r="N373" s="123"/>
      <c r="O373" s="123"/>
      <c r="P373" s="123"/>
      <c r="Q373" s="123"/>
      <c r="R373" s="123"/>
      <c r="S373" s="123"/>
      <c r="T373" s="123"/>
      <c r="U373" s="123"/>
      <c r="V373" s="123"/>
    </row>
    <row r="374" spans="1:22" ht="15" customHeight="1" x14ac:dyDescent="0.25">
      <c r="A374" s="132">
        <v>51</v>
      </c>
      <c r="B374" s="132" t="s">
        <v>1570</v>
      </c>
      <c r="C374" s="132" t="s">
        <v>2521</v>
      </c>
      <c r="D374" s="133" t="s">
        <v>1573</v>
      </c>
      <c r="E374" s="135">
        <v>44440</v>
      </c>
      <c r="F374" s="135">
        <v>45382</v>
      </c>
      <c r="G374" s="134">
        <v>0.10000000149011612</v>
      </c>
      <c r="H374" s="134">
        <v>0.2199999988079071</v>
      </c>
      <c r="I374" s="134">
        <v>0.23000000417232513</v>
      </c>
      <c r="J374" s="134">
        <v>0.2199999988079071</v>
      </c>
      <c r="K374" s="134">
        <v>0.20999999344348907</v>
      </c>
      <c r="L374" s="134">
        <v>1.9999999552965164E-2</v>
      </c>
      <c r="M374" s="134"/>
      <c r="N374" s="123"/>
      <c r="O374" s="123"/>
      <c r="P374" s="123"/>
      <c r="Q374" s="123"/>
      <c r="R374" s="123"/>
      <c r="S374" s="123"/>
      <c r="T374" s="123"/>
      <c r="U374" s="123"/>
      <c r="V374" s="123"/>
    </row>
    <row r="375" spans="1:22" ht="15" customHeight="1" x14ac:dyDescent="0.25">
      <c r="A375" s="132">
        <v>51</v>
      </c>
      <c r="B375" s="132" t="s">
        <v>1574</v>
      </c>
      <c r="C375" s="132" t="s">
        <v>2522</v>
      </c>
      <c r="D375" s="133" t="s">
        <v>1575</v>
      </c>
      <c r="E375" s="135">
        <v>44440</v>
      </c>
      <c r="F375" s="135">
        <v>45382</v>
      </c>
      <c r="G375" s="134">
        <v>1.9999999552965164E-2</v>
      </c>
      <c r="H375" s="134">
        <v>0.25999999046325684</v>
      </c>
      <c r="I375" s="134">
        <v>0.30000001192092896</v>
      </c>
      <c r="J375" s="134">
        <v>0.20000000298023224</v>
      </c>
      <c r="K375" s="134">
        <v>0.20000000298023224</v>
      </c>
      <c r="L375" s="134">
        <v>1.9999999552965164E-2</v>
      </c>
      <c r="M375" s="134"/>
      <c r="N375" s="123"/>
      <c r="O375" s="123"/>
      <c r="P375" s="123"/>
      <c r="Q375" s="123"/>
      <c r="R375" s="123"/>
      <c r="S375" s="123"/>
      <c r="T375" s="123"/>
      <c r="U375" s="123"/>
      <c r="V375" s="123"/>
    </row>
    <row r="376" spans="1:22" ht="15" customHeight="1" x14ac:dyDescent="0.25">
      <c r="A376" s="132">
        <v>51</v>
      </c>
      <c r="B376" s="132" t="s">
        <v>1574</v>
      </c>
      <c r="C376" s="132" t="s">
        <v>2527</v>
      </c>
      <c r="D376" s="133" t="s">
        <v>1576</v>
      </c>
      <c r="E376" s="135">
        <v>44440</v>
      </c>
      <c r="F376" s="135">
        <v>45382</v>
      </c>
      <c r="G376" s="134">
        <v>5.9999998658895493E-2</v>
      </c>
      <c r="H376" s="134">
        <v>0.23000000417232513</v>
      </c>
      <c r="I376" s="134">
        <v>0.2199999988079071</v>
      </c>
      <c r="J376" s="134">
        <v>0.2199999988079071</v>
      </c>
      <c r="K376" s="134">
        <v>0.25</v>
      </c>
      <c r="L376" s="134">
        <v>1.9999999552965164E-2</v>
      </c>
      <c r="M376" s="134"/>
      <c r="N376" s="123"/>
      <c r="O376" s="123"/>
      <c r="P376" s="123"/>
      <c r="Q376" s="123"/>
      <c r="R376" s="123"/>
      <c r="S376" s="123"/>
      <c r="T376" s="123"/>
      <c r="U376" s="123"/>
      <c r="V376" s="123"/>
    </row>
    <row r="377" spans="1:22" ht="15" customHeight="1" x14ac:dyDescent="0.25">
      <c r="A377" s="132">
        <v>51</v>
      </c>
      <c r="B377" s="132" t="s">
        <v>1577</v>
      </c>
      <c r="C377" s="132" t="s">
        <v>2523</v>
      </c>
      <c r="D377" s="133" t="s">
        <v>1578</v>
      </c>
      <c r="E377" s="135">
        <v>44440</v>
      </c>
      <c r="F377" s="135">
        <v>45382</v>
      </c>
      <c r="G377" s="134">
        <v>2.9999999329447746E-2</v>
      </c>
      <c r="H377" s="134">
        <v>5.9999998658895493E-2</v>
      </c>
      <c r="I377" s="134">
        <v>5.9999998658895493E-2</v>
      </c>
      <c r="J377" s="134">
        <v>0.40000000596046448</v>
      </c>
      <c r="K377" s="134">
        <v>0.44999998807907104</v>
      </c>
      <c r="L377" s="134">
        <v>0</v>
      </c>
      <c r="M377" s="134"/>
      <c r="N377" s="123"/>
      <c r="O377" s="123"/>
      <c r="P377" s="123"/>
      <c r="Q377" s="123"/>
      <c r="R377" s="123"/>
      <c r="S377" s="123"/>
      <c r="T377" s="123"/>
      <c r="U377" s="123"/>
      <c r="V377" s="123"/>
    </row>
    <row r="378" spans="1:22" ht="15" customHeight="1" x14ac:dyDescent="0.25">
      <c r="A378" s="132">
        <v>51</v>
      </c>
      <c r="B378" s="132" t="s">
        <v>1577</v>
      </c>
      <c r="C378" s="132" t="s">
        <v>2528</v>
      </c>
      <c r="D378" s="133" t="s">
        <v>1579</v>
      </c>
      <c r="E378" s="135">
        <v>44593</v>
      </c>
      <c r="F378" s="135">
        <v>45382</v>
      </c>
      <c r="G378" s="134">
        <v>0</v>
      </c>
      <c r="H378" s="134">
        <v>0.40000000596046448</v>
      </c>
      <c r="I378" s="134">
        <v>0.60000002384185791</v>
      </c>
      <c r="J378" s="134">
        <v>0</v>
      </c>
      <c r="K378" s="134">
        <v>0</v>
      </c>
      <c r="L378" s="134">
        <v>0</v>
      </c>
      <c r="M378" s="134"/>
      <c r="N378" s="123"/>
      <c r="O378" s="123"/>
      <c r="P378" s="123"/>
      <c r="Q378" s="123"/>
      <c r="R378" s="123"/>
      <c r="S378" s="123"/>
      <c r="T378" s="123"/>
      <c r="U378" s="123"/>
      <c r="V378" s="123"/>
    </row>
    <row r="379" spans="1:22" ht="15" customHeight="1" x14ac:dyDescent="0.25">
      <c r="A379" s="132">
        <v>52</v>
      </c>
      <c r="B379" s="132" t="s">
        <v>1580</v>
      </c>
      <c r="C379" s="132" t="s">
        <v>1581</v>
      </c>
      <c r="D379" s="133" t="s">
        <v>1582</v>
      </c>
      <c r="E379" s="135">
        <v>44409</v>
      </c>
      <c r="F379" s="135">
        <v>45380</v>
      </c>
      <c r="G379" s="134">
        <v>0.10000000149011612</v>
      </c>
      <c r="H379" s="134">
        <v>0.20000000298023224</v>
      </c>
      <c r="I379" s="134">
        <v>0.23999999463558197</v>
      </c>
      <c r="J379" s="134">
        <v>0.18999999761581421</v>
      </c>
      <c r="K379" s="134">
        <v>0.18000000715255737</v>
      </c>
      <c r="L379" s="134">
        <v>9.0000003576278687E-2</v>
      </c>
      <c r="M379" s="134"/>
      <c r="N379" s="123"/>
      <c r="O379" s="123"/>
      <c r="P379" s="123"/>
      <c r="Q379" s="123"/>
      <c r="R379" s="123"/>
      <c r="S379" s="123"/>
      <c r="T379" s="123"/>
      <c r="U379" s="123"/>
      <c r="V379" s="123"/>
    </row>
    <row r="380" spans="1:22" ht="15" customHeight="1" x14ac:dyDescent="0.25">
      <c r="A380" s="132">
        <v>52</v>
      </c>
      <c r="B380" s="132" t="s">
        <v>1580</v>
      </c>
      <c r="C380" s="132" t="s">
        <v>1583</v>
      </c>
      <c r="D380" s="133" t="s">
        <v>1584</v>
      </c>
      <c r="E380" s="135">
        <v>44409</v>
      </c>
      <c r="F380" s="135">
        <v>45380</v>
      </c>
      <c r="G380" s="134">
        <v>5.000000074505806E-2</v>
      </c>
      <c r="H380" s="134">
        <v>0.20000000298023224</v>
      </c>
      <c r="I380" s="134">
        <v>0.22499999403953552</v>
      </c>
      <c r="J380" s="134">
        <v>0.22499999403953552</v>
      </c>
      <c r="K380" s="134">
        <v>0.23000000417232513</v>
      </c>
      <c r="L380" s="134">
        <v>7.0000000298023224E-2</v>
      </c>
      <c r="M380" s="134"/>
      <c r="N380" s="123"/>
      <c r="O380" s="123"/>
      <c r="P380" s="123"/>
      <c r="Q380" s="123"/>
      <c r="R380" s="123"/>
      <c r="S380" s="123"/>
      <c r="T380" s="123"/>
      <c r="U380" s="123"/>
      <c r="V380" s="123"/>
    </row>
    <row r="381" spans="1:22" ht="15" customHeight="1" x14ac:dyDescent="0.25">
      <c r="A381" s="132">
        <v>52</v>
      </c>
      <c r="B381" s="132" t="s">
        <v>1585</v>
      </c>
      <c r="C381" s="132" t="s">
        <v>1586</v>
      </c>
      <c r="D381" s="133" t="s">
        <v>1587</v>
      </c>
      <c r="E381" s="135">
        <v>44409</v>
      </c>
      <c r="F381" s="135">
        <v>45380</v>
      </c>
      <c r="G381" s="134">
        <v>0</v>
      </c>
      <c r="H381" s="134">
        <v>0.10000000149011612</v>
      </c>
      <c r="I381" s="134">
        <v>0.20000000298023224</v>
      </c>
      <c r="J381" s="134">
        <v>0.30000001192092896</v>
      </c>
      <c r="K381" s="134">
        <v>0.34999999403953552</v>
      </c>
      <c r="L381" s="134">
        <v>5.000000074505806E-2</v>
      </c>
      <c r="M381" s="134"/>
      <c r="N381" s="123"/>
      <c r="O381" s="123"/>
      <c r="P381" s="123"/>
      <c r="Q381" s="123"/>
      <c r="R381" s="123"/>
      <c r="S381" s="123"/>
      <c r="T381" s="123"/>
      <c r="U381" s="123"/>
      <c r="V381" s="123"/>
    </row>
    <row r="382" spans="1:22" ht="15" customHeight="1" x14ac:dyDescent="0.25">
      <c r="A382" s="132">
        <v>52</v>
      </c>
      <c r="B382" s="132" t="s">
        <v>1585</v>
      </c>
      <c r="C382" s="132" t="s">
        <v>1588</v>
      </c>
      <c r="D382" s="133" t="s">
        <v>1589</v>
      </c>
      <c r="E382" s="135">
        <v>44409</v>
      </c>
      <c r="F382" s="135">
        <v>45380</v>
      </c>
      <c r="G382" s="134">
        <v>0</v>
      </c>
      <c r="H382" s="134">
        <v>0.10000000149011612</v>
      </c>
      <c r="I382" s="134">
        <v>0.20000000298023224</v>
      </c>
      <c r="J382" s="134">
        <v>0.30000001192092896</v>
      </c>
      <c r="K382" s="134">
        <v>0.34999999403953552</v>
      </c>
      <c r="L382" s="134">
        <v>5.000000074505806E-2</v>
      </c>
      <c r="M382" s="134"/>
      <c r="N382" s="123"/>
      <c r="O382" s="123"/>
      <c r="P382" s="123"/>
      <c r="Q382" s="123"/>
      <c r="R382" s="123"/>
      <c r="S382" s="123"/>
      <c r="T382" s="123"/>
      <c r="U382" s="123"/>
      <c r="V382" s="123"/>
    </row>
    <row r="383" spans="1:22" ht="15" customHeight="1" x14ac:dyDescent="0.25">
      <c r="A383" s="132">
        <v>52</v>
      </c>
      <c r="B383" s="132" t="s">
        <v>1590</v>
      </c>
      <c r="C383" s="132" t="s">
        <v>1591</v>
      </c>
      <c r="D383" s="133" t="s">
        <v>1592</v>
      </c>
      <c r="E383" s="135">
        <v>44409</v>
      </c>
      <c r="F383" s="135">
        <v>45380</v>
      </c>
      <c r="G383" s="134">
        <v>0.10000000149011612</v>
      </c>
      <c r="H383" s="134">
        <v>0.22800000011920929</v>
      </c>
      <c r="I383" s="134">
        <v>0.20000000298023224</v>
      </c>
      <c r="J383" s="134">
        <v>0.20000000298023224</v>
      </c>
      <c r="K383" s="134">
        <v>0.20000000298023224</v>
      </c>
      <c r="L383" s="134">
        <v>7.1999996900558472E-2</v>
      </c>
      <c r="M383" s="134"/>
      <c r="N383" s="123"/>
      <c r="O383" s="123"/>
      <c r="P383" s="123"/>
      <c r="Q383" s="123"/>
      <c r="R383" s="123"/>
      <c r="S383" s="123"/>
      <c r="T383" s="123"/>
      <c r="U383" s="123"/>
      <c r="V383" s="123"/>
    </row>
    <row r="384" spans="1:22" ht="15" customHeight="1" x14ac:dyDescent="0.25">
      <c r="A384" s="132">
        <v>52</v>
      </c>
      <c r="B384" s="132" t="s">
        <v>1590</v>
      </c>
      <c r="C384" s="132" t="s">
        <v>1593</v>
      </c>
      <c r="D384" s="133" t="s">
        <v>1594</v>
      </c>
      <c r="E384" s="135">
        <v>44409</v>
      </c>
      <c r="F384" s="135">
        <v>45380</v>
      </c>
      <c r="G384" s="134">
        <v>5.000000074505806E-2</v>
      </c>
      <c r="H384" s="134">
        <v>0.2199999988079071</v>
      </c>
      <c r="I384" s="134">
        <v>0.20999999344348907</v>
      </c>
      <c r="J384" s="134">
        <v>0.23999999463558197</v>
      </c>
      <c r="K384" s="134">
        <v>0.23000000417232513</v>
      </c>
      <c r="L384" s="134">
        <v>5.000000074505806E-2</v>
      </c>
      <c r="M384" s="134"/>
      <c r="N384" s="123"/>
      <c r="O384" s="123"/>
      <c r="P384" s="123"/>
      <c r="Q384" s="123"/>
      <c r="R384" s="123"/>
      <c r="S384" s="123"/>
      <c r="T384" s="123"/>
      <c r="U384" s="123"/>
      <c r="V384" s="123"/>
    </row>
    <row r="385" spans="1:22" ht="15" customHeight="1" x14ac:dyDescent="0.25">
      <c r="A385" s="132">
        <v>52</v>
      </c>
      <c r="B385" s="132" t="s">
        <v>1590</v>
      </c>
      <c r="C385" s="132" t="s">
        <v>1595</v>
      </c>
      <c r="D385" s="133" t="s">
        <v>1596</v>
      </c>
      <c r="E385" s="135">
        <v>44409</v>
      </c>
      <c r="F385" s="135">
        <v>45380</v>
      </c>
      <c r="G385" s="134">
        <v>2.9999999329447746E-2</v>
      </c>
      <c r="H385" s="134">
        <v>0.2199999988079071</v>
      </c>
      <c r="I385" s="134">
        <v>0.2199999988079071</v>
      </c>
      <c r="J385" s="134">
        <v>0.25</v>
      </c>
      <c r="K385" s="134">
        <v>0.25</v>
      </c>
      <c r="L385" s="134">
        <v>2.9999999329447746E-2</v>
      </c>
      <c r="M385" s="134"/>
      <c r="N385" s="123"/>
      <c r="O385" s="123"/>
      <c r="P385" s="123"/>
      <c r="Q385" s="123"/>
      <c r="R385" s="123"/>
      <c r="S385" s="123"/>
      <c r="T385" s="123"/>
      <c r="U385" s="123"/>
      <c r="V385" s="123"/>
    </row>
    <row r="386" spans="1:22" ht="15" customHeight="1" x14ac:dyDescent="0.25">
      <c r="A386" s="132">
        <v>52</v>
      </c>
      <c r="B386" s="132" t="s">
        <v>1590</v>
      </c>
      <c r="C386" s="132" t="s">
        <v>1597</v>
      </c>
      <c r="D386" s="133" t="s">
        <v>1598</v>
      </c>
      <c r="E386" s="135">
        <v>44409</v>
      </c>
      <c r="F386" s="135">
        <v>45380</v>
      </c>
      <c r="G386" s="134">
        <v>5.000000074505806E-2</v>
      </c>
      <c r="H386" s="134">
        <v>0.20000000298023224</v>
      </c>
      <c r="I386" s="134">
        <v>0.25</v>
      </c>
      <c r="J386" s="134">
        <v>0.20000000298023224</v>
      </c>
      <c r="K386" s="134">
        <v>0.25</v>
      </c>
      <c r="L386" s="134">
        <v>5.000000074505806E-2</v>
      </c>
      <c r="M386" s="134"/>
      <c r="N386" s="123"/>
      <c r="O386" s="123"/>
      <c r="P386" s="123"/>
      <c r="Q386" s="123"/>
      <c r="R386" s="123"/>
      <c r="S386" s="123"/>
      <c r="T386" s="123"/>
      <c r="U386" s="123"/>
      <c r="V386" s="123"/>
    </row>
    <row r="387" spans="1:22" ht="15" customHeight="1" x14ac:dyDescent="0.25">
      <c r="A387" s="132">
        <v>53</v>
      </c>
      <c r="B387" s="132" t="s">
        <v>1599</v>
      </c>
      <c r="C387" s="132" t="s">
        <v>1600</v>
      </c>
      <c r="D387" s="133" t="s">
        <v>1601</v>
      </c>
      <c r="E387" s="135">
        <v>44607</v>
      </c>
      <c r="F387" s="135">
        <v>45352</v>
      </c>
      <c r="G387" s="134">
        <v>0</v>
      </c>
      <c r="H387" s="134">
        <v>0.40000000596046448</v>
      </c>
      <c r="I387" s="134">
        <v>0.30000001192092896</v>
      </c>
      <c r="J387" s="134">
        <v>0.10000000149011612</v>
      </c>
      <c r="K387" s="134">
        <v>0.10000000149011612</v>
      </c>
      <c r="L387" s="134">
        <v>0.10000000149011612</v>
      </c>
      <c r="M387" s="134"/>
      <c r="N387" s="123"/>
      <c r="O387" s="123"/>
      <c r="P387" s="123"/>
      <c r="Q387" s="123"/>
      <c r="R387" s="123"/>
      <c r="S387" s="123"/>
      <c r="T387" s="123"/>
      <c r="U387" s="123"/>
      <c r="V387" s="123"/>
    </row>
    <row r="388" spans="1:22" ht="15" customHeight="1" x14ac:dyDescent="0.25">
      <c r="A388" s="132">
        <v>53</v>
      </c>
      <c r="B388" s="132" t="s">
        <v>1599</v>
      </c>
      <c r="C388" s="132" t="s">
        <v>1602</v>
      </c>
      <c r="D388" s="133" t="s">
        <v>1603</v>
      </c>
      <c r="E388" s="135">
        <v>44607</v>
      </c>
      <c r="F388" s="135">
        <v>45352</v>
      </c>
      <c r="G388" s="134">
        <v>0</v>
      </c>
      <c r="H388" s="134">
        <v>0.30000001192092896</v>
      </c>
      <c r="I388" s="134">
        <v>0.20000000298023224</v>
      </c>
      <c r="J388" s="134">
        <v>0.20000000298023224</v>
      </c>
      <c r="K388" s="134">
        <v>0.20000000298023224</v>
      </c>
      <c r="L388" s="134">
        <v>0.10000000149011612</v>
      </c>
      <c r="M388" s="134"/>
      <c r="N388" s="123"/>
      <c r="O388" s="123"/>
      <c r="P388" s="123"/>
      <c r="Q388" s="123"/>
      <c r="R388" s="123"/>
      <c r="S388" s="123"/>
      <c r="T388" s="123"/>
      <c r="U388" s="123"/>
      <c r="V388" s="123"/>
    </row>
    <row r="389" spans="1:22" ht="15" customHeight="1" x14ac:dyDescent="0.25">
      <c r="A389" s="132">
        <v>53</v>
      </c>
      <c r="B389" s="132" t="s">
        <v>1599</v>
      </c>
      <c r="C389" s="132" t="s">
        <v>1604</v>
      </c>
      <c r="D389" s="133" t="s">
        <v>1605</v>
      </c>
      <c r="E389" s="135">
        <v>44593</v>
      </c>
      <c r="F389" s="135">
        <v>45200</v>
      </c>
      <c r="G389" s="134">
        <v>0</v>
      </c>
      <c r="H389" s="134">
        <v>0.10000000149011612</v>
      </c>
      <c r="I389" s="134">
        <v>0.10000000149011612</v>
      </c>
      <c r="J389" s="134">
        <v>0.30000001192092896</v>
      </c>
      <c r="K389" s="134">
        <v>0.40000000596046448</v>
      </c>
      <c r="L389" s="134">
        <v>0.10000000149011612</v>
      </c>
      <c r="M389" s="134"/>
      <c r="N389" s="123"/>
      <c r="O389" s="123"/>
      <c r="P389" s="123"/>
      <c r="Q389" s="123"/>
      <c r="R389" s="123"/>
      <c r="S389" s="123"/>
      <c r="T389" s="123"/>
      <c r="U389" s="123"/>
      <c r="V389" s="123"/>
    </row>
    <row r="390" spans="1:22" ht="15" customHeight="1" x14ac:dyDescent="0.25">
      <c r="A390" s="132">
        <v>53</v>
      </c>
      <c r="B390" s="132" t="s">
        <v>1599</v>
      </c>
      <c r="C390" s="132" t="s">
        <v>1606</v>
      </c>
      <c r="D390" s="133" t="s">
        <v>1607</v>
      </c>
      <c r="E390" s="135">
        <v>44652</v>
      </c>
      <c r="F390" s="135">
        <v>45352</v>
      </c>
      <c r="G390" s="134">
        <v>0</v>
      </c>
      <c r="H390" s="134">
        <v>0.10000000149011612</v>
      </c>
      <c r="I390" s="134">
        <v>0.20000000298023224</v>
      </c>
      <c r="J390" s="134">
        <v>0.20000000298023224</v>
      </c>
      <c r="K390" s="134">
        <v>0.25</v>
      </c>
      <c r="L390" s="134">
        <v>0.25</v>
      </c>
      <c r="M390" s="134"/>
      <c r="N390" s="123"/>
      <c r="O390" s="123"/>
      <c r="P390" s="123"/>
      <c r="Q390" s="123"/>
      <c r="R390" s="123"/>
      <c r="S390" s="123"/>
      <c r="T390" s="123"/>
      <c r="U390" s="123"/>
      <c r="V390" s="123"/>
    </row>
    <row r="391" spans="1:22" ht="15" customHeight="1" x14ac:dyDescent="0.25">
      <c r="A391" s="132">
        <v>53</v>
      </c>
      <c r="B391" s="132" t="s">
        <v>1608</v>
      </c>
      <c r="C391" s="132" t="s">
        <v>1609</v>
      </c>
      <c r="D391" s="133" t="s">
        <v>1610</v>
      </c>
      <c r="E391" s="135">
        <v>44593</v>
      </c>
      <c r="F391" s="135">
        <v>44958</v>
      </c>
      <c r="G391" s="134">
        <v>0</v>
      </c>
      <c r="H391" s="134">
        <v>0.25</v>
      </c>
      <c r="I391" s="134">
        <v>0.25</v>
      </c>
      <c r="J391" s="134">
        <v>0.5</v>
      </c>
      <c r="K391" s="134">
        <v>0</v>
      </c>
      <c r="L391" s="134">
        <v>0</v>
      </c>
      <c r="M391" s="134"/>
      <c r="N391" s="123"/>
      <c r="O391" s="123"/>
      <c r="P391" s="123"/>
      <c r="Q391" s="123"/>
      <c r="R391" s="123"/>
      <c r="S391" s="123"/>
      <c r="T391" s="123"/>
      <c r="U391" s="123"/>
      <c r="V391" s="123"/>
    </row>
    <row r="392" spans="1:22" ht="15" customHeight="1" x14ac:dyDescent="0.25">
      <c r="A392" s="132">
        <v>53</v>
      </c>
      <c r="B392" s="132" t="s">
        <v>1608</v>
      </c>
      <c r="C392" s="132" t="s">
        <v>1611</v>
      </c>
      <c r="D392" s="133" t="s">
        <v>1612</v>
      </c>
      <c r="E392" s="135">
        <v>44440</v>
      </c>
      <c r="F392" s="135">
        <v>45352</v>
      </c>
      <c r="G392" s="134">
        <v>0.15000000596046448</v>
      </c>
      <c r="H392" s="134">
        <v>0.15000000596046448</v>
      </c>
      <c r="I392" s="134">
        <v>0.20000000298023224</v>
      </c>
      <c r="J392" s="134">
        <v>0.20000000298023224</v>
      </c>
      <c r="K392" s="134">
        <v>0.20000000298023224</v>
      </c>
      <c r="L392" s="134">
        <v>0.10000000149011612</v>
      </c>
      <c r="M392" s="134"/>
      <c r="N392" s="123"/>
      <c r="O392" s="123"/>
      <c r="P392" s="123"/>
      <c r="Q392" s="123"/>
      <c r="R392" s="123"/>
      <c r="S392" s="123"/>
      <c r="T392" s="123"/>
      <c r="U392" s="123"/>
      <c r="V392" s="123"/>
    </row>
    <row r="393" spans="1:22" ht="15" customHeight="1" x14ac:dyDescent="0.25">
      <c r="A393" s="132">
        <v>53</v>
      </c>
      <c r="B393" s="132" t="s">
        <v>1608</v>
      </c>
      <c r="C393" s="132" t="s">
        <v>1613</v>
      </c>
      <c r="D393" s="133" t="s">
        <v>1614</v>
      </c>
      <c r="E393" s="135">
        <v>44774</v>
      </c>
      <c r="F393" s="135">
        <v>45139</v>
      </c>
      <c r="G393" s="134">
        <v>0</v>
      </c>
      <c r="H393" s="134">
        <v>0</v>
      </c>
      <c r="I393" s="134">
        <v>0.40000000596046448</v>
      </c>
      <c r="J393" s="134">
        <v>0.30000001192092896</v>
      </c>
      <c r="K393" s="134">
        <v>0.30000001192092896</v>
      </c>
      <c r="L393" s="134">
        <v>0</v>
      </c>
      <c r="M393" s="134"/>
      <c r="N393" s="123"/>
      <c r="O393" s="123"/>
      <c r="P393" s="123"/>
      <c r="Q393" s="123"/>
      <c r="R393" s="123"/>
      <c r="S393" s="123"/>
      <c r="T393" s="123"/>
      <c r="U393" s="123"/>
      <c r="V393" s="123"/>
    </row>
    <row r="394" spans="1:22" ht="15" customHeight="1" x14ac:dyDescent="0.25">
      <c r="A394" s="132">
        <v>53</v>
      </c>
      <c r="B394" s="132" t="s">
        <v>1615</v>
      </c>
      <c r="C394" s="132" t="s">
        <v>1616</v>
      </c>
      <c r="D394" s="133" t="s">
        <v>1617</v>
      </c>
      <c r="E394" s="135">
        <v>44449</v>
      </c>
      <c r="F394" s="135">
        <v>44774</v>
      </c>
      <c r="G394" s="134">
        <v>0.20000000298023224</v>
      </c>
      <c r="H394" s="134">
        <v>0.5</v>
      </c>
      <c r="I394" s="134">
        <v>0.30000001192092896</v>
      </c>
      <c r="J394" s="134">
        <v>0</v>
      </c>
      <c r="K394" s="134">
        <v>0</v>
      </c>
      <c r="L394" s="134">
        <v>0</v>
      </c>
      <c r="M394" s="134"/>
      <c r="N394" s="123"/>
      <c r="O394" s="123"/>
      <c r="P394" s="123"/>
      <c r="Q394" s="123"/>
      <c r="R394" s="123"/>
      <c r="S394" s="123"/>
      <c r="T394" s="123"/>
      <c r="U394" s="123"/>
      <c r="V394" s="123"/>
    </row>
    <row r="395" spans="1:22" ht="15" customHeight="1" x14ac:dyDescent="0.25">
      <c r="A395" s="132">
        <v>53</v>
      </c>
      <c r="B395" s="132" t="s">
        <v>1615</v>
      </c>
      <c r="C395" s="132" t="s">
        <v>1618</v>
      </c>
      <c r="D395" s="133" t="s">
        <v>1619</v>
      </c>
      <c r="E395" s="135">
        <v>44449</v>
      </c>
      <c r="F395" s="135">
        <v>45352</v>
      </c>
      <c r="G395" s="134">
        <v>0.10000000149011612</v>
      </c>
      <c r="H395" s="134">
        <v>0.15000000596046448</v>
      </c>
      <c r="I395" s="134">
        <v>0.20000000298023224</v>
      </c>
      <c r="J395" s="134">
        <v>0.20000000298023224</v>
      </c>
      <c r="K395" s="134">
        <v>0.20000000298023224</v>
      </c>
      <c r="L395" s="134">
        <v>0.15000000596046448</v>
      </c>
      <c r="M395" s="134"/>
      <c r="N395" s="123"/>
      <c r="O395" s="123"/>
      <c r="P395" s="123"/>
      <c r="Q395" s="123"/>
      <c r="R395" s="123"/>
      <c r="S395" s="123"/>
      <c r="T395" s="123"/>
      <c r="U395" s="123"/>
      <c r="V395" s="123"/>
    </row>
    <row r="396" spans="1:22" ht="15" customHeight="1" x14ac:dyDescent="0.25">
      <c r="A396" s="132">
        <v>53</v>
      </c>
      <c r="B396" s="132" t="s">
        <v>1615</v>
      </c>
      <c r="C396" s="132" t="s">
        <v>1620</v>
      </c>
      <c r="D396" s="133" t="s">
        <v>1621</v>
      </c>
      <c r="E396" s="135">
        <v>44562</v>
      </c>
      <c r="F396" s="135">
        <v>44774</v>
      </c>
      <c r="G396" s="134">
        <v>0</v>
      </c>
      <c r="H396" s="134">
        <v>0.5</v>
      </c>
      <c r="I396" s="134">
        <v>0.5</v>
      </c>
      <c r="J396" s="134">
        <v>0</v>
      </c>
      <c r="K396" s="134">
        <v>0</v>
      </c>
      <c r="L396" s="134">
        <v>0</v>
      </c>
      <c r="M396" s="134"/>
      <c r="N396" s="123"/>
      <c r="O396" s="123"/>
      <c r="P396" s="123"/>
      <c r="Q396" s="123"/>
      <c r="R396" s="123"/>
      <c r="S396" s="123"/>
      <c r="T396" s="123"/>
      <c r="U396" s="123"/>
      <c r="V396" s="123"/>
    </row>
    <row r="397" spans="1:22" ht="15" customHeight="1" x14ac:dyDescent="0.25">
      <c r="A397" s="132">
        <v>53</v>
      </c>
      <c r="B397" s="132" t="s">
        <v>1615</v>
      </c>
      <c r="C397" s="132" t="s">
        <v>1622</v>
      </c>
      <c r="D397" s="133" t="s">
        <v>1623</v>
      </c>
      <c r="E397" s="135">
        <v>44866</v>
      </c>
      <c r="F397" s="135">
        <v>45017</v>
      </c>
      <c r="G397" s="134">
        <v>0</v>
      </c>
      <c r="H397" s="134">
        <v>0</v>
      </c>
      <c r="I397" s="134">
        <v>0.5</v>
      </c>
      <c r="J397" s="134">
        <v>0.5</v>
      </c>
      <c r="K397" s="134">
        <v>0</v>
      </c>
      <c r="L397" s="134">
        <v>0</v>
      </c>
      <c r="M397" s="134"/>
      <c r="N397" s="123"/>
      <c r="O397" s="123"/>
      <c r="P397" s="123"/>
      <c r="Q397" s="123"/>
      <c r="R397" s="123"/>
      <c r="S397" s="123"/>
      <c r="T397" s="123"/>
      <c r="U397" s="123"/>
      <c r="V397" s="123"/>
    </row>
    <row r="398" spans="1:22" ht="15" customHeight="1" x14ac:dyDescent="0.25">
      <c r="A398" s="132">
        <v>53</v>
      </c>
      <c r="B398" s="132" t="s">
        <v>1615</v>
      </c>
      <c r="C398" s="132" t="s">
        <v>1624</v>
      </c>
      <c r="D398" s="133" t="s">
        <v>1625</v>
      </c>
      <c r="E398" s="135">
        <v>44866</v>
      </c>
      <c r="F398" s="135">
        <v>44958</v>
      </c>
      <c r="G398" s="134">
        <v>0</v>
      </c>
      <c r="H398" s="134">
        <v>0</v>
      </c>
      <c r="I398" s="134">
        <v>0.5</v>
      </c>
      <c r="J398" s="134">
        <v>0.5</v>
      </c>
      <c r="K398" s="134">
        <v>0</v>
      </c>
      <c r="L398" s="134">
        <v>0</v>
      </c>
      <c r="M398" s="134"/>
      <c r="N398" s="123"/>
      <c r="O398" s="123"/>
      <c r="P398" s="123"/>
      <c r="Q398" s="123"/>
      <c r="R398" s="123"/>
      <c r="S398" s="123"/>
      <c r="T398" s="123"/>
      <c r="U398" s="123"/>
      <c r="V398" s="123"/>
    </row>
    <row r="399" spans="1:22" ht="15" customHeight="1" x14ac:dyDescent="0.25">
      <c r="A399" s="132">
        <v>53</v>
      </c>
      <c r="B399" s="132" t="s">
        <v>1626</v>
      </c>
      <c r="C399" s="132" t="s">
        <v>1627</v>
      </c>
      <c r="D399" s="133" t="s">
        <v>1628</v>
      </c>
      <c r="E399" s="135">
        <v>44562</v>
      </c>
      <c r="F399" s="135">
        <v>45352</v>
      </c>
      <c r="G399" s="134">
        <v>0</v>
      </c>
      <c r="H399" s="134">
        <v>0.25</v>
      </c>
      <c r="I399" s="134">
        <v>0.20000000298023224</v>
      </c>
      <c r="J399" s="134">
        <v>0.20000000298023224</v>
      </c>
      <c r="K399" s="134">
        <v>0.20000000298023224</v>
      </c>
      <c r="L399" s="134">
        <v>0.15000000596046448</v>
      </c>
      <c r="M399" s="134"/>
      <c r="N399" s="123"/>
      <c r="O399" s="123"/>
      <c r="P399" s="123"/>
      <c r="Q399" s="123"/>
      <c r="R399" s="123"/>
      <c r="S399" s="123"/>
      <c r="T399" s="123"/>
      <c r="U399" s="123"/>
      <c r="V399" s="123"/>
    </row>
    <row r="400" spans="1:22" ht="15" customHeight="1" x14ac:dyDescent="0.25">
      <c r="A400" s="132">
        <v>53</v>
      </c>
      <c r="B400" s="132" t="s">
        <v>1626</v>
      </c>
      <c r="C400" s="132" t="s">
        <v>1629</v>
      </c>
      <c r="D400" s="133" t="s">
        <v>1630</v>
      </c>
      <c r="E400" s="135">
        <v>44501</v>
      </c>
      <c r="F400" s="135">
        <v>45352</v>
      </c>
      <c r="G400" s="134">
        <v>0.10000000149011612</v>
      </c>
      <c r="H400" s="134">
        <v>0.20000000298023224</v>
      </c>
      <c r="I400" s="134">
        <v>0.20000000298023224</v>
      </c>
      <c r="J400" s="134">
        <v>0.20000000298023224</v>
      </c>
      <c r="K400" s="134">
        <v>0.20000000298023224</v>
      </c>
      <c r="L400" s="134">
        <v>0.10000000149011612</v>
      </c>
      <c r="M400" s="134"/>
      <c r="N400" s="123"/>
      <c r="O400" s="123"/>
      <c r="P400" s="123"/>
      <c r="Q400" s="123"/>
      <c r="R400" s="123"/>
      <c r="S400" s="123"/>
      <c r="T400" s="123"/>
      <c r="U400" s="123"/>
      <c r="V400" s="123"/>
    </row>
    <row r="401" spans="1:22" ht="15" customHeight="1" x14ac:dyDescent="0.25">
      <c r="A401" s="132">
        <v>53</v>
      </c>
      <c r="B401" s="132" t="s">
        <v>1626</v>
      </c>
      <c r="C401" s="132" t="s">
        <v>1631</v>
      </c>
      <c r="D401" s="133" t="s">
        <v>1632</v>
      </c>
      <c r="E401" s="135">
        <v>44449</v>
      </c>
      <c r="F401" s="135">
        <v>45352</v>
      </c>
      <c r="G401" s="134">
        <v>0.10000000149011612</v>
      </c>
      <c r="H401" s="134">
        <v>0.20000000298023224</v>
      </c>
      <c r="I401" s="134">
        <v>0.20000000298023224</v>
      </c>
      <c r="J401" s="134">
        <v>0.20000000298023224</v>
      </c>
      <c r="K401" s="134">
        <v>0.20000000298023224</v>
      </c>
      <c r="L401" s="134">
        <v>0.10000000149011612</v>
      </c>
      <c r="M401" s="134"/>
      <c r="N401" s="123"/>
      <c r="O401" s="123"/>
      <c r="P401" s="123"/>
      <c r="Q401" s="123"/>
      <c r="R401" s="123"/>
      <c r="S401" s="123"/>
      <c r="T401" s="123"/>
      <c r="U401" s="123"/>
      <c r="V401" s="123"/>
    </row>
    <row r="402" spans="1:22" ht="15" customHeight="1" x14ac:dyDescent="0.25">
      <c r="A402" s="132">
        <v>54</v>
      </c>
      <c r="B402" s="132" t="s">
        <v>1633</v>
      </c>
      <c r="C402" s="132" t="s">
        <v>1634</v>
      </c>
      <c r="D402" s="133" t="s">
        <v>1635</v>
      </c>
      <c r="E402" s="135">
        <v>44409</v>
      </c>
      <c r="F402" s="135">
        <v>44926</v>
      </c>
      <c r="G402" s="134">
        <v>0.10000000149011612</v>
      </c>
      <c r="H402" s="134">
        <v>0.5</v>
      </c>
      <c r="I402" s="134">
        <v>0.40000000596046448</v>
      </c>
      <c r="J402" s="134">
        <v>0</v>
      </c>
      <c r="K402" s="134">
        <v>0</v>
      </c>
      <c r="L402" s="134">
        <v>0</v>
      </c>
      <c r="M402" s="134"/>
      <c r="N402" s="123"/>
      <c r="O402" s="123"/>
      <c r="P402" s="123"/>
      <c r="Q402" s="123"/>
      <c r="R402" s="123"/>
      <c r="S402" s="123"/>
      <c r="T402" s="123"/>
      <c r="U402" s="123"/>
      <c r="V402" s="123"/>
    </row>
    <row r="403" spans="1:22" ht="15" customHeight="1" x14ac:dyDescent="0.25">
      <c r="A403" s="132">
        <v>54</v>
      </c>
      <c r="B403" s="132" t="s">
        <v>1633</v>
      </c>
      <c r="C403" s="132" t="s">
        <v>1636</v>
      </c>
      <c r="D403" s="133" t="s">
        <v>1637</v>
      </c>
      <c r="E403" s="135">
        <v>44409</v>
      </c>
      <c r="F403" s="135">
        <v>45382</v>
      </c>
      <c r="G403" s="134">
        <v>5.4000001400709152E-2</v>
      </c>
      <c r="H403" s="134">
        <v>0.2199999988079071</v>
      </c>
      <c r="I403" s="134">
        <v>0.23999999463558197</v>
      </c>
      <c r="J403" s="134">
        <v>0.25600001215934753</v>
      </c>
      <c r="K403" s="134">
        <v>0.23000000417232513</v>
      </c>
      <c r="L403" s="134">
        <v>0</v>
      </c>
      <c r="M403" s="134"/>
      <c r="N403" s="123"/>
      <c r="O403" s="123"/>
      <c r="P403" s="123"/>
      <c r="Q403" s="123"/>
      <c r="R403" s="123"/>
      <c r="S403" s="123"/>
      <c r="T403" s="123"/>
      <c r="U403" s="123"/>
      <c r="V403" s="123"/>
    </row>
    <row r="404" spans="1:22" ht="15" customHeight="1" x14ac:dyDescent="0.25">
      <c r="A404" s="132">
        <v>54</v>
      </c>
      <c r="B404" s="132" t="s">
        <v>1633</v>
      </c>
      <c r="C404" s="132" t="s">
        <v>1638</v>
      </c>
      <c r="D404" s="133" t="s">
        <v>1639</v>
      </c>
      <c r="E404" s="135">
        <v>44593</v>
      </c>
      <c r="F404" s="135">
        <v>45382</v>
      </c>
      <c r="G404" s="134">
        <v>0</v>
      </c>
      <c r="H404" s="134">
        <v>0.12999999523162842</v>
      </c>
      <c r="I404" s="134">
        <v>0.15299999713897705</v>
      </c>
      <c r="J404" s="134">
        <v>0.34999999403953552</v>
      </c>
      <c r="K404" s="134">
        <v>0.36700001358985901</v>
      </c>
      <c r="L404" s="134">
        <v>0</v>
      </c>
      <c r="M404" s="134"/>
      <c r="N404" s="123"/>
      <c r="O404" s="123"/>
      <c r="P404" s="123"/>
      <c r="Q404" s="123"/>
      <c r="R404" s="123"/>
      <c r="S404" s="123"/>
      <c r="T404" s="123"/>
      <c r="U404" s="123"/>
      <c r="V404" s="123"/>
    </row>
    <row r="405" spans="1:22" ht="15" customHeight="1" x14ac:dyDescent="0.25">
      <c r="A405" s="132">
        <v>54</v>
      </c>
      <c r="B405" s="132" t="s">
        <v>1633</v>
      </c>
      <c r="C405" s="132" t="s">
        <v>1640</v>
      </c>
      <c r="D405" s="133" t="s">
        <v>1641</v>
      </c>
      <c r="E405" s="135">
        <v>44593</v>
      </c>
      <c r="F405" s="135">
        <v>45382</v>
      </c>
      <c r="G405" s="134">
        <v>0</v>
      </c>
      <c r="H405" s="134">
        <v>0</v>
      </c>
      <c r="I405" s="134">
        <v>0.5</v>
      </c>
      <c r="J405" s="134">
        <v>0</v>
      </c>
      <c r="K405" s="134">
        <v>0.5</v>
      </c>
      <c r="L405" s="134">
        <v>0</v>
      </c>
      <c r="M405" s="134"/>
      <c r="N405" s="123"/>
      <c r="O405" s="123"/>
      <c r="P405" s="123"/>
      <c r="Q405" s="123"/>
      <c r="R405" s="123"/>
      <c r="S405" s="123"/>
      <c r="T405" s="123"/>
      <c r="U405" s="123"/>
      <c r="V405" s="123"/>
    </row>
    <row r="406" spans="1:22" ht="15" customHeight="1" x14ac:dyDescent="0.25">
      <c r="A406" s="132">
        <v>54</v>
      </c>
      <c r="B406" s="132" t="s">
        <v>1642</v>
      </c>
      <c r="C406" s="132" t="s">
        <v>1643</v>
      </c>
      <c r="D406" s="133" t="s">
        <v>1644</v>
      </c>
      <c r="E406" s="135">
        <v>44470</v>
      </c>
      <c r="F406" s="135">
        <v>45291</v>
      </c>
      <c r="G406" s="134">
        <v>1.9999999552965164E-2</v>
      </c>
      <c r="H406" s="134">
        <v>0.20999999344348907</v>
      </c>
      <c r="I406" s="134">
        <v>0.24199999868869781</v>
      </c>
      <c r="J406" s="134">
        <v>0.20499999821186066</v>
      </c>
      <c r="K406" s="134">
        <v>0.25299999117851257</v>
      </c>
      <c r="L406" s="134">
        <v>7.0000000298023224E-2</v>
      </c>
      <c r="M406" s="134"/>
      <c r="N406" s="123"/>
      <c r="O406" s="123"/>
      <c r="P406" s="123"/>
      <c r="Q406" s="123"/>
      <c r="R406" s="123"/>
      <c r="S406" s="123"/>
      <c r="T406" s="123"/>
      <c r="U406" s="123"/>
      <c r="V406" s="123"/>
    </row>
    <row r="407" spans="1:22" ht="15" customHeight="1" x14ac:dyDescent="0.25">
      <c r="A407" s="132">
        <v>54</v>
      </c>
      <c r="B407" s="132" t="s">
        <v>1642</v>
      </c>
      <c r="C407" s="132" t="s">
        <v>1645</v>
      </c>
      <c r="D407" s="133" t="s">
        <v>1646</v>
      </c>
      <c r="E407" s="135">
        <v>44470</v>
      </c>
      <c r="F407" s="135">
        <v>45291</v>
      </c>
      <c r="G407" s="134">
        <v>5.000000074505806E-2</v>
      </c>
      <c r="H407" s="134">
        <v>0.20499999821186066</v>
      </c>
      <c r="I407" s="134">
        <v>0.2070000022649765</v>
      </c>
      <c r="J407" s="134">
        <v>0.2199999988079071</v>
      </c>
      <c r="K407" s="134">
        <v>0.26800000667572021</v>
      </c>
      <c r="L407" s="134">
        <v>5.000000074505806E-2</v>
      </c>
      <c r="M407" s="134"/>
      <c r="N407" s="123"/>
      <c r="O407" s="123"/>
      <c r="P407" s="123"/>
      <c r="Q407" s="123"/>
      <c r="R407" s="123"/>
      <c r="S407" s="123"/>
      <c r="T407" s="123"/>
      <c r="U407" s="123"/>
      <c r="V407" s="123"/>
    </row>
    <row r="408" spans="1:22" ht="15" customHeight="1" x14ac:dyDescent="0.25">
      <c r="A408" s="132">
        <v>54</v>
      </c>
      <c r="B408" s="132" t="s">
        <v>1642</v>
      </c>
      <c r="C408" s="132" t="s">
        <v>1647</v>
      </c>
      <c r="D408" s="133" t="s">
        <v>1648</v>
      </c>
      <c r="E408" s="135">
        <v>44470</v>
      </c>
      <c r="F408" s="135">
        <v>45382</v>
      </c>
      <c r="G408" s="134">
        <v>2.4000000208616257E-2</v>
      </c>
      <c r="H408" s="134">
        <v>0.20999999344348907</v>
      </c>
      <c r="I408" s="134">
        <v>0.23299999535083771</v>
      </c>
      <c r="J408" s="134">
        <v>0.2199999988079071</v>
      </c>
      <c r="K408" s="134">
        <v>0.25299999117851257</v>
      </c>
      <c r="L408" s="134">
        <v>5.9999998658895493E-2</v>
      </c>
      <c r="M408" s="134"/>
      <c r="N408" s="123"/>
      <c r="O408" s="123"/>
      <c r="P408" s="123"/>
      <c r="Q408" s="123"/>
      <c r="R408" s="123"/>
      <c r="S408" s="123"/>
      <c r="T408" s="123"/>
      <c r="U408" s="123"/>
      <c r="V408" s="123"/>
    </row>
    <row r="409" spans="1:22" ht="15" customHeight="1" x14ac:dyDescent="0.25">
      <c r="A409" s="132">
        <v>54</v>
      </c>
      <c r="B409" s="132" t="s">
        <v>1649</v>
      </c>
      <c r="C409" s="132" t="s">
        <v>1650</v>
      </c>
      <c r="D409" s="133" t="s">
        <v>1651</v>
      </c>
      <c r="E409" s="135">
        <v>44470</v>
      </c>
      <c r="F409" s="135">
        <v>45382</v>
      </c>
      <c r="G409" s="134">
        <v>6.7000001668930054E-2</v>
      </c>
      <c r="H409" s="134">
        <v>0.16500000655651093</v>
      </c>
      <c r="I409" s="134">
        <v>0.18299999833106995</v>
      </c>
      <c r="J409" s="134">
        <v>0.24400000274181366</v>
      </c>
      <c r="K409" s="134">
        <v>0.25099998712539673</v>
      </c>
      <c r="L409" s="134">
        <v>9.0000003576278687E-2</v>
      </c>
      <c r="M409" s="134"/>
      <c r="N409" s="123"/>
      <c r="O409" s="123"/>
      <c r="P409" s="123"/>
      <c r="Q409" s="123"/>
      <c r="R409" s="123"/>
      <c r="S409" s="123"/>
      <c r="T409" s="123"/>
      <c r="U409" s="123"/>
      <c r="V409" s="123"/>
    </row>
    <row r="410" spans="1:22" ht="15" customHeight="1" x14ac:dyDescent="0.25">
      <c r="A410" s="132">
        <v>54</v>
      </c>
      <c r="B410" s="132" t="s">
        <v>1649</v>
      </c>
      <c r="C410" s="132" t="s">
        <v>1652</v>
      </c>
      <c r="D410" s="133" t="s">
        <v>1653</v>
      </c>
      <c r="E410" s="135">
        <v>44470</v>
      </c>
      <c r="F410" s="135">
        <v>45382</v>
      </c>
      <c r="G410" s="134">
        <v>0.14599999785423279</v>
      </c>
      <c r="H410" s="134">
        <v>0.17499999701976776</v>
      </c>
      <c r="I410" s="134">
        <v>0.18700000643730164</v>
      </c>
      <c r="J410" s="134">
        <v>0.20999999344348907</v>
      </c>
      <c r="K410" s="134">
        <v>0.19499999284744263</v>
      </c>
      <c r="L410" s="134">
        <v>8.6999997496604919E-2</v>
      </c>
      <c r="M410" s="134"/>
      <c r="N410" s="123"/>
      <c r="O410" s="123"/>
      <c r="P410" s="123"/>
      <c r="Q410" s="123"/>
      <c r="R410" s="123"/>
      <c r="S410" s="123"/>
      <c r="T410" s="123"/>
      <c r="U410" s="123"/>
      <c r="V410" s="123"/>
    </row>
    <row r="411" spans="1:22" ht="15" customHeight="1" x14ac:dyDescent="0.25">
      <c r="A411" s="132">
        <v>54</v>
      </c>
      <c r="B411" s="132" t="s">
        <v>1649</v>
      </c>
      <c r="C411" s="132" t="s">
        <v>1654</v>
      </c>
      <c r="D411" s="133" t="s">
        <v>1655</v>
      </c>
      <c r="E411" s="135">
        <v>44470</v>
      </c>
      <c r="F411" s="135">
        <v>45382</v>
      </c>
      <c r="G411" s="134">
        <v>0</v>
      </c>
      <c r="H411" s="134">
        <v>0.23000000417232513</v>
      </c>
      <c r="I411" s="134">
        <v>0.26499998569488525</v>
      </c>
      <c r="J411" s="134">
        <v>0.25999999046325684</v>
      </c>
      <c r="K411" s="134">
        <v>0.24500000476837158</v>
      </c>
      <c r="L411" s="134">
        <v>0</v>
      </c>
      <c r="M411" s="134"/>
      <c r="N411" s="123"/>
      <c r="O411" s="123"/>
      <c r="P411" s="123"/>
      <c r="Q411" s="123"/>
      <c r="R411" s="123"/>
      <c r="S411" s="123"/>
      <c r="T411" s="123"/>
      <c r="U411" s="123"/>
      <c r="V411" s="123"/>
    </row>
    <row r="412" spans="1:22" ht="15" customHeight="1" x14ac:dyDescent="0.25">
      <c r="A412" s="132">
        <v>54</v>
      </c>
      <c r="B412" s="132" t="s">
        <v>1649</v>
      </c>
      <c r="C412" s="132" t="s">
        <v>1656</v>
      </c>
      <c r="D412" s="133" t="s">
        <v>1657</v>
      </c>
      <c r="E412" s="135">
        <v>44470</v>
      </c>
      <c r="F412" s="135">
        <v>45382</v>
      </c>
      <c r="G412" s="134">
        <v>0</v>
      </c>
      <c r="H412" s="134">
        <v>0.21500000357627869</v>
      </c>
      <c r="I412" s="134">
        <v>0.20800000429153442</v>
      </c>
      <c r="J412" s="134">
        <v>0.22100000083446503</v>
      </c>
      <c r="K412" s="134">
        <v>0.21799999475479126</v>
      </c>
      <c r="L412" s="134">
        <v>0.1379999965429306</v>
      </c>
      <c r="M412" s="134"/>
      <c r="N412" s="123"/>
      <c r="O412" s="123"/>
      <c r="P412" s="123"/>
      <c r="Q412" s="123"/>
      <c r="R412" s="123"/>
      <c r="S412" s="123"/>
      <c r="T412" s="123"/>
      <c r="U412" s="123"/>
      <c r="V412" s="123"/>
    </row>
    <row r="413" spans="1:22" ht="15" customHeight="1" x14ac:dyDescent="0.25">
      <c r="A413" s="132">
        <v>55</v>
      </c>
      <c r="B413" s="132" t="s">
        <v>1658</v>
      </c>
      <c r="C413" s="132" t="s">
        <v>1659</v>
      </c>
      <c r="D413" s="133" t="s">
        <v>1660</v>
      </c>
      <c r="E413" s="135">
        <v>44440</v>
      </c>
      <c r="F413" s="135">
        <v>45381</v>
      </c>
      <c r="G413" s="134">
        <v>0</v>
      </c>
      <c r="H413" s="134">
        <v>0</v>
      </c>
      <c r="I413" s="134">
        <v>0.5</v>
      </c>
      <c r="J413" s="134">
        <v>0</v>
      </c>
      <c r="K413" s="134">
        <v>0.5</v>
      </c>
      <c r="L413" s="134">
        <v>0</v>
      </c>
      <c r="M413" s="134"/>
      <c r="N413" s="123"/>
      <c r="O413" s="123"/>
      <c r="P413" s="123"/>
      <c r="Q413" s="123"/>
      <c r="R413" s="123"/>
      <c r="S413" s="123"/>
      <c r="T413" s="123"/>
      <c r="U413" s="123"/>
      <c r="V413" s="123"/>
    </row>
    <row r="414" spans="1:22" ht="15" customHeight="1" x14ac:dyDescent="0.25">
      <c r="A414" s="132">
        <v>55</v>
      </c>
      <c r="B414" s="132" t="s">
        <v>1658</v>
      </c>
      <c r="C414" s="132" t="s">
        <v>1661</v>
      </c>
      <c r="D414" s="133" t="s">
        <v>1662</v>
      </c>
      <c r="E414" s="135">
        <v>44440</v>
      </c>
      <c r="F414" s="135">
        <v>45381</v>
      </c>
      <c r="G414" s="134">
        <v>0</v>
      </c>
      <c r="H414" s="134">
        <v>0</v>
      </c>
      <c r="I414" s="134">
        <v>0.5</v>
      </c>
      <c r="J414" s="134">
        <v>0</v>
      </c>
      <c r="K414" s="134">
        <v>0</v>
      </c>
      <c r="L414" s="134">
        <v>0.5</v>
      </c>
      <c r="M414" s="134"/>
      <c r="N414" s="123"/>
      <c r="O414" s="123"/>
      <c r="P414" s="123"/>
      <c r="Q414" s="123"/>
      <c r="R414" s="123"/>
      <c r="S414" s="123"/>
      <c r="T414" s="123"/>
      <c r="U414" s="123"/>
      <c r="V414" s="123"/>
    </row>
    <row r="415" spans="1:22" ht="15" customHeight="1" x14ac:dyDescent="0.25">
      <c r="A415" s="132">
        <v>55</v>
      </c>
      <c r="B415" s="132" t="s">
        <v>1658</v>
      </c>
      <c r="C415" s="132" t="s">
        <v>1663</v>
      </c>
      <c r="D415" s="133" t="s">
        <v>1664</v>
      </c>
      <c r="E415" s="135">
        <v>44440</v>
      </c>
      <c r="F415" s="135">
        <v>45381</v>
      </c>
      <c r="G415" s="134">
        <v>0</v>
      </c>
      <c r="H415" s="134">
        <v>0</v>
      </c>
      <c r="I415" s="134">
        <v>0.5</v>
      </c>
      <c r="J415" s="134">
        <v>0</v>
      </c>
      <c r="K415" s="134">
        <v>0.5</v>
      </c>
      <c r="L415" s="134">
        <v>0</v>
      </c>
      <c r="M415" s="134"/>
      <c r="N415" s="123"/>
      <c r="O415" s="123"/>
      <c r="P415" s="123"/>
      <c r="Q415" s="123"/>
      <c r="R415" s="123"/>
      <c r="S415" s="123"/>
      <c r="T415" s="123"/>
      <c r="U415" s="123"/>
      <c r="V415" s="123"/>
    </row>
    <row r="416" spans="1:22" ht="15" customHeight="1" x14ac:dyDescent="0.25">
      <c r="A416" s="132">
        <v>55</v>
      </c>
      <c r="B416" s="132" t="s">
        <v>1665</v>
      </c>
      <c r="C416" s="132" t="s">
        <v>1666</v>
      </c>
      <c r="D416" s="133" t="s">
        <v>1667</v>
      </c>
      <c r="E416" s="135">
        <v>44440</v>
      </c>
      <c r="F416" s="135">
        <v>45381</v>
      </c>
      <c r="G416" s="134">
        <v>0</v>
      </c>
      <c r="H416" s="134">
        <v>0</v>
      </c>
      <c r="I416" s="134">
        <v>0</v>
      </c>
      <c r="J416" s="134">
        <v>0</v>
      </c>
      <c r="K416" s="134">
        <v>0</v>
      </c>
      <c r="L416" s="134">
        <v>1</v>
      </c>
      <c r="M416" s="134"/>
      <c r="N416" s="123"/>
      <c r="O416" s="123"/>
      <c r="P416" s="123"/>
      <c r="Q416" s="123"/>
      <c r="R416" s="123"/>
      <c r="S416" s="123"/>
      <c r="T416" s="123"/>
      <c r="U416" s="123"/>
      <c r="V416" s="123"/>
    </row>
    <row r="417" spans="1:22" ht="15" customHeight="1" x14ac:dyDescent="0.25">
      <c r="A417" s="132">
        <v>55</v>
      </c>
      <c r="B417" s="132" t="s">
        <v>1665</v>
      </c>
      <c r="C417" s="132" t="s">
        <v>1668</v>
      </c>
      <c r="D417" s="133" t="s">
        <v>1669</v>
      </c>
      <c r="E417" s="135">
        <v>44440</v>
      </c>
      <c r="F417" s="135">
        <v>45381</v>
      </c>
      <c r="G417" s="134">
        <v>0.34000000357627869</v>
      </c>
      <c r="H417" s="134">
        <v>0</v>
      </c>
      <c r="I417" s="134">
        <v>0.33000001311302185</v>
      </c>
      <c r="J417" s="134">
        <v>0</v>
      </c>
      <c r="K417" s="134">
        <v>0.33000001311302185</v>
      </c>
      <c r="L417" s="134">
        <v>0</v>
      </c>
      <c r="M417" s="134"/>
      <c r="N417" s="123"/>
      <c r="O417" s="123"/>
      <c r="P417" s="123"/>
      <c r="Q417" s="123"/>
      <c r="R417" s="123"/>
      <c r="S417" s="123"/>
      <c r="T417" s="123"/>
      <c r="U417" s="123"/>
      <c r="V417" s="123"/>
    </row>
    <row r="418" spans="1:22" ht="15" customHeight="1" x14ac:dyDescent="0.25">
      <c r="A418" s="132">
        <v>56</v>
      </c>
      <c r="B418" s="132" t="s">
        <v>1670</v>
      </c>
      <c r="C418" s="132" t="s">
        <v>1671</v>
      </c>
      <c r="D418" s="133" t="s">
        <v>1672</v>
      </c>
      <c r="E418" s="135">
        <v>44440</v>
      </c>
      <c r="F418" s="135">
        <v>45169</v>
      </c>
      <c r="G418" s="134">
        <v>0.20000000298023224</v>
      </c>
      <c r="H418" s="134">
        <v>0.20000000298023224</v>
      </c>
      <c r="I418" s="134">
        <v>0.20000000298023224</v>
      </c>
      <c r="J418" s="134">
        <v>0.20000000298023224</v>
      </c>
      <c r="K418" s="134">
        <v>0.20000000298023224</v>
      </c>
      <c r="L418" s="134">
        <v>0</v>
      </c>
      <c r="M418" s="134"/>
      <c r="N418" s="123"/>
      <c r="O418" s="123"/>
      <c r="P418" s="123"/>
      <c r="Q418" s="123"/>
      <c r="R418" s="123"/>
      <c r="S418" s="123"/>
      <c r="T418" s="123"/>
      <c r="U418" s="123"/>
      <c r="V418" s="123"/>
    </row>
    <row r="419" spans="1:22" ht="15" customHeight="1" x14ac:dyDescent="0.25">
      <c r="A419" s="132">
        <v>56</v>
      </c>
      <c r="B419" s="132" t="s">
        <v>1670</v>
      </c>
      <c r="C419" s="132" t="s">
        <v>1673</v>
      </c>
      <c r="D419" s="133" t="s">
        <v>1674</v>
      </c>
      <c r="E419" s="135">
        <v>44440</v>
      </c>
      <c r="F419" s="135">
        <v>45373</v>
      </c>
      <c r="G419" s="134">
        <v>0.20000000298023224</v>
      </c>
      <c r="H419" s="134">
        <v>0</v>
      </c>
      <c r="I419" s="134">
        <v>0.20000000298023224</v>
      </c>
      <c r="J419" s="134">
        <v>0.20000000298023224</v>
      </c>
      <c r="K419" s="134">
        <v>0.20000000298023224</v>
      </c>
      <c r="L419" s="134">
        <v>0.20000000298023224</v>
      </c>
      <c r="M419" s="134"/>
      <c r="N419" s="123"/>
      <c r="O419" s="123"/>
      <c r="P419" s="123"/>
      <c r="Q419" s="123"/>
      <c r="R419" s="123"/>
      <c r="S419" s="123"/>
      <c r="T419" s="123"/>
      <c r="U419" s="123"/>
      <c r="V419" s="123"/>
    </row>
    <row r="420" spans="1:22" ht="15" customHeight="1" x14ac:dyDescent="0.25">
      <c r="A420" s="132">
        <v>56</v>
      </c>
      <c r="B420" s="132" t="s">
        <v>1675</v>
      </c>
      <c r="C420" s="132" t="s">
        <v>1676</v>
      </c>
      <c r="D420" s="133" t="s">
        <v>1677</v>
      </c>
      <c r="E420" s="135">
        <v>44440</v>
      </c>
      <c r="F420" s="135">
        <v>45260</v>
      </c>
      <c r="G420" s="134">
        <v>0</v>
      </c>
      <c r="H420" s="134">
        <v>0</v>
      </c>
      <c r="I420" s="134">
        <v>0</v>
      </c>
      <c r="J420" s="134">
        <v>0</v>
      </c>
      <c r="K420" s="134">
        <v>1</v>
      </c>
      <c r="L420" s="134">
        <v>0</v>
      </c>
      <c r="M420" s="134"/>
      <c r="N420" s="123"/>
      <c r="O420" s="123"/>
      <c r="P420" s="123"/>
      <c r="Q420" s="123"/>
      <c r="R420" s="123"/>
      <c r="S420" s="123"/>
      <c r="T420" s="123"/>
      <c r="U420" s="123"/>
      <c r="V420" s="123"/>
    </row>
    <row r="421" spans="1:22" ht="15" customHeight="1" x14ac:dyDescent="0.25">
      <c r="A421" s="132">
        <v>56</v>
      </c>
      <c r="B421" s="132" t="s">
        <v>1675</v>
      </c>
      <c r="C421" s="132" t="s">
        <v>1678</v>
      </c>
      <c r="D421" s="133" t="s">
        <v>1679</v>
      </c>
      <c r="E421" s="135">
        <v>44440</v>
      </c>
      <c r="F421" s="135">
        <v>44957</v>
      </c>
      <c r="G421" s="134">
        <v>0</v>
      </c>
      <c r="H421" s="134">
        <v>0</v>
      </c>
      <c r="I421" s="134">
        <v>0</v>
      </c>
      <c r="J421" s="134">
        <v>0.5</v>
      </c>
      <c r="K421" s="134">
        <v>0.5</v>
      </c>
      <c r="L421" s="134">
        <v>0</v>
      </c>
      <c r="M421" s="134"/>
      <c r="N421" s="123"/>
      <c r="O421" s="123"/>
      <c r="P421" s="123"/>
      <c r="Q421" s="123"/>
      <c r="R421" s="123"/>
      <c r="S421" s="123"/>
      <c r="T421" s="123"/>
      <c r="U421" s="123"/>
      <c r="V421" s="123"/>
    </row>
    <row r="422" spans="1:22" ht="15" customHeight="1" x14ac:dyDescent="0.25">
      <c r="A422" s="132">
        <v>57</v>
      </c>
      <c r="B422" s="132" t="s">
        <v>1680</v>
      </c>
      <c r="C422" s="132" t="s">
        <v>1681</v>
      </c>
      <c r="D422" s="133" t="s">
        <v>1682</v>
      </c>
      <c r="E422" s="135">
        <v>44593</v>
      </c>
      <c r="F422" s="135">
        <v>45260</v>
      </c>
      <c r="G422" s="134">
        <v>0.30000001192092896</v>
      </c>
      <c r="H422" s="134">
        <v>0.34999999403953552</v>
      </c>
      <c r="I422" s="134">
        <v>0.34999999403953552</v>
      </c>
      <c r="J422" s="134">
        <v>0</v>
      </c>
      <c r="K422" s="134">
        <v>0</v>
      </c>
      <c r="L422" s="134">
        <v>0</v>
      </c>
      <c r="M422" s="134"/>
      <c r="N422" s="123"/>
      <c r="O422" s="123"/>
      <c r="P422" s="123"/>
      <c r="Q422" s="123"/>
      <c r="R422" s="123"/>
      <c r="S422" s="123"/>
      <c r="T422" s="123"/>
      <c r="U422" s="123"/>
      <c r="V422" s="123"/>
    </row>
    <row r="423" spans="1:22" ht="15" customHeight="1" x14ac:dyDescent="0.25">
      <c r="A423" s="132">
        <v>57</v>
      </c>
      <c r="B423" s="132" t="s">
        <v>1680</v>
      </c>
      <c r="C423" s="132" t="s">
        <v>1683</v>
      </c>
      <c r="D423" s="133" t="s">
        <v>1684</v>
      </c>
      <c r="E423" s="135">
        <v>44440</v>
      </c>
      <c r="F423" s="135">
        <v>44910</v>
      </c>
      <c r="G423" s="134">
        <v>0</v>
      </c>
      <c r="H423" s="134">
        <v>0</v>
      </c>
      <c r="I423" s="134">
        <v>0</v>
      </c>
      <c r="J423" s="134">
        <v>0</v>
      </c>
      <c r="K423" s="134">
        <v>1</v>
      </c>
      <c r="L423" s="134">
        <v>0</v>
      </c>
      <c r="M423" s="134"/>
      <c r="N423" s="123"/>
      <c r="O423" s="123"/>
      <c r="P423" s="123"/>
      <c r="Q423" s="123"/>
      <c r="R423" s="123"/>
      <c r="S423" s="123"/>
      <c r="T423" s="123"/>
      <c r="U423" s="123"/>
      <c r="V423" s="123"/>
    </row>
    <row r="424" spans="1:22" ht="15" customHeight="1" x14ac:dyDescent="0.25">
      <c r="A424" s="132">
        <v>57</v>
      </c>
      <c r="B424" s="132" t="s">
        <v>1685</v>
      </c>
      <c r="C424" s="132" t="s">
        <v>1686</v>
      </c>
      <c r="D424" s="133" t="s">
        <v>1687</v>
      </c>
      <c r="E424" s="135">
        <v>44440</v>
      </c>
      <c r="F424" s="135">
        <v>45381</v>
      </c>
      <c r="G424" s="134">
        <v>0.15000000596046448</v>
      </c>
      <c r="H424" s="134">
        <v>0</v>
      </c>
      <c r="I424" s="134">
        <v>0.34999999403953552</v>
      </c>
      <c r="J424" s="134">
        <v>0</v>
      </c>
      <c r="K424" s="134">
        <v>0.40000000596046448</v>
      </c>
      <c r="L424" s="134">
        <v>0.10000000149011612</v>
      </c>
      <c r="M424" s="134"/>
      <c r="N424" s="123"/>
      <c r="O424" s="123"/>
      <c r="P424" s="123"/>
      <c r="Q424" s="123"/>
      <c r="R424" s="123"/>
      <c r="S424" s="123"/>
      <c r="T424" s="123"/>
      <c r="U424" s="123"/>
      <c r="V424" s="123"/>
    </row>
    <row r="425" spans="1:22" ht="15" customHeight="1" x14ac:dyDescent="0.25">
      <c r="A425" s="132">
        <v>57</v>
      </c>
      <c r="B425" s="132" t="s">
        <v>1685</v>
      </c>
      <c r="C425" s="132" t="s">
        <v>1688</v>
      </c>
      <c r="D425" s="133" t="s">
        <v>1689</v>
      </c>
      <c r="E425" s="135">
        <v>44593</v>
      </c>
      <c r="F425" s="135">
        <v>45260</v>
      </c>
      <c r="G425" s="134">
        <v>0</v>
      </c>
      <c r="H425" s="134">
        <v>0</v>
      </c>
      <c r="I425" s="134">
        <v>0</v>
      </c>
      <c r="J425" s="134">
        <v>0</v>
      </c>
      <c r="K425" s="134">
        <v>1</v>
      </c>
      <c r="L425" s="134">
        <v>0</v>
      </c>
      <c r="M425" s="134"/>
      <c r="N425" s="123"/>
      <c r="O425" s="123"/>
      <c r="P425" s="123"/>
      <c r="Q425" s="123"/>
      <c r="R425" s="123"/>
      <c r="S425" s="123"/>
      <c r="T425" s="123"/>
      <c r="U425" s="123"/>
      <c r="V425" s="123"/>
    </row>
    <row r="426" spans="1:22" ht="15" customHeight="1" x14ac:dyDescent="0.25">
      <c r="A426" s="132">
        <v>58</v>
      </c>
      <c r="B426" s="132" t="s">
        <v>1690</v>
      </c>
      <c r="C426" s="132" t="s">
        <v>1691</v>
      </c>
      <c r="D426" s="133" t="s">
        <v>1692</v>
      </c>
      <c r="E426" s="135">
        <v>44440</v>
      </c>
      <c r="F426" s="135">
        <v>44835</v>
      </c>
      <c r="G426" s="134">
        <v>0.20000000298023224</v>
      </c>
      <c r="H426" s="134">
        <v>0.40000000596046448</v>
      </c>
      <c r="I426" s="134">
        <v>0.40000000596046448</v>
      </c>
      <c r="J426" s="134">
        <v>0</v>
      </c>
      <c r="K426" s="134">
        <v>0</v>
      </c>
      <c r="L426" s="134">
        <v>0</v>
      </c>
      <c r="M426" s="134"/>
      <c r="N426" s="123"/>
      <c r="O426" s="123"/>
      <c r="P426" s="123"/>
      <c r="Q426" s="123"/>
      <c r="R426" s="123"/>
      <c r="S426" s="123"/>
      <c r="T426" s="123"/>
      <c r="U426" s="123"/>
      <c r="V426" s="123"/>
    </row>
    <row r="427" spans="1:22" ht="15" customHeight="1" x14ac:dyDescent="0.25">
      <c r="A427" s="132">
        <v>58</v>
      </c>
      <c r="B427" s="132" t="s">
        <v>1690</v>
      </c>
      <c r="C427" s="132" t="s">
        <v>1693</v>
      </c>
      <c r="D427" s="133" t="s">
        <v>1694</v>
      </c>
      <c r="E427" s="135">
        <v>44440</v>
      </c>
      <c r="F427" s="135">
        <v>44835</v>
      </c>
      <c r="G427" s="134">
        <v>0.46000000834465027</v>
      </c>
      <c r="H427" s="134">
        <v>0.27000001072883606</v>
      </c>
      <c r="I427" s="134">
        <v>0.27000001072883606</v>
      </c>
      <c r="J427" s="134">
        <v>0</v>
      </c>
      <c r="K427" s="134">
        <v>0</v>
      </c>
      <c r="L427" s="134">
        <v>0</v>
      </c>
      <c r="M427" s="134"/>
      <c r="N427" s="123"/>
      <c r="O427" s="123"/>
      <c r="P427" s="123"/>
      <c r="Q427" s="123"/>
      <c r="R427" s="123"/>
      <c r="S427" s="123"/>
      <c r="T427" s="123"/>
      <c r="U427" s="123"/>
      <c r="V427" s="123"/>
    </row>
    <row r="428" spans="1:22" ht="15" customHeight="1" x14ac:dyDescent="0.25">
      <c r="A428" s="132">
        <v>58</v>
      </c>
      <c r="B428" s="132" t="s">
        <v>1695</v>
      </c>
      <c r="C428" s="132" t="s">
        <v>1696</v>
      </c>
      <c r="D428" s="133" t="s">
        <v>1697</v>
      </c>
      <c r="E428" s="135">
        <v>44440</v>
      </c>
      <c r="F428" s="135">
        <v>44835</v>
      </c>
      <c r="G428" s="134">
        <v>0.41999998688697815</v>
      </c>
      <c r="H428" s="134">
        <v>0.28999999165534973</v>
      </c>
      <c r="I428" s="134">
        <v>0.28999999165534973</v>
      </c>
      <c r="J428" s="134">
        <v>0</v>
      </c>
      <c r="K428" s="134">
        <v>0</v>
      </c>
      <c r="L428" s="134">
        <v>0</v>
      </c>
      <c r="M428" s="134"/>
      <c r="N428" s="123"/>
      <c r="O428" s="123"/>
      <c r="P428" s="123"/>
      <c r="Q428" s="123"/>
      <c r="R428" s="123"/>
      <c r="S428" s="123"/>
      <c r="T428" s="123"/>
      <c r="U428" s="123"/>
      <c r="V428" s="123"/>
    </row>
    <row r="429" spans="1:22" ht="15" customHeight="1" x14ac:dyDescent="0.25">
      <c r="A429" s="132">
        <v>58</v>
      </c>
      <c r="B429" s="132" t="s">
        <v>1695</v>
      </c>
      <c r="C429" s="132" t="s">
        <v>1698</v>
      </c>
      <c r="D429" s="133" t="s">
        <v>1699</v>
      </c>
      <c r="E429" s="135">
        <v>44440</v>
      </c>
      <c r="F429" s="135">
        <v>44835</v>
      </c>
      <c r="G429" s="134">
        <v>0.2800000011920929</v>
      </c>
      <c r="H429" s="134">
        <v>0.36000001430511475</v>
      </c>
      <c r="I429" s="134">
        <v>0.36000001430511475</v>
      </c>
      <c r="J429" s="134">
        <v>0</v>
      </c>
      <c r="K429" s="134">
        <v>0</v>
      </c>
      <c r="L429" s="134">
        <v>0</v>
      </c>
      <c r="M429" s="134"/>
      <c r="N429" s="123"/>
      <c r="O429" s="123"/>
      <c r="P429" s="123"/>
      <c r="Q429" s="123"/>
      <c r="R429" s="123"/>
      <c r="S429" s="123"/>
      <c r="T429" s="123"/>
      <c r="U429" s="123"/>
      <c r="V429" s="123"/>
    </row>
    <row r="430" spans="1:22" ht="15" customHeight="1" x14ac:dyDescent="0.25">
      <c r="A430" s="132">
        <v>59</v>
      </c>
      <c r="B430" s="132" t="s">
        <v>1700</v>
      </c>
      <c r="C430" s="132" t="s">
        <v>1701</v>
      </c>
      <c r="D430" s="133" t="s">
        <v>1702</v>
      </c>
      <c r="E430" s="135">
        <v>44440</v>
      </c>
      <c r="F430" s="135">
        <v>45382</v>
      </c>
      <c r="G430" s="134">
        <v>5.000000074505806E-2</v>
      </c>
      <c r="H430" s="134">
        <v>0.20000000298023224</v>
      </c>
      <c r="I430" s="134">
        <v>0.20000000298023224</v>
      </c>
      <c r="J430" s="134">
        <v>0.20000000298023224</v>
      </c>
      <c r="K430" s="134">
        <v>0.20000000298023224</v>
      </c>
      <c r="L430" s="134">
        <v>0.15000000596046448</v>
      </c>
      <c r="M430" s="134"/>
      <c r="N430" s="123"/>
      <c r="O430" s="123"/>
      <c r="P430" s="123"/>
      <c r="Q430" s="123"/>
      <c r="R430" s="123"/>
      <c r="S430" s="123"/>
      <c r="T430" s="123"/>
      <c r="U430" s="123"/>
      <c r="V430" s="123"/>
    </row>
    <row r="431" spans="1:22" ht="15" customHeight="1" x14ac:dyDescent="0.25">
      <c r="A431" s="132">
        <v>59</v>
      </c>
      <c r="B431" s="132" t="s">
        <v>1700</v>
      </c>
      <c r="C431" s="132" t="s">
        <v>1703</v>
      </c>
      <c r="D431" s="133" t="s">
        <v>1704</v>
      </c>
      <c r="E431" s="135">
        <v>44440</v>
      </c>
      <c r="F431" s="135">
        <v>45382</v>
      </c>
      <c r="G431" s="134">
        <v>0</v>
      </c>
      <c r="H431" s="134">
        <v>0.25</v>
      </c>
      <c r="I431" s="134">
        <v>0.25</v>
      </c>
      <c r="J431" s="134">
        <v>0.25</v>
      </c>
      <c r="K431" s="134">
        <v>0.25</v>
      </c>
      <c r="L431" s="134">
        <v>0</v>
      </c>
      <c r="M431" s="134"/>
      <c r="N431" s="123"/>
      <c r="O431" s="123"/>
      <c r="P431" s="123"/>
      <c r="Q431" s="123"/>
      <c r="R431" s="123"/>
      <c r="S431" s="123"/>
      <c r="T431" s="123"/>
      <c r="U431" s="123"/>
      <c r="V431" s="123"/>
    </row>
    <row r="432" spans="1:22" ht="15" customHeight="1" x14ac:dyDescent="0.25">
      <c r="A432" s="132">
        <v>59</v>
      </c>
      <c r="B432" s="132" t="s">
        <v>1700</v>
      </c>
      <c r="C432" s="132" t="s">
        <v>1705</v>
      </c>
      <c r="D432" s="133" t="s">
        <v>1706</v>
      </c>
      <c r="E432" s="135">
        <v>44440</v>
      </c>
      <c r="F432" s="135">
        <v>45382</v>
      </c>
      <c r="G432" s="134">
        <v>0</v>
      </c>
      <c r="H432" s="134">
        <v>0.10000000149011612</v>
      </c>
      <c r="I432" s="134">
        <v>0.20000000298023224</v>
      </c>
      <c r="J432" s="134">
        <v>0.30000001192092896</v>
      </c>
      <c r="K432" s="134">
        <v>0.30000001192092896</v>
      </c>
      <c r="L432" s="134">
        <v>0.10000000149011612</v>
      </c>
      <c r="M432" s="134"/>
      <c r="N432" s="123"/>
      <c r="O432" s="123"/>
      <c r="P432" s="123"/>
      <c r="Q432" s="123"/>
      <c r="R432" s="123"/>
      <c r="S432" s="123"/>
      <c r="T432" s="123"/>
      <c r="U432" s="123"/>
      <c r="V432" s="123"/>
    </row>
    <row r="433" spans="1:22" ht="15" customHeight="1" x14ac:dyDescent="0.25">
      <c r="A433" s="132">
        <v>59</v>
      </c>
      <c r="B433" s="132" t="s">
        <v>1707</v>
      </c>
      <c r="C433" s="132" t="s">
        <v>1708</v>
      </c>
      <c r="D433" s="133" t="s">
        <v>1709</v>
      </c>
      <c r="E433" s="135">
        <v>44440</v>
      </c>
      <c r="F433" s="135">
        <v>45382</v>
      </c>
      <c r="G433" s="134">
        <v>0</v>
      </c>
      <c r="H433" s="134">
        <v>0.20000000298023224</v>
      </c>
      <c r="I433" s="134">
        <v>0.20000000298023224</v>
      </c>
      <c r="J433" s="134">
        <v>0.20000000298023224</v>
      </c>
      <c r="K433" s="134">
        <v>0.20000000298023224</v>
      </c>
      <c r="L433" s="134">
        <v>0.20000000298023224</v>
      </c>
      <c r="M433" s="134"/>
      <c r="N433" s="123"/>
      <c r="O433" s="123"/>
      <c r="P433" s="123"/>
      <c r="Q433" s="123"/>
      <c r="R433" s="123"/>
      <c r="S433" s="123"/>
      <c r="T433" s="123"/>
      <c r="U433" s="123"/>
      <c r="V433" s="123"/>
    </row>
    <row r="434" spans="1:22" ht="15" customHeight="1" x14ac:dyDescent="0.25">
      <c r="A434" s="132">
        <v>59</v>
      </c>
      <c r="B434" s="132" t="s">
        <v>1707</v>
      </c>
      <c r="C434" s="132" t="s">
        <v>1710</v>
      </c>
      <c r="D434" s="133" t="s">
        <v>1711</v>
      </c>
      <c r="E434" s="135">
        <v>44440</v>
      </c>
      <c r="F434" s="135">
        <v>45382</v>
      </c>
      <c r="G434" s="134">
        <v>5.000000074505806E-2</v>
      </c>
      <c r="H434" s="134">
        <v>0.20000000298023224</v>
      </c>
      <c r="I434" s="134">
        <v>0.20000000298023224</v>
      </c>
      <c r="J434" s="134">
        <v>0.20000000298023224</v>
      </c>
      <c r="K434" s="134">
        <v>0.20000000298023224</v>
      </c>
      <c r="L434" s="134">
        <v>0.15000000596046448</v>
      </c>
      <c r="M434" s="134"/>
      <c r="N434" s="123"/>
      <c r="O434" s="123"/>
      <c r="P434" s="123"/>
      <c r="Q434" s="123"/>
      <c r="R434" s="123"/>
      <c r="S434" s="123"/>
      <c r="T434" s="123"/>
      <c r="U434" s="123"/>
      <c r="V434" s="123"/>
    </row>
    <row r="435" spans="1:22" ht="15" customHeight="1" x14ac:dyDescent="0.25">
      <c r="A435" s="132">
        <v>60</v>
      </c>
      <c r="B435" s="132" t="s">
        <v>1712</v>
      </c>
      <c r="C435" s="132" t="s">
        <v>1713</v>
      </c>
      <c r="D435" s="133" t="s">
        <v>1714</v>
      </c>
      <c r="E435" s="135">
        <v>44470</v>
      </c>
      <c r="F435" s="135">
        <v>45382</v>
      </c>
      <c r="G435" s="134">
        <v>5.000000074505806E-2</v>
      </c>
      <c r="H435" s="134">
        <v>0.20000000298023224</v>
      </c>
      <c r="I435" s="134">
        <v>0.20000000298023224</v>
      </c>
      <c r="J435" s="134">
        <v>0.20000000298023224</v>
      </c>
      <c r="K435" s="134">
        <v>0.20000000298023224</v>
      </c>
      <c r="L435" s="134">
        <v>0.15000000596046448</v>
      </c>
      <c r="M435" s="134"/>
      <c r="N435" s="123"/>
      <c r="O435" s="123"/>
      <c r="P435" s="123"/>
      <c r="Q435" s="123"/>
      <c r="R435" s="123"/>
      <c r="S435" s="123"/>
      <c r="T435" s="123"/>
      <c r="U435" s="123"/>
      <c r="V435" s="123"/>
    </row>
    <row r="436" spans="1:22" ht="15" customHeight="1" x14ac:dyDescent="0.25">
      <c r="A436" s="132">
        <v>60</v>
      </c>
      <c r="B436" s="132" t="s">
        <v>1715</v>
      </c>
      <c r="C436" s="132" t="s">
        <v>1716</v>
      </c>
      <c r="D436" s="133" t="s">
        <v>1717</v>
      </c>
      <c r="E436" s="135">
        <v>44594</v>
      </c>
      <c r="F436" s="135">
        <v>45382</v>
      </c>
      <c r="G436" s="134">
        <v>0</v>
      </c>
      <c r="H436" s="134">
        <v>0.30000001192092896</v>
      </c>
      <c r="I436" s="134">
        <v>0.30000001192092896</v>
      </c>
      <c r="J436" s="134">
        <v>0.30000001192092896</v>
      </c>
      <c r="K436" s="134">
        <v>0.10000000149011612</v>
      </c>
      <c r="L436" s="134">
        <v>0</v>
      </c>
      <c r="M436" s="134"/>
      <c r="N436" s="123"/>
      <c r="O436" s="123"/>
      <c r="P436" s="123"/>
      <c r="Q436" s="123"/>
      <c r="R436" s="123"/>
      <c r="S436" s="123"/>
      <c r="T436" s="123"/>
      <c r="U436" s="123"/>
      <c r="V436" s="123"/>
    </row>
    <row r="437" spans="1:22" ht="15" customHeight="1" x14ac:dyDescent="0.25">
      <c r="A437" s="132">
        <v>60</v>
      </c>
      <c r="B437" s="132" t="s">
        <v>1718</v>
      </c>
      <c r="C437" s="132" t="s">
        <v>1719</v>
      </c>
      <c r="D437" s="133" t="s">
        <v>1720</v>
      </c>
      <c r="E437" s="135">
        <v>44470</v>
      </c>
      <c r="F437" s="135">
        <v>45382</v>
      </c>
      <c r="G437" s="134">
        <v>0.10000000149011612</v>
      </c>
      <c r="H437" s="134">
        <v>0.20000000298023224</v>
      </c>
      <c r="I437" s="134">
        <v>0.20000000298023224</v>
      </c>
      <c r="J437" s="134">
        <v>0.20000000298023224</v>
      </c>
      <c r="K437" s="134">
        <v>0.20000000298023224</v>
      </c>
      <c r="L437" s="134">
        <v>0.10000000149011612</v>
      </c>
      <c r="M437" s="134"/>
      <c r="N437" s="123"/>
      <c r="O437" s="123"/>
      <c r="P437" s="123"/>
      <c r="Q437" s="123"/>
      <c r="R437" s="123"/>
      <c r="S437" s="123"/>
      <c r="T437" s="123"/>
      <c r="U437" s="123"/>
      <c r="V437" s="123"/>
    </row>
    <row r="438" spans="1:22" ht="15" customHeight="1" x14ac:dyDescent="0.25">
      <c r="A438" s="132">
        <v>60</v>
      </c>
      <c r="B438" s="132" t="s">
        <v>1718</v>
      </c>
      <c r="C438" s="132" t="s">
        <v>1721</v>
      </c>
      <c r="D438" s="133" t="s">
        <v>1722</v>
      </c>
      <c r="E438" s="135">
        <v>44470</v>
      </c>
      <c r="F438" s="135">
        <v>45382</v>
      </c>
      <c r="G438" s="134">
        <v>0.10000000149011612</v>
      </c>
      <c r="H438" s="134">
        <v>0.20000000298023224</v>
      </c>
      <c r="I438" s="134">
        <v>0.20000000298023224</v>
      </c>
      <c r="J438" s="134">
        <v>0.20000000298023224</v>
      </c>
      <c r="K438" s="134">
        <v>0.20000000298023224</v>
      </c>
      <c r="L438" s="134">
        <v>0.10000000149011612</v>
      </c>
      <c r="M438" s="134"/>
      <c r="N438" s="123"/>
      <c r="O438" s="123"/>
      <c r="P438" s="123"/>
      <c r="Q438" s="123"/>
      <c r="R438" s="123"/>
      <c r="S438" s="123"/>
      <c r="T438" s="123"/>
      <c r="U438" s="123"/>
      <c r="V438" s="123"/>
    </row>
    <row r="439" spans="1:22" ht="15" customHeight="1" x14ac:dyDescent="0.25">
      <c r="A439" s="132">
        <v>60</v>
      </c>
      <c r="B439" s="132" t="s">
        <v>1718</v>
      </c>
      <c r="C439" s="132" t="s">
        <v>1723</v>
      </c>
      <c r="D439" s="133" t="s">
        <v>1724</v>
      </c>
      <c r="E439" s="135">
        <v>44470</v>
      </c>
      <c r="F439" s="135">
        <v>45382</v>
      </c>
      <c r="G439" s="134">
        <v>0</v>
      </c>
      <c r="H439" s="134">
        <v>0.5</v>
      </c>
      <c r="I439" s="134">
        <v>0.5</v>
      </c>
      <c r="J439" s="134">
        <v>0</v>
      </c>
      <c r="K439" s="134">
        <v>0</v>
      </c>
      <c r="L439" s="134">
        <v>0</v>
      </c>
      <c r="M439" s="134"/>
      <c r="N439" s="123"/>
      <c r="O439" s="123"/>
      <c r="P439" s="123"/>
      <c r="Q439" s="123"/>
      <c r="R439" s="123"/>
      <c r="S439" s="123"/>
      <c r="T439" s="123"/>
      <c r="U439" s="123"/>
      <c r="V439" s="123"/>
    </row>
    <row r="440" spans="1:22" ht="15" customHeight="1" x14ac:dyDescent="0.25">
      <c r="A440" s="132">
        <v>61</v>
      </c>
      <c r="B440" s="132" t="s">
        <v>1725</v>
      </c>
      <c r="C440" s="132" t="s">
        <v>1726</v>
      </c>
      <c r="D440" s="133" t="s">
        <v>1727</v>
      </c>
      <c r="E440" s="135">
        <v>44409</v>
      </c>
      <c r="F440" s="135">
        <v>45366</v>
      </c>
      <c r="G440" s="134">
        <v>3.9999999105930328E-2</v>
      </c>
      <c r="H440" s="134">
        <v>0.23000000417232513</v>
      </c>
      <c r="I440" s="134">
        <v>0.23000000417232513</v>
      </c>
      <c r="J440" s="134">
        <v>0.25</v>
      </c>
      <c r="K440" s="134">
        <v>0.25</v>
      </c>
      <c r="L440" s="134">
        <v>0</v>
      </c>
      <c r="M440" s="134"/>
      <c r="N440" s="123"/>
      <c r="O440" s="123"/>
      <c r="P440" s="123"/>
      <c r="Q440" s="123"/>
      <c r="R440" s="123"/>
      <c r="S440" s="123"/>
      <c r="T440" s="123"/>
      <c r="U440" s="123"/>
      <c r="V440" s="123"/>
    </row>
    <row r="441" spans="1:22" ht="15" customHeight="1" x14ac:dyDescent="0.25">
      <c r="A441" s="132">
        <v>61</v>
      </c>
      <c r="B441" s="132" t="s">
        <v>1725</v>
      </c>
      <c r="C441" s="132" t="s">
        <v>1728</v>
      </c>
      <c r="D441" s="133" t="s">
        <v>1729</v>
      </c>
      <c r="E441" s="135">
        <v>44470</v>
      </c>
      <c r="F441" s="135">
        <v>45291</v>
      </c>
      <c r="G441" s="134">
        <v>7.9999998211860657E-2</v>
      </c>
      <c r="H441" s="134">
        <v>0.20999999344348907</v>
      </c>
      <c r="I441" s="134">
        <v>0.20999999344348907</v>
      </c>
      <c r="J441" s="134">
        <v>0.25</v>
      </c>
      <c r="K441" s="134">
        <v>0.25</v>
      </c>
      <c r="L441" s="134">
        <v>0</v>
      </c>
      <c r="M441" s="134"/>
      <c r="N441" s="123"/>
      <c r="O441" s="123"/>
      <c r="P441" s="123"/>
      <c r="Q441" s="123"/>
      <c r="R441" s="123"/>
      <c r="S441" s="123"/>
      <c r="T441" s="123"/>
      <c r="U441" s="123"/>
      <c r="V441" s="123"/>
    </row>
    <row r="442" spans="1:22" ht="15" customHeight="1" x14ac:dyDescent="0.25">
      <c r="A442" s="132">
        <v>61</v>
      </c>
      <c r="B442" s="132" t="s">
        <v>1725</v>
      </c>
      <c r="C442" s="132" t="s">
        <v>1730</v>
      </c>
      <c r="D442" s="133" t="s">
        <v>1731</v>
      </c>
      <c r="E442" s="135">
        <v>44515</v>
      </c>
      <c r="F442" s="135">
        <v>45366</v>
      </c>
      <c r="G442" s="134">
        <v>1.9999999552965164E-2</v>
      </c>
      <c r="H442" s="134">
        <v>0.17000000178813934</v>
      </c>
      <c r="I442" s="134">
        <v>0.25999999046325684</v>
      </c>
      <c r="J442" s="134">
        <v>0.25</v>
      </c>
      <c r="K442" s="134">
        <v>0.30000001192092896</v>
      </c>
      <c r="L442" s="134">
        <v>0</v>
      </c>
      <c r="M442" s="134"/>
      <c r="N442" s="123"/>
      <c r="O442" s="123"/>
      <c r="P442" s="123"/>
      <c r="Q442" s="123"/>
      <c r="R442" s="123"/>
      <c r="S442" s="123"/>
      <c r="T442" s="123"/>
      <c r="U442" s="123"/>
      <c r="V442" s="123"/>
    </row>
    <row r="443" spans="1:22" ht="15" customHeight="1" x14ac:dyDescent="0.25">
      <c r="A443" s="132">
        <v>61</v>
      </c>
      <c r="B443" s="132" t="s">
        <v>1732</v>
      </c>
      <c r="C443" s="132" t="s">
        <v>1733</v>
      </c>
      <c r="D443" s="133" t="s">
        <v>1734</v>
      </c>
      <c r="E443" s="135">
        <v>44593</v>
      </c>
      <c r="F443" s="135">
        <v>45016</v>
      </c>
      <c r="G443" s="134">
        <v>0</v>
      </c>
      <c r="H443" s="134">
        <v>0.44999998807907104</v>
      </c>
      <c r="I443" s="134">
        <v>0.44999998807907104</v>
      </c>
      <c r="J443" s="134">
        <v>0.10000000149011612</v>
      </c>
      <c r="K443" s="134">
        <v>0</v>
      </c>
      <c r="L443" s="134">
        <v>0</v>
      </c>
      <c r="M443" s="134"/>
      <c r="N443" s="123"/>
      <c r="O443" s="123"/>
      <c r="P443" s="123"/>
      <c r="Q443" s="123"/>
      <c r="R443" s="123"/>
      <c r="S443" s="123"/>
      <c r="T443" s="123"/>
      <c r="U443" s="123"/>
      <c r="V443" s="123"/>
    </row>
    <row r="444" spans="1:22" ht="15" customHeight="1" x14ac:dyDescent="0.25">
      <c r="A444" s="132">
        <v>61</v>
      </c>
      <c r="B444" s="132" t="s">
        <v>1732</v>
      </c>
      <c r="C444" s="132" t="s">
        <v>1735</v>
      </c>
      <c r="D444" s="133" t="s">
        <v>1736</v>
      </c>
      <c r="E444" s="135">
        <v>44409</v>
      </c>
      <c r="F444" s="135">
        <v>45261</v>
      </c>
      <c r="G444" s="134">
        <v>3.9999999105930328E-2</v>
      </c>
      <c r="H444" s="134">
        <v>0.23999999463558197</v>
      </c>
      <c r="I444" s="134">
        <v>0.23999999463558197</v>
      </c>
      <c r="J444" s="134">
        <v>0.23999999463558197</v>
      </c>
      <c r="K444" s="134">
        <v>0.23999999463558197</v>
      </c>
      <c r="L444" s="134">
        <v>0</v>
      </c>
      <c r="M444" s="134"/>
      <c r="N444" s="123"/>
      <c r="O444" s="123"/>
      <c r="P444" s="123"/>
      <c r="Q444" s="123"/>
      <c r="R444" s="123"/>
      <c r="S444" s="123"/>
      <c r="T444" s="123"/>
      <c r="U444" s="123"/>
      <c r="V444" s="123"/>
    </row>
    <row r="445" spans="1:22" ht="15" customHeight="1" x14ac:dyDescent="0.25">
      <c r="A445" s="132">
        <v>61</v>
      </c>
      <c r="B445" s="132" t="s">
        <v>1732</v>
      </c>
      <c r="C445" s="132" t="s">
        <v>1737</v>
      </c>
      <c r="D445" s="133" t="s">
        <v>1738</v>
      </c>
      <c r="E445" s="135">
        <v>44409</v>
      </c>
      <c r="F445" s="135">
        <v>45352</v>
      </c>
      <c r="G445" s="134">
        <v>3.9999999105930328E-2</v>
      </c>
      <c r="H445" s="134">
        <v>0.23999999463558197</v>
      </c>
      <c r="I445" s="134">
        <v>0.23999999463558197</v>
      </c>
      <c r="J445" s="134">
        <v>0.23999999463558197</v>
      </c>
      <c r="K445" s="134">
        <v>0.23999999463558197</v>
      </c>
      <c r="L445" s="134">
        <v>0</v>
      </c>
      <c r="M445" s="134"/>
      <c r="N445" s="123"/>
      <c r="O445" s="123"/>
      <c r="P445" s="123"/>
      <c r="Q445" s="123"/>
      <c r="R445" s="123"/>
      <c r="S445" s="123"/>
      <c r="T445" s="123"/>
      <c r="U445" s="123"/>
      <c r="V445" s="123"/>
    </row>
    <row r="446" spans="1:22" ht="15" customHeight="1" x14ac:dyDescent="0.25">
      <c r="A446" s="132">
        <v>61</v>
      </c>
      <c r="B446" s="132" t="s">
        <v>1732</v>
      </c>
      <c r="C446" s="132" t="s">
        <v>1739</v>
      </c>
      <c r="D446" s="133" t="s">
        <v>1740</v>
      </c>
      <c r="E446" s="135">
        <v>44576</v>
      </c>
      <c r="F446" s="135">
        <v>45352</v>
      </c>
      <c r="G446" s="134">
        <v>0</v>
      </c>
      <c r="H446" s="134">
        <v>0.20000000298023224</v>
      </c>
      <c r="I446" s="134">
        <v>0.20000000298023224</v>
      </c>
      <c r="J446" s="134">
        <v>0.25</v>
      </c>
      <c r="K446" s="134">
        <v>0.25</v>
      </c>
      <c r="L446" s="134">
        <v>0.10000000149011612</v>
      </c>
      <c r="M446" s="134"/>
      <c r="N446" s="123"/>
      <c r="O446" s="123"/>
      <c r="P446" s="123"/>
      <c r="Q446" s="123"/>
      <c r="R446" s="123"/>
      <c r="S446" s="123"/>
      <c r="T446" s="123"/>
      <c r="U446" s="123"/>
      <c r="V446" s="123"/>
    </row>
    <row r="447" spans="1:22" ht="15" customHeight="1" x14ac:dyDescent="0.25">
      <c r="A447" s="132">
        <v>61</v>
      </c>
      <c r="B447" s="132" t="s">
        <v>1732</v>
      </c>
      <c r="C447" s="132" t="s">
        <v>1741</v>
      </c>
      <c r="D447" s="133" t="s">
        <v>1742</v>
      </c>
      <c r="E447" s="135">
        <v>44576</v>
      </c>
      <c r="F447" s="135">
        <v>45352</v>
      </c>
      <c r="G447" s="134">
        <v>0</v>
      </c>
      <c r="H447" s="134">
        <v>0.25</v>
      </c>
      <c r="I447" s="134">
        <v>0.25</v>
      </c>
      <c r="J447" s="134">
        <v>0.25</v>
      </c>
      <c r="K447" s="134">
        <v>0.25</v>
      </c>
      <c r="L447" s="134">
        <v>0</v>
      </c>
      <c r="M447" s="134"/>
      <c r="N447" s="123"/>
      <c r="O447" s="123"/>
      <c r="P447" s="123"/>
      <c r="Q447" s="123"/>
      <c r="R447" s="123"/>
      <c r="S447" s="123"/>
      <c r="T447" s="123"/>
      <c r="U447" s="123"/>
      <c r="V447" s="123"/>
    </row>
    <row r="448" spans="1:22" ht="15" customHeight="1" x14ac:dyDescent="0.25">
      <c r="A448" s="132">
        <v>61</v>
      </c>
      <c r="B448" s="132" t="s">
        <v>1732</v>
      </c>
      <c r="C448" s="132" t="s">
        <v>1743</v>
      </c>
      <c r="D448" s="133" t="s">
        <v>1744</v>
      </c>
      <c r="E448" s="135">
        <v>44593</v>
      </c>
      <c r="F448" s="135">
        <v>45261</v>
      </c>
      <c r="G448" s="134">
        <v>0</v>
      </c>
      <c r="H448" s="134">
        <v>0.20370370149612427</v>
      </c>
      <c r="I448" s="134">
        <v>0.20370370149612427</v>
      </c>
      <c r="J448" s="134">
        <v>0.25925925374031067</v>
      </c>
      <c r="K448" s="134">
        <v>0.25925925374031067</v>
      </c>
      <c r="L448" s="134">
        <v>7.4074074625968933E-2</v>
      </c>
      <c r="M448" s="134"/>
      <c r="N448" s="123"/>
      <c r="O448" s="123"/>
      <c r="P448" s="123"/>
      <c r="Q448" s="123"/>
      <c r="R448" s="123"/>
      <c r="S448" s="123"/>
      <c r="T448" s="123"/>
      <c r="U448" s="123"/>
      <c r="V448" s="123"/>
    </row>
    <row r="449" spans="1:22" ht="15" customHeight="1" x14ac:dyDescent="0.25">
      <c r="A449" s="132">
        <v>61</v>
      </c>
      <c r="B449" s="132" t="s">
        <v>1745</v>
      </c>
      <c r="C449" s="132" t="s">
        <v>1746</v>
      </c>
      <c r="D449" s="133" t="s">
        <v>1747</v>
      </c>
      <c r="E449" s="135">
        <v>44470</v>
      </c>
      <c r="F449" s="135">
        <v>45352</v>
      </c>
      <c r="G449" s="134">
        <v>2.9999999329447746E-2</v>
      </c>
      <c r="H449" s="134">
        <v>0.23999999463558197</v>
      </c>
      <c r="I449" s="134">
        <v>0.20999999344348907</v>
      </c>
      <c r="J449" s="134">
        <v>0.20999999344348907</v>
      </c>
      <c r="K449" s="134">
        <v>0.20999999344348907</v>
      </c>
      <c r="L449" s="134">
        <v>0.10000000149011612</v>
      </c>
      <c r="M449" s="134"/>
      <c r="N449" s="123"/>
      <c r="O449" s="123"/>
      <c r="P449" s="123"/>
      <c r="Q449" s="123"/>
      <c r="R449" s="123"/>
      <c r="S449" s="123"/>
      <c r="T449" s="123"/>
      <c r="U449" s="123"/>
      <c r="V449" s="123"/>
    </row>
    <row r="450" spans="1:22" ht="15" customHeight="1" x14ac:dyDescent="0.25">
      <c r="A450" s="132">
        <v>61</v>
      </c>
      <c r="B450" s="132" t="s">
        <v>1745</v>
      </c>
      <c r="C450" s="132" t="s">
        <v>1748</v>
      </c>
      <c r="D450" s="133" t="s">
        <v>1749</v>
      </c>
      <c r="E450" s="135">
        <v>44470</v>
      </c>
      <c r="F450" s="135">
        <v>45352</v>
      </c>
      <c r="G450" s="134">
        <v>2.9999999329447746E-2</v>
      </c>
      <c r="H450" s="134">
        <v>0.47999998927116394</v>
      </c>
      <c r="I450" s="134">
        <v>0.15000000596046448</v>
      </c>
      <c r="J450" s="134">
        <v>0.20000000298023224</v>
      </c>
      <c r="K450" s="134">
        <v>0.10000000149011612</v>
      </c>
      <c r="L450" s="134">
        <v>3.9999999105930328E-2</v>
      </c>
      <c r="M450" s="134"/>
      <c r="N450" s="123"/>
      <c r="O450" s="123"/>
      <c r="P450" s="123"/>
      <c r="Q450" s="123"/>
      <c r="R450" s="123"/>
      <c r="S450" s="123"/>
      <c r="T450" s="123"/>
      <c r="U450" s="123"/>
      <c r="V450" s="123"/>
    </row>
    <row r="451" spans="1:22" ht="15" customHeight="1" x14ac:dyDescent="0.25">
      <c r="A451" s="132">
        <v>61</v>
      </c>
      <c r="B451" s="132" t="s">
        <v>1750</v>
      </c>
      <c r="C451" s="132" t="s">
        <v>1751</v>
      </c>
      <c r="D451" s="133" t="s">
        <v>1752</v>
      </c>
      <c r="E451" s="135">
        <v>44593</v>
      </c>
      <c r="F451" s="135">
        <v>45382</v>
      </c>
      <c r="G451" s="134">
        <v>7.9999998211860657E-2</v>
      </c>
      <c r="H451" s="134">
        <v>0.4699999988079071</v>
      </c>
      <c r="I451" s="134">
        <v>0.15999999642372131</v>
      </c>
      <c r="J451" s="134">
        <v>0.11999999731779099</v>
      </c>
      <c r="K451" s="134">
        <v>0.11999999731779099</v>
      </c>
      <c r="L451" s="134">
        <v>5.000000074505806E-2</v>
      </c>
      <c r="M451" s="134"/>
      <c r="N451" s="123"/>
      <c r="O451" s="123"/>
      <c r="P451" s="123"/>
      <c r="Q451" s="123"/>
      <c r="R451" s="123"/>
      <c r="S451" s="123"/>
      <c r="T451" s="123"/>
      <c r="U451" s="123"/>
      <c r="V451" s="123"/>
    </row>
    <row r="452" spans="1:22" ht="15" customHeight="1" x14ac:dyDescent="0.25">
      <c r="A452" s="132">
        <v>61</v>
      </c>
      <c r="B452" s="132" t="s">
        <v>1750</v>
      </c>
      <c r="C452" s="132" t="s">
        <v>1753</v>
      </c>
      <c r="D452" s="133" t="s">
        <v>1754</v>
      </c>
      <c r="E452" s="135">
        <v>44593</v>
      </c>
      <c r="F452" s="135">
        <v>45382</v>
      </c>
      <c r="G452" s="134">
        <v>0</v>
      </c>
      <c r="H452" s="134">
        <v>0.25</v>
      </c>
      <c r="I452" s="134">
        <v>0.25</v>
      </c>
      <c r="J452" s="134">
        <v>0.25</v>
      </c>
      <c r="K452" s="134">
        <v>0.25</v>
      </c>
      <c r="L452" s="134">
        <v>0</v>
      </c>
      <c r="M452" s="134"/>
      <c r="N452" s="123"/>
      <c r="O452" s="123"/>
      <c r="P452" s="123"/>
      <c r="Q452" s="123"/>
      <c r="R452" s="123"/>
      <c r="S452" s="123"/>
      <c r="T452" s="123"/>
      <c r="U452" s="123"/>
      <c r="V452" s="123"/>
    </row>
    <row r="453" spans="1:22" ht="15" customHeight="1" x14ac:dyDescent="0.25">
      <c r="A453" s="132">
        <v>62</v>
      </c>
      <c r="B453" s="132" t="s">
        <v>1755</v>
      </c>
      <c r="C453" s="132" t="s">
        <v>1756</v>
      </c>
      <c r="D453" s="133" t="s">
        <v>1757</v>
      </c>
      <c r="E453" s="135">
        <v>44571</v>
      </c>
      <c r="F453" s="135">
        <v>44661</v>
      </c>
      <c r="G453" s="134">
        <v>0</v>
      </c>
      <c r="H453" s="134">
        <v>1</v>
      </c>
      <c r="I453" s="134">
        <v>0</v>
      </c>
      <c r="J453" s="134">
        <v>0</v>
      </c>
      <c r="K453" s="134">
        <v>0</v>
      </c>
      <c r="L453" s="134">
        <v>0</v>
      </c>
      <c r="M453" s="134"/>
      <c r="N453" s="123"/>
      <c r="O453" s="123"/>
      <c r="P453" s="123"/>
      <c r="Q453" s="123"/>
      <c r="R453" s="123"/>
      <c r="S453" s="123"/>
      <c r="T453" s="123"/>
      <c r="U453" s="123"/>
      <c r="V453" s="123"/>
    </row>
    <row r="454" spans="1:22" ht="15" customHeight="1" x14ac:dyDescent="0.25">
      <c r="A454" s="132">
        <v>62</v>
      </c>
      <c r="B454" s="132" t="s">
        <v>1755</v>
      </c>
      <c r="C454" s="132" t="s">
        <v>1758</v>
      </c>
      <c r="D454" s="133" t="s">
        <v>1759</v>
      </c>
      <c r="E454" s="135">
        <v>44630</v>
      </c>
      <c r="F454" s="135">
        <v>44813</v>
      </c>
      <c r="G454" s="134">
        <v>0</v>
      </c>
      <c r="H454" s="134">
        <v>0.20000000298023224</v>
      </c>
      <c r="I454" s="134">
        <v>0.80000001192092896</v>
      </c>
      <c r="J454" s="134">
        <v>0</v>
      </c>
      <c r="K454" s="134">
        <v>0</v>
      </c>
      <c r="L454" s="134">
        <v>0</v>
      </c>
      <c r="M454" s="134"/>
      <c r="N454" s="123"/>
      <c r="O454" s="123"/>
      <c r="P454" s="123"/>
      <c r="Q454" s="123"/>
      <c r="R454" s="123"/>
      <c r="S454" s="123"/>
      <c r="T454" s="123"/>
      <c r="U454" s="123"/>
      <c r="V454" s="123"/>
    </row>
    <row r="455" spans="1:22" ht="15" customHeight="1" x14ac:dyDescent="0.25">
      <c r="A455" s="132">
        <v>62</v>
      </c>
      <c r="B455" s="132" t="s">
        <v>1755</v>
      </c>
      <c r="C455" s="132" t="s">
        <v>1760</v>
      </c>
      <c r="D455" s="133" t="s">
        <v>1761</v>
      </c>
      <c r="E455" s="135">
        <v>44814</v>
      </c>
      <c r="F455" s="135">
        <v>45025</v>
      </c>
      <c r="G455" s="134">
        <v>0</v>
      </c>
      <c r="H455" s="134">
        <v>0</v>
      </c>
      <c r="I455" s="134">
        <v>0.30000001192092896</v>
      </c>
      <c r="J455" s="134">
        <v>0.69999998807907104</v>
      </c>
      <c r="K455" s="134">
        <v>0</v>
      </c>
      <c r="L455" s="134">
        <v>0</v>
      </c>
      <c r="M455" s="134"/>
      <c r="N455" s="123"/>
      <c r="O455" s="123"/>
      <c r="P455" s="123"/>
      <c r="Q455" s="123"/>
      <c r="R455" s="123"/>
      <c r="S455" s="123"/>
      <c r="T455" s="123"/>
      <c r="U455" s="123"/>
      <c r="V455" s="123"/>
    </row>
    <row r="456" spans="1:22" ht="15" customHeight="1" x14ac:dyDescent="0.25">
      <c r="A456" s="132">
        <v>62</v>
      </c>
      <c r="B456" s="132" t="s">
        <v>1762</v>
      </c>
      <c r="C456" s="132" t="s">
        <v>1763</v>
      </c>
      <c r="D456" s="133" t="s">
        <v>1764</v>
      </c>
      <c r="E456" s="135">
        <v>44571</v>
      </c>
      <c r="F456" s="135">
        <v>44660</v>
      </c>
      <c r="G456" s="134">
        <v>0</v>
      </c>
      <c r="H456" s="134">
        <v>1</v>
      </c>
      <c r="I456" s="134">
        <v>0</v>
      </c>
      <c r="J456" s="134">
        <v>0</v>
      </c>
      <c r="K456" s="134">
        <v>0</v>
      </c>
      <c r="L456" s="134">
        <v>0</v>
      </c>
      <c r="M456" s="134"/>
      <c r="N456" s="123"/>
      <c r="O456" s="123"/>
      <c r="P456" s="123"/>
      <c r="Q456" s="123"/>
      <c r="R456" s="123"/>
      <c r="S456" s="123"/>
      <c r="T456" s="123"/>
      <c r="U456" s="123"/>
      <c r="V456" s="123"/>
    </row>
    <row r="457" spans="1:22" ht="15" customHeight="1" x14ac:dyDescent="0.25">
      <c r="A457" s="132">
        <v>62</v>
      </c>
      <c r="B457" s="132" t="s">
        <v>1762</v>
      </c>
      <c r="C457" s="132" t="s">
        <v>1765</v>
      </c>
      <c r="D457" s="133" t="s">
        <v>1766</v>
      </c>
      <c r="E457" s="135">
        <v>44630</v>
      </c>
      <c r="F457" s="135">
        <v>44813</v>
      </c>
      <c r="G457" s="134">
        <v>0</v>
      </c>
      <c r="H457" s="134">
        <v>0.20000000298023224</v>
      </c>
      <c r="I457" s="134">
        <v>0.80000001192092896</v>
      </c>
      <c r="J457" s="134">
        <v>0</v>
      </c>
      <c r="K457" s="134">
        <v>0</v>
      </c>
      <c r="L457" s="134">
        <v>0</v>
      </c>
      <c r="M457" s="134"/>
      <c r="N457" s="123"/>
      <c r="O457" s="123"/>
      <c r="P457" s="123"/>
      <c r="Q457" s="123"/>
      <c r="R457" s="123"/>
      <c r="S457" s="123"/>
      <c r="T457" s="123"/>
      <c r="U457" s="123"/>
      <c r="V457" s="123"/>
    </row>
    <row r="458" spans="1:22" ht="15" customHeight="1" x14ac:dyDescent="0.25">
      <c r="A458" s="132">
        <v>62</v>
      </c>
      <c r="B458" s="132" t="s">
        <v>1762</v>
      </c>
      <c r="C458" s="132" t="s">
        <v>1767</v>
      </c>
      <c r="D458" s="133" t="s">
        <v>1768</v>
      </c>
      <c r="E458" s="135">
        <v>44814</v>
      </c>
      <c r="F458" s="135">
        <v>45025</v>
      </c>
      <c r="G458" s="134">
        <v>0</v>
      </c>
      <c r="H458" s="134">
        <v>0</v>
      </c>
      <c r="I458" s="134">
        <v>0.30000001192092896</v>
      </c>
      <c r="J458" s="134">
        <v>0.69999998807907104</v>
      </c>
      <c r="K458" s="134">
        <v>0</v>
      </c>
      <c r="L458" s="134">
        <v>0</v>
      </c>
      <c r="M458" s="134"/>
      <c r="N458" s="123"/>
      <c r="O458" s="123"/>
      <c r="P458" s="123"/>
      <c r="Q458" s="123"/>
      <c r="R458" s="123"/>
      <c r="S458" s="123"/>
      <c r="T458" s="123"/>
      <c r="U458" s="123"/>
      <c r="V458" s="123"/>
    </row>
    <row r="459" spans="1:22" ht="15" customHeight="1" x14ac:dyDescent="0.25">
      <c r="A459" s="132">
        <v>62</v>
      </c>
      <c r="B459" s="132" t="s">
        <v>1769</v>
      </c>
      <c r="C459" s="132" t="s">
        <v>1770</v>
      </c>
      <c r="D459" s="133" t="s">
        <v>1771</v>
      </c>
      <c r="E459" s="135">
        <v>44571</v>
      </c>
      <c r="F459" s="135">
        <v>44660</v>
      </c>
      <c r="G459" s="134">
        <v>0</v>
      </c>
      <c r="H459" s="134">
        <v>1</v>
      </c>
      <c r="I459" s="134">
        <v>0</v>
      </c>
      <c r="J459" s="134">
        <v>0</v>
      </c>
      <c r="K459" s="134">
        <v>0</v>
      </c>
      <c r="L459" s="134">
        <v>0</v>
      </c>
      <c r="M459" s="134"/>
      <c r="N459" s="123"/>
      <c r="O459" s="123"/>
      <c r="P459" s="123"/>
      <c r="Q459" s="123"/>
      <c r="R459" s="123"/>
      <c r="S459" s="123"/>
      <c r="T459" s="123"/>
      <c r="U459" s="123"/>
      <c r="V459" s="123"/>
    </row>
    <row r="460" spans="1:22" ht="15" customHeight="1" x14ac:dyDescent="0.25">
      <c r="A460" s="132">
        <v>62</v>
      </c>
      <c r="B460" s="132" t="s">
        <v>1769</v>
      </c>
      <c r="C460" s="132" t="s">
        <v>1772</v>
      </c>
      <c r="D460" s="133" t="s">
        <v>1773</v>
      </c>
      <c r="E460" s="135">
        <v>44630</v>
      </c>
      <c r="F460" s="135">
        <v>45025</v>
      </c>
      <c r="G460" s="134">
        <v>0</v>
      </c>
      <c r="H460" s="134">
        <v>0</v>
      </c>
      <c r="I460" s="134">
        <v>0.30000001192092896</v>
      </c>
      <c r="J460" s="134">
        <v>0.69999998807907104</v>
      </c>
      <c r="K460" s="134">
        <v>0</v>
      </c>
      <c r="L460" s="134">
        <v>0</v>
      </c>
      <c r="M460" s="134"/>
      <c r="N460" s="123"/>
      <c r="O460" s="123"/>
      <c r="P460" s="123"/>
      <c r="Q460" s="123"/>
      <c r="R460" s="123"/>
      <c r="S460" s="123"/>
      <c r="T460" s="123"/>
      <c r="U460" s="123"/>
      <c r="V460" s="123"/>
    </row>
    <row r="461" spans="1:22" ht="15" customHeight="1" x14ac:dyDescent="0.25">
      <c r="A461" s="132">
        <v>65</v>
      </c>
      <c r="B461" s="132" t="s">
        <v>1774</v>
      </c>
      <c r="C461" s="132" t="s">
        <v>1775</v>
      </c>
      <c r="D461" s="133" t="s">
        <v>1776</v>
      </c>
      <c r="E461" s="135">
        <v>44411</v>
      </c>
      <c r="F461" s="135">
        <v>45382</v>
      </c>
      <c r="G461" s="134">
        <v>0.10000000149011612</v>
      </c>
      <c r="H461" s="134">
        <v>0.20000000298023224</v>
      </c>
      <c r="I461" s="134">
        <v>0.20000000298023224</v>
      </c>
      <c r="J461" s="134">
        <v>0.20000000298023224</v>
      </c>
      <c r="K461" s="134">
        <v>0.20000000298023224</v>
      </c>
      <c r="L461" s="134">
        <v>0.10000000149011612</v>
      </c>
      <c r="M461" s="134"/>
      <c r="N461" s="123"/>
      <c r="O461" s="123"/>
      <c r="P461" s="123"/>
      <c r="Q461" s="123"/>
      <c r="R461" s="123"/>
      <c r="S461" s="123"/>
      <c r="T461" s="123"/>
      <c r="U461" s="123"/>
      <c r="V461" s="123"/>
    </row>
    <row r="462" spans="1:22" ht="15" customHeight="1" x14ac:dyDescent="0.25">
      <c r="A462" s="132">
        <v>65</v>
      </c>
      <c r="B462" s="132" t="s">
        <v>1774</v>
      </c>
      <c r="C462" s="132" t="s">
        <v>1777</v>
      </c>
      <c r="D462" s="133" t="s">
        <v>1778</v>
      </c>
      <c r="E462" s="135">
        <v>44411</v>
      </c>
      <c r="F462" s="135">
        <v>45382</v>
      </c>
      <c r="G462" s="61">
        <v>0.5</v>
      </c>
      <c r="H462" s="61">
        <v>0.5</v>
      </c>
      <c r="I462" s="61">
        <v>0</v>
      </c>
      <c r="J462" s="61">
        <v>0</v>
      </c>
      <c r="K462" s="61">
        <v>0</v>
      </c>
      <c r="L462" s="61">
        <v>0</v>
      </c>
      <c r="M462" s="134"/>
      <c r="N462" s="123"/>
      <c r="O462" s="123"/>
      <c r="P462" s="123"/>
      <c r="Q462" s="123"/>
      <c r="R462" s="123"/>
      <c r="S462" s="123"/>
      <c r="T462" s="123"/>
      <c r="U462" s="123"/>
      <c r="V462" s="123"/>
    </row>
    <row r="463" spans="1:22" ht="15" customHeight="1" x14ac:dyDescent="0.25">
      <c r="A463" s="132">
        <v>65</v>
      </c>
      <c r="B463" s="132" t="s">
        <v>1779</v>
      </c>
      <c r="C463" s="132" t="s">
        <v>1780</v>
      </c>
      <c r="D463" s="133" t="s">
        <v>1781</v>
      </c>
      <c r="E463" s="135">
        <v>44411</v>
      </c>
      <c r="F463" s="135">
        <v>44775</v>
      </c>
      <c r="G463" s="61">
        <v>0</v>
      </c>
      <c r="H463" s="61">
        <v>0</v>
      </c>
      <c r="I463" s="61">
        <v>1</v>
      </c>
      <c r="J463" s="61">
        <v>0</v>
      </c>
      <c r="K463" s="61">
        <v>0</v>
      </c>
      <c r="L463" s="61">
        <v>0</v>
      </c>
      <c r="M463" s="134"/>
      <c r="N463" s="123"/>
      <c r="O463" s="123"/>
      <c r="P463" s="123"/>
      <c r="Q463" s="123"/>
      <c r="R463" s="123"/>
      <c r="S463" s="123"/>
      <c r="T463" s="123"/>
      <c r="U463" s="123"/>
      <c r="V463" s="123"/>
    </row>
    <row r="464" spans="1:22" ht="15" customHeight="1" x14ac:dyDescent="0.25">
      <c r="A464" s="132">
        <v>66</v>
      </c>
      <c r="B464" s="132" t="s">
        <v>1782</v>
      </c>
      <c r="C464" s="132" t="s">
        <v>1783</v>
      </c>
      <c r="D464" s="133" t="s">
        <v>1784</v>
      </c>
      <c r="E464" s="135">
        <v>44410</v>
      </c>
      <c r="F464" s="135">
        <v>45230</v>
      </c>
      <c r="G464" s="61">
        <v>0.10000000149011612</v>
      </c>
      <c r="H464" s="61">
        <v>0.40000000596046448</v>
      </c>
      <c r="I464" s="61">
        <v>0.5</v>
      </c>
      <c r="J464" s="61">
        <v>0</v>
      </c>
      <c r="K464" s="61">
        <v>0</v>
      </c>
      <c r="L464" s="61">
        <v>0</v>
      </c>
      <c r="M464" s="134"/>
      <c r="N464" s="123"/>
      <c r="O464" s="123"/>
      <c r="P464" s="123"/>
      <c r="Q464" s="123"/>
      <c r="R464" s="123"/>
      <c r="S464" s="123"/>
      <c r="T464" s="123"/>
      <c r="U464" s="123"/>
      <c r="V464" s="123"/>
    </row>
    <row r="465" spans="1:22" ht="15" customHeight="1" x14ac:dyDescent="0.25">
      <c r="A465" s="132">
        <v>66</v>
      </c>
      <c r="B465" s="132" t="s">
        <v>1782</v>
      </c>
      <c r="C465" s="132" t="s">
        <v>1785</v>
      </c>
      <c r="D465" s="133" t="s">
        <v>1786</v>
      </c>
      <c r="E465" s="135">
        <v>44593</v>
      </c>
      <c r="F465" s="135">
        <v>45366</v>
      </c>
      <c r="G465" s="61">
        <v>0</v>
      </c>
      <c r="H465" s="61">
        <v>0</v>
      </c>
      <c r="I465" s="61">
        <v>0.25</v>
      </c>
      <c r="J465" s="61">
        <v>0.25</v>
      </c>
      <c r="K465" s="61">
        <v>0.25</v>
      </c>
      <c r="L465" s="61">
        <v>0.25</v>
      </c>
      <c r="M465" s="134"/>
      <c r="N465" s="123"/>
      <c r="O465" s="123"/>
      <c r="P465" s="123"/>
      <c r="Q465" s="123"/>
      <c r="R465" s="123"/>
      <c r="S465" s="123"/>
      <c r="T465" s="123"/>
      <c r="U465" s="123"/>
      <c r="V465" s="123"/>
    </row>
    <row r="466" spans="1:22" ht="15" customHeight="1" x14ac:dyDescent="0.25">
      <c r="A466" s="132">
        <v>66</v>
      </c>
      <c r="B466" s="132" t="s">
        <v>1787</v>
      </c>
      <c r="C466" s="132" t="s">
        <v>1788</v>
      </c>
      <c r="D466" s="133" t="s">
        <v>1789</v>
      </c>
      <c r="E466" s="135">
        <v>44501</v>
      </c>
      <c r="F466" s="135">
        <v>44895</v>
      </c>
      <c r="G466" s="61">
        <v>0</v>
      </c>
      <c r="H466" s="61">
        <v>0.30000001192092896</v>
      </c>
      <c r="I466" s="61">
        <v>0.69999998807907104</v>
      </c>
      <c r="J466" s="61">
        <v>0</v>
      </c>
      <c r="K466" s="61">
        <v>0</v>
      </c>
      <c r="L466" s="61">
        <v>0</v>
      </c>
      <c r="M466" s="134"/>
      <c r="N466" s="123"/>
      <c r="O466" s="123"/>
      <c r="P466" s="123"/>
      <c r="Q466" s="123"/>
      <c r="R466" s="123"/>
      <c r="S466" s="123"/>
      <c r="T466" s="123"/>
      <c r="U466" s="123"/>
      <c r="V466" s="123"/>
    </row>
    <row r="467" spans="1:22" ht="15" customHeight="1" x14ac:dyDescent="0.25">
      <c r="A467" s="132"/>
      <c r="B467" s="132"/>
      <c r="C467" s="132"/>
      <c r="D467" s="133"/>
      <c r="E467" s="135"/>
      <c r="F467" s="135"/>
      <c r="G467" s="134"/>
      <c r="H467" s="134"/>
      <c r="I467" s="134"/>
      <c r="J467" s="134"/>
      <c r="K467" s="134"/>
      <c r="L467" s="134"/>
      <c r="M467" s="134"/>
      <c r="N467" s="123"/>
      <c r="O467" s="123"/>
      <c r="P467" s="123"/>
      <c r="Q467" s="123"/>
      <c r="R467" s="123"/>
      <c r="S467" s="123"/>
      <c r="T467" s="123"/>
      <c r="U467" s="123"/>
      <c r="V467" s="123"/>
    </row>
    <row r="468" spans="1:22" ht="15" customHeight="1" x14ac:dyDescent="0.25">
      <c r="A468" s="132"/>
      <c r="B468" s="132"/>
      <c r="C468" s="132"/>
      <c r="D468" s="133"/>
      <c r="E468" s="135"/>
      <c r="F468" s="135"/>
      <c r="G468" s="134"/>
      <c r="H468" s="134"/>
      <c r="I468" s="134"/>
      <c r="J468" s="134"/>
      <c r="K468" s="134"/>
      <c r="L468" s="134"/>
      <c r="M468" s="134"/>
      <c r="N468" s="123"/>
      <c r="O468" s="123"/>
      <c r="P468" s="123"/>
      <c r="Q468" s="123"/>
      <c r="R468" s="123"/>
      <c r="S468" s="123"/>
      <c r="T468" s="123"/>
      <c r="U468" s="123"/>
      <c r="V468" s="123"/>
    </row>
    <row r="469" spans="1:22" ht="15" customHeight="1" x14ac:dyDescent="0.25">
      <c r="A469" s="132"/>
      <c r="B469" s="132"/>
      <c r="C469" s="132"/>
      <c r="D469" s="133"/>
      <c r="E469" s="135"/>
      <c r="F469" s="135"/>
      <c r="G469" s="134"/>
      <c r="H469" s="134"/>
      <c r="I469" s="134"/>
      <c r="J469" s="134"/>
      <c r="K469" s="134"/>
      <c r="L469" s="134"/>
      <c r="M469" s="134"/>
      <c r="N469" s="123"/>
      <c r="O469" s="123"/>
      <c r="P469" s="123"/>
      <c r="Q469" s="123"/>
      <c r="R469" s="123"/>
      <c r="S469" s="123"/>
      <c r="T469" s="123"/>
      <c r="U469" s="123"/>
      <c r="V469" s="123"/>
    </row>
    <row r="470" spans="1:22" ht="15" customHeight="1" x14ac:dyDescent="0.25">
      <c r="A470" s="132"/>
      <c r="B470" s="132"/>
      <c r="C470" s="132"/>
      <c r="D470" s="133"/>
      <c r="E470" s="135"/>
      <c r="F470" s="135"/>
      <c r="G470" s="134"/>
      <c r="H470" s="134"/>
      <c r="I470" s="134"/>
      <c r="J470" s="134"/>
      <c r="K470" s="134"/>
      <c r="L470" s="134"/>
      <c r="M470" s="134"/>
      <c r="N470" s="123"/>
      <c r="O470" s="123"/>
      <c r="P470" s="123"/>
      <c r="Q470" s="123"/>
      <c r="R470" s="123"/>
      <c r="S470" s="123"/>
      <c r="T470" s="123"/>
      <c r="U470" s="123"/>
      <c r="V470" s="123"/>
    </row>
    <row r="471" spans="1:22" ht="15" customHeight="1" x14ac:dyDescent="0.25">
      <c r="A471" s="132"/>
      <c r="B471" s="132"/>
      <c r="C471" s="132"/>
      <c r="D471" s="133"/>
      <c r="E471" s="135"/>
      <c r="F471" s="135"/>
      <c r="G471" s="134"/>
      <c r="H471" s="134"/>
      <c r="I471" s="134"/>
      <c r="J471" s="134"/>
      <c r="K471" s="134"/>
      <c r="L471" s="134"/>
      <c r="M471" s="134"/>
      <c r="N471" s="123"/>
      <c r="O471" s="123"/>
      <c r="P471" s="123"/>
      <c r="Q471" s="123"/>
      <c r="R471" s="123"/>
      <c r="S471" s="123"/>
      <c r="T471" s="123"/>
      <c r="U471" s="123"/>
      <c r="V471" s="123"/>
    </row>
    <row r="472" spans="1:22" ht="15" customHeight="1" x14ac:dyDescent="0.25">
      <c r="A472" s="132"/>
      <c r="B472" s="132"/>
      <c r="C472" s="132"/>
      <c r="D472" s="133"/>
      <c r="E472" s="135"/>
      <c r="F472" s="135"/>
      <c r="G472" s="134"/>
      <c r="H472" s="134"/>
      <c r="I472" s="134"/>
      <c r="J472" s="134"/>
      <c r="K472" s="134"/>
      <c r="L472" s="134"/>
      <c r="M472" s="134"/>
      <c r="N472" s="123"/>
      <c r="O472" s="123"/>
      <c r="P472" s="123"/>
      <c r="Q472" s="123"/>
      <c r="R472" s="123"/>
      <c r="S472" s="123"/>
      <c r="T472" s="123"/>
      <c r="U472" s="123"/>
      <c r="V472" s="123"/>
    </row>
    <row r="473" spans="1:22" ht="15" customHeight="1" x14ac:dyDescent="0.25">
      <c r="A473" s="132"/>
      <c r="B473" s="132"/>
      <c r="C473" s="132"/>
      <c r="D473" s="133"/>
      <c r="E473" s="135"/>
      <c r="F473" s="135"/>
      <c r="G473" s="134"/>
      <c r="H473" s="134"/>
      <c r="I473" s="134"/>
      <c r="J473" s="134"/>
      <c r="K473" s="134"/>
      <c r="L473" s="134"/>
      <c r="M473" s="134"/>
      <c r="N473" s="123"/>
      <c r="O473" s="123"/>
      <c r="P473" s="123"/>
      <c r="Q473" s="123"/>
      <c r="R473" s="123"/>
      <c r="S473" s="123"/>
      <c r="T473" s="123"/>
      <c r="U473" s="123"/>
      <c r="V473" s="123"/>
    </row>
    <row r="474" spans="1:22" ht="15" customHeight="1" x14ac:dyDescent="0.25">
      <c r="A474" s="132"/>
      <c r="B474" s="132"/>
      <c r="C474" s="132"/>
      <c r="D474" s="133"/>
      <c r="E474" s="135"/>
      <c r="F474" s="135"/>
      <c r="G474" s="134"/>
      <c r="H474" s="134"/>
      <c r="I474" s="134"/>
      <c r="J474" s="134"/>
      <c r="K474" s="134"/>
      <c r="L474" s="134"/>
      <c r="M474" s="134"/>
      <c r="N474" s="123"/>
      <c r="O474" s="123"/>
      <c r="P474" s="123"/>
      <c r="Q474" s="123"/>
      <c r="R474" s="123"/>
      <c r="S474" s="123"/>
      <c r="T474" s="123"/>
      <c r="U474" s="123"/>
      <c r="V474" s="123"/>
    </row>
    <row r="475" spans="1:22" ht="15" customHeight="1" x14ac:dyDescent="0.25">
      <c r="A475" s="132"/>
      <c r="B475" s="132"/>
      <c r="C475" s="132"/>
      <c r="D475" s="133"/>
      <c r="E475" s="135"/>
      <c r="F475" s="135"/>
      <c r="G475" s="134"/>
      <c r="H475" s="134"/>
      <c r="I475" s="134"/>
      <c r="J475" s="134"/>
      <c r="K475" s="134"/>
      <c r="L475" s="134"/>
      <c r="M475" s="134"/>
      <c r="N475" s="123"/>
      <c r="O475" s="123"/>
      <c r="P475" s="123"/>
      <c r="Q475" s="123"/>
      <c r="R475" s="123"/>
      <c r="S475" s="123"/>
      <c r="T475" s="123"/>
      <c r="U475" s="123"/>
      <c r="V475" s="123"/>
    </row>
    <row r="476" spans="1:22" ht="15" customHeight="1" x14ac:dyDescent="0.25">
      <c r="A476" s="132"/>
      <c r="B476" s="132"/>
      <c r="C476" s="132"/>
      <c r="D476" s="133"/>
      <c r="E476" s="135"/>
      <c r="F476" s="135"/>
      <c r="G476" s="134"/>
      <c r="H476" s="134"/>
      <c r="I476" s="134"/>
      <c r="J476" s="134"/>
      <c r="K476" s="134"/>
      <c r="L476" s="134"/>
      <c r="M476" s="134"/>
      <c r="N476" s="123"/>
      <c r="O476" s="123"/>
      <c r="P476" s="123"/>
      <c r="Q476" s="123"/>
      <c r="R476" s="123"/>
      <c r="S476" s="123"/>
      <c r="T476" s="123"/>
      <c r="U476" s="123"/>
      <c r="V476" s="123"/>
    </row>
    <row r="477" spans="1:22" ht="15" customHeight="1" x14ac:dyDescent="0.25">
      <c r="A477" s="132"/>
      <c r="B477" s="132"/>
      <c r="C477" s="132"/>
      <c r="D477" s="133"/>
      <c r="E477" s="135"/>
      <c r="F477" s="135"/>
      <c r="G477" s="134"/>
      <c r="H477" s="134"/>
      <c r="I477" s="134"/>
      <c r="J477" s="134"/>
      <c r="K477" s="134"/>
      <c r="L477" s="134"/>
      <c r="M477" s="134"/>
      <c r="N477" s="123"/>
      <c r="O477" s="123"/>
      <c r="P477" s="123"/>
      <c r="Q477" s="123"/>
      <c r="R477" s="123"/>
      <c r="S477" s="123"/>
      <c r="T477" s="123"/>
      <c r="U477" s="123"/>
      <c r="V477" s="123"/>
    </row>
    <row r="478" spans="1:22" ht="15" customHeight="1" x14ac:dyDescent="0.25">
      <c r="A478" s="132"/>
      <c r="B478" s="132"/>
      <c r="C478" s="132"/>
      <c r="D478" s="133"/>
      <c r="E478" s="135"/>
      <c r="F478" s="135"/>
      <c r="G478" s="134"/>
      <c r="H478" s="134"/>
      <c r="I478" s="134"/>
      <c r="J478" s="134"/>
      <c r="K478" s="134"/>
      <c r="L478" s="134"/>
      <c r="M478" s="134"/>
      <c r="N478" s="123"/>
      <c r="O478" s="123"/>
      <c r="P478" s="123"/>
      <c r="Q478" s="123"/>
      <c r="R478" s="123"/>
      <c r="S478" s="123"/>
      <c r="T478" s="123"/>
      <c r="U478" s="123"/>
      <c r="V478" s="123"/>
    </row>
    <row r="479" spans="1:22" ht="15" customHeight="1" x14ac:dyDescent="0.25">
      <c r="A479" s="132"/>
      <c r="B479" s="132"/>
      <c r="C479" s="132"/>
      <c r="D479" s="133"/>
      <c r="E479" s="135"/>
      <c r="F479" s="135"/>
      <c r="G479" s="134"/>
      <c r="H479" s="134"/>
      <c r="I479" s="134"/>
      <c r="J479" s="134"/>
      <c r="K479" s="134"/>
      <c r="L479" s="134"/>
      <c r="M479" s="134"/>
      <c r="N479" s="123"/>
      <c r="O479" s="123"/>
      <c r="P479" s="123"/>
      <c r="Q479" s="123"/>
      <c r="R479" s="123"/>
      <c r="S479" s="123"/>
      <c r="T479" s="123"/>
      <c r="U479" s="123"/>
      <c r="V479" s="123"/>
    </row>
    <row r="480" spans="1:22" ht="15" customHeight="1" x14ac:dyDescent="0.25">
      <c r="A480" s="132"/>
      <c r="B480" s="132"/>
      <c r="C480" s="132"/>
      <c r="D480" s="133"/>
      <c r="E480" s="135"/>
      <c r="F480" s="135"/>
      <c r="G480" s="134"/>
      <c r="H480" s="134"/>
      <c r="I480" s="134"/>
      <c r="J480" s="134"/>
      <c r="K480" s="134"/>
      <c r="L480" s="134"/>
      <c r="M480" s="134"/>
      <c r="N480" s="123"/>
      <c r="O480" s="123"/>
      <c r="P480" s="123"/>
      <c r="Q480" s="123"/>
      <c r="R480" s="123"/>
      <c r="S480" s="123"/>
      <c r="T480" s="123"/>
      <c r="U480" s="123"/>
      <c r="V480" s="123"/>
    </row>
    <row r="481" spans="1:22" ht="15.75" customHeight="1" x14ac:dyDescent="0.25">
      <c r="A481" s="136"/>
      <c r="B481" s="136"/>
      <c r="C481" s="136"/>
      <c r="D481" s="136"/>
      <c r="E481" s="137"/>
      <c r="F481" s="137"/>
      <c r="G481" s="136"/>
      <c r="H481" s="136"/>
      <c r="I481" s="136"/>
      <c r="J481" s="136"/>
      <c r="K481" s="136"/>
      <c r="L481" s="136"/>
      <c r="M481" s="136"/>
      <c r="N481" s="123"/>
      <c r="O481" s="123"/>
      <c r="P481" s="123"/>
      <c r="Q481" s="123"/>
      <c r="R481" s="123"/>
      <c r="S481" s="123"/>
      <c r="T481" s="123"/>
      <c r="U481" s="123"/>
      <c r="V481" s="123"/>
    </row>
    <row r="482" spans="1:22" ht="15.75" hidden="1" customHeight="1" x14ac:dyDescent="0.25">
      <c r="A482" s="136"/>
      <c r="B482" s="136"/>
      <c r="C482" s="136"/>
      <c r="D482" s="136"/>
      <c r="E482" s="137"/>
      <c r="F482" s="137"/>
      <c r="G482" s="136"/>
      <c r="H482" s="136"/>
      <c r="I482" s="136"/>
      <c r="J482" s="136"/>
      <c r="K482" s="136"/>
      <c r="L482" s="136"/>
      <c r="M482" s="136"/>
      <c r="N482" s="136"/>
      <c r="O482" s="123"/>
      <c r="P482" s="123"/>
      <c r="Q482" s="123"/>
      <c r="R482" s="123"/>
      <c r="S482" s="123"/>
      <c r="T482" s="123"/>
      <c r="U482" s="123"/>
      <c r="V482" s="123"/>
    </row>
    <row r="483" spans="1:22" ht="15.75" hidden="1" customHeight="1" x14ac:dyDescent="0.25">
      <c r="A483" s="136"/>
      <c r="B483" s="136"/>
      <c r="C483" s="136"/>
      <c r="D483" s="136"/>
      <c r="E483" s="137"/>
      <c r="F483" s="137"/>
      <c r="G483" s="136"/>
      <c r="H483" s="136"/>
      <c r="I483" s="136"/>
      <c r="J483" s="136"/>
      <c r="K483" s="136"/>
      <c r="L483" s="136"/>
      <c r="M483" s="136"/>
      <c r="N483" s="136"/>
      <c r="O483" s="123"/>
      <c r="P483" s="123"/>
      <c r="Q483" s="123"/>
      <c r="R483" s="123"/>
      <c r="S483" s="123"/>
      <c r="T483" s="123"/>
      <c r="U483" s="123"/>
      <c r="V483" s="123"/>
    </row>
    <row r="484" spans="1:22" ht="15.75" hidden="1" customHeight="1" x14ac:dyDescent="0.25">
      <c r="A484" s="136"/>
      <c r="B484" s="136"/>
      <c r="C484" s="136"/>
      <c r="D484" s="136"/>
      <c r="E484" s="137"/>
      <c r="F484" s="137"/>
      <c r="G484" s="136"/>
      <c r="H484" s="136"/>
      <c r="I484" s="136"/>
      <c r="J484" s="136"/>
      <c r="K484" s="136"/>
      <c r="L484" s="136"/>
      <c r="M484" s="136"/>
      <c r="N484" s="136"/>
      <c r="O484" s="123"/>
      <c r="P484" s="123"/>
      <c r="Q484" s="123"/>
      <c r="R484" s="123"/>
      <c r="S484" s="123"/>
      <c r="T484" s="123"/>
      <c r="U484" s="123"/>
      <c r="V484" s="123"/>
    </row>
    <row r="485" spans="1:22" ht="15.75" hidden="1" customHeight="1" x14ac:dyDescent="0.25">
      <c r="A485" s="136"/>
      <c r="B485" s="136"/>
      <c r="C485" s="136"/>
      <c r="D485" s="136"/>
      <c r="E485" s="137"/>
      <c r="F485" s="137"/>
      <c r="G485" s="136"/>
      <c r="H485" s="136"/>
      <c r="I485" s="136"/>
      <c r="J485" s="136"/>
      <c r="K485" s="136"/>
      <c r="L485" s="136"/>
      <c r="M485" s="136"/>
      <c r="N485" s="136"/>
      <c r="O485" s="123"/>
      <c r="P485" s="123"/>
      <c r="Q485" s="123"/>
      <c r="R485" s="123"/>
      <c r="S485" s="123"/>
      <c r="T485" s="123"/>
      <c r="U485" s="123"/>
      <c r="V485" s="123"/>
    </row>
    <row r="486" spans="1:22" ht="15.75" hidden="1" customHeight="1" x14ac:dyDescent="0.25">
      <c r="A486" s="136"/>
      <c r="B486" s="136"/>
      <c r="C486" s="136"/>
      <c r="D486" s="136"/>
      <c r="E486" s="137"/>
      <c r="F486" s="137"/>
      <c r="G486" s="136"/>
      <c r="H486" s="136"/>
      <c r="I486" s="136"/>
      <c r="J486" s="136"/>
      <c r="K486" s="136"/>
      <c r="L486" s="136"/>
      <c r="M486" s="136"/>
      <c r="N486" s="136"/>
      <c r="O486" s="123"/>
      <c r="P486" s="123"/>
      <c r="Q486" s="123"/>
      <c r="R486" s="123"/>
      <c r="S486" s="123"/>
      <c r="T486" s="123"/>
      <c r="U486" s="123"/>
      <c r="V486" s="123"/>
    </row>
    <row r="487" spans="1:22" ht="15.75" hidden="1" customHeight="1" x14ac:dyDescent="0.25">
      <c r="A487" s="136"/>
      <c r="B487" s="136"/>
      <c r="C487" s="136"/>
      <c r="D487" s="136"/>
      <c r="E487" s="137"/>
      <c r="F487" s="137"/>
      <c r="G487" s="136"/>
      <c r="H487" s="136"/>
      <c r="I487" s="136"/>
      <c r="J487" s="136"/>
      <c r="K487" s="136"/>
      <c r="L487" s="136"/>
      <c r="M487" s="136"/>
      <c r="N487" s="136"/>
      <c r="O487" s="123"/>
      <c r="P487" s="123"/>
      <c r="Q487" s="123"/>
      <c r="R487" s="123"/>
      <c r="S487" s="123"/>
      <c r="T487" s="123"/>
      <c r="U487" s="123"/>
      <c r="V487" s="123"/>
    </row>
    <row r="488" spans="1:22" ht="15.75" hidden="1" customHeight="1" x14ac:dyDescent="0.25">
      <c r="A488" s="136"/>
      <c r="B488" s="136"/>
      <c r="C488" s="136"/>
      <c r="D488" s="136"/>
      <c r="E488" s="137"/>
      <c r="F488" s="137"/>
      <c r="G488" s="136"/>
      <c r="H488" s="136"/>
      <c r="I488" s="136"/>
      <c r="J488" s="136"/>
      <c r="K488" s="136"/>
      <c r="L488" s="136"/>
      <c r="M488" s="136"/>
      <c r="N488" s="136"/>
      <c r="O488" s="123"/>
      <c r="P488" s="123"/>
      <c r="Q488" s="123"/>
      <c r="R488" s="123"/>
      <c r="S488" s="123"/>
      <c r="T488" s="123"/>
      <c r="U488" s="123"/>
      <c r="V488" s="123"/>
    </row>
    <row r="489" spans="1:22" ht="15.75" hidden="1" customHeight="1" x14ac:dyDescent="0.25">
      <c r="A489" s="136"/>
      <c r="B489" s="136"/>
      <c r="C489" s="136"/>
      <c r="D489" s="136"/>
      <c r="E489" s="137"/>
      <c r="F489" s="137"/>
      <c r="G489" s="136"/>
      <c r="H489" s="136"/>
      <c r="I489" s="136"/>
      <c r="J489" s="136"/>
      <c r="K489" s="136"/>
      <c r="L489" s="136"/>
      <c r="M489" s="136"/>
      <c r="N489" s="136"/>
      <c r="O489" s="123"/>
      <c r="P489" s="123"/>
      <c r="Q489" s="123"/>
      <c r="R489" s="123"/>
      <c r="S489" s="123"/>
      <c r="T489" s="123"/>
      <c r="U489" s="123"/>
      <c r="V489" s="123"/>
    </row>
    <row r="490" spans="1:22" ht="15.75" hidden="1" customHeight="1" x14ac:dyDescent="0.25">
      <c r="A490" s="136"/>
      <c r="B490" s="136"/>
      <c r="C490" s="136"/>
      <c r="D490" s="136"/>
      <c r="E490" s="137"/>
      <c r="F490" s="137"/>
      <c r="G490" s="136"/>
      <c r="H490" s="136"/>
      <c r="I490" s="136"/>
      <c r="J490" s="136"/>
      <c r="K490" s="136"/>
      <c r="L490" s="136"/>
      <c r="M490" s="136"/>
      <c r="N490" s="136"/>
      <c r="O490" s="123"/>
      <c r="P490" s="123"/>
      <c r="Q490" s="123"/>
      <c r="R490" s="123"/>
      <c r="S490" s="123"/>
      <c r="T490" s="123"/>
      <c r="U490" s="123"/>
      <c r="V490" s="123"/>
    </row>
    <row r="491" spans="1:22" ht="15.75" hidden="1" customHeight="1" x14ac:dyDescent="0.25">
      <c r="A491" s="136"/>
      <c r="B491" s="136"/>
      <c r="C491" s="136"/>
      <c r="D491" s="136"/>
      <c r="E491" s="137"/>
      <c r="F491" s="137"/>
      <c r="G491" s="136"/>
      <c r="H491" s="136"/>
      <c r="I491" s="136"/>
      <c r="J491" s="136"/>
      <c r="K491" s="136"/>
      <c r="L491" s="136"/>
      <c r="M491" s="136"/>
      <c r="N491" s="136"/>
      <c r="O491" s="123"/>
      <c r="P491" s="123"/>
      <c r="Q491" s="123"/>
      <c r="R491" s="123"/>
      <c r="S491" s="123"/>
      <c r="T491" s="123"/>
      <c r="U491" s="123"/>
      <c r="V491" s="123"/>
    </row>
    <row r="492" spans="1:22" ht="15.75" hidden="1" customHeight="1" x14ac:dyDescent="0.25">
      <c r="A492" s="136"/>
      <c r="B492" s="136"/>
      <c r="C492" s="136"/>
      <c r="D492" s="136"/>
      <c r="E492" s="137"/>
      <c r="F492" s="137"/>
      <c r="G492" s="136"/>
      <c r="H492" s="136"/>
      <c r="I492" s="136"/>
      <c r="J492" s="136"/>
      <c r="K492" s="136"/>
      <c r="L492" s="136"/>
      <c r="M492" s="136"/>
      <c r="N492" s="136"/>
      <c r="O492" s="123"/>
      <c r="P492" s="123"/>
      <c r="Q492" s="123"/>
      <c r="R492" s="123"/>
      <c r="S492" s="123"/>
      <c r="T492" s="123"/>
      <c r="U492" s="123"/>
      <c r="V492" s="123"/>
    </row>
    <row r="493" spans="1:22" ht="15.75" hidden="1" customHeight="1" x14ac:dyDescent="0.25">
      <c r="A493" s="136"/>
      <c r="B493" s="136"/>
      <c r="C493" s="136"/>
      <c r="D493" s="136"/>
      <c r="E493" s="137"/>
      <c r="F493" s="137"/>
      <c r="G493" s="136"/>
      <c r="H493" s="136"/>
      <c r="I493" s="136"/>
      <c r="J493" s="136"/>
      <c r="K493" s="136"/>
      <c r="L493" s="136"/>
      <c r="M493" s="136"/>
      <c r="N493" s="136"/>
      <c r="O493" s="123"/>
      <c r="P493" s="123"/>
      <c r="Q493" s="123"/>
      <c r="R493" s="123"/>
      <c r="S493" s="123"/>
      <c r="T493" s="123"/>
      <c r="U493" s="123"/>
      <c r="V493" s="123"/>
    </row>
    <row r="494" spans="1:22" ht="15.75" hidden="1" customHeight="1" x14ac:dyDescent="0.25">
      <c r="A494" s="136"/>
      <c r="B494" s="136"/>
      <c r="C494" s="136"/>
      <c r="D494" s="136"/>
      <c r="E494" s="137"/>
      <c r="F494" s="137"/>
      <c r="G494" s="136"/>
      <c r="H494" s="136"/>
      <c r="I494" s="136"/>
      <c r="J494" s="136"/>
      <c r="K494" s="136"/>
      <c r="L494" s="136"/>
      <c r="M494" s="136"/>
      <c r="N494" s="136"/>
      <c r="O494" s="123"/>
      <c r="P494" s="123"/>
      <c r="Q494" s="123"/>
      <c r="R494" s="123"/>
      <c r="S494" s="123"/>
      <c r="T494" s="123"/>
      <c r="U494" s="123"/>
      <c r="V494" s="123"/>
    </row>
    <row r="495" spans="1:22" ht="15.75" hidden="1" customHeight="1" x14ac:dyDescent="0.25">
      <c r="A495" s="136"/>
      <c r="B495" s="136"/>
      <c r="C495" s="136"/>
      <c r="D495" s="136"/>
      <c r="E495" s="137"/>
      <c r="F495" s="137"/>
      <c r="G495" s="136"/>
      <c r="H495" s="136"/>
      <c r="I495" s="136"/>
      <c r="J495" s="136"/>
      <c r="K495" s="136"/>
      <c r="L495" s="136"/>
      <c r="M495" s="136"/>
      <c r="N495" s="136"/>
      <c r="O495" s="123"/>
      <c r="P495" s="123"/>
      <c r="Q495" s="123"/>
      <c r="R495" s="123"/>
      <c r="S495" s="123"/>
      <c r="T495" s="123"/>
      <c r="U495" s="123"/>
      <c r="V495" s="123"/>
    </row>
    <row r="496" spans="1:22" ht="15.75" hidden="1" customHeight="1" x14ac:dyDescent="0.25">
      <c r="A496" s="136"/>
      <c r="B496" s="136"/>
      <c r="C496" s="136"/>
      <c r="D496" s="136"/>
      <c r="E496" s="137"/>
      <c r="F496" s="137"/>
      <c r="G496" s="136"/>
      <c r="H496" s="136"/>
      <c r="I496" s="136"/>
      <c r="J496" s="136"/>
      <c r="K496" s="136"/>
      <c r="L496" s="136"/>
      <c r="M496" s="136"/>
      <c r="N496" s="136"/>
      <c r="O496" s="123"/>
      <c r="P496" s="123"/>
      <c r="Q496" s="123"/>
      <c r="R496" s="123"/>
      <c r="S496" s="123"/>
      <c r="T496" s="123"/>
      <c r="U496" s="123"/>
      <c r="V496" s="123"/>
    </row>
    <row r="497" spans="1:22" ht="15.75" hidden="1" customHeight="1" x14ac:dyDescent="0.25">
      <c r="A497" s="136"/>
      <c r="B497" s="136"/>
      <c r="C497" s="136"/>
      <c r="D497" s="136"/>
      <c r="E497" s="137"/>
      <c r="F497" s="137"/>
      <c r="G497" s="136"/>
      <c r="H497" s="136"/>
      <c r="I497" s="136"/>
      <c r="J497" s="136"/>
      <c r="K497" s="136"/>
      <c r="L497" s="136"/>
      <c r="M497" s="136"/>
      <c r="N497" s="136"/>
      <c r="O497" s="123"/>
      <c r="P497" s="123"/>
      <c r="Q497" s="123"/>
      <c r="R497" s="123"/>
      <c r="S497" s="123"/>
      <c r="T497" s="123"/>
      <c r="U497" s="123"/>
      <c r="V497" s="123"/>
    </row>
    <row r="498" spans="1:22" ht="15.75" hidden="1" customHeight="1" x14ac:dyDescent="0.25">
      <c r="A498" s="136"/>
      <c r="B498" s="136"/>
      <c r="C498" s="136"/>
      <c r="D498" s="136"/>
      <c r="E498" s="137"/>
      <c r="F498" s="137"/>
      <c r="G498" s="136"/>
      <c r="H498" s="136"/>
      <c r="I498" s="136"/>
      <c r="J498" s="136"/>
      <c r="K498" s="136"/>
      <c r="L498" s="136"/>
      <c r="M498" s="136"/>
      <c r="N498" s="136"/>
      <c r="O498" s="123"/>
      <c r="P498" s="123"/>
      <c r="Q498" s="123"/>
      <c r="R498" s="123"/>
      <c r="S498" s="123"/>
      <c r="T498" s="123"/>
      <c r="U498" s="123"/>
      <c r="V498" s="123"/>
    </row>
    <row r="499" spans="1:22" ht="15.75" hidden="1" customHeight="1" x14ac:dyDescent="0.25">
      <c r="A499" s="136"/>
      <c r="B499" s="136"/>
      <c r="C499" s="136"/>
      <c r="D499" s="136"/>
      <c r="E499" s="137"/>
      <c r="F499" s="137"/>
      <c r="G499" s="136"/>
      <c r="H499" s="136"/>
      <c r="I499" s="136"/>
      <c r="J499" s="136"/>
      <c r="K499" s="136"/>
      <c r="L499" s="136"/>
      <c r="M499" s="136"/>
      <c r="N499" s="136"/>
      <c r="O499" s="123"/>
      <c r="P499" s="123"/>
      <c r="Q499" s="123"/>
      <c r="R499" s="123"/>
      <c r="S499" s="123"/>
      <c r="T499" s="123"/>
      <c r="U499" s="123"/>
      <c r="V499" s="123"/>
    </row>
    <row r="500" spans="1:22" ht="15.75" hidden="1" customHeight="1" x14ac:dyDescent="0.25">
      <c r="A500" s="136"/>
      <c r="B500" s="136"/>
      <c r="C500" s="136"/>
      <c r="D500" s="136"/>
      <c r="E500" s="137"/>
      <c r="F500" s="137"/>
      <c r="G500" s="136"/>
      <c r="H500" s="136"/>
      <c r="I500" s="136"/>
      <c r="J500" s="136"/>
      <c r="K500" s="136"/>
      <c r="L500" s="136"/>
      <c r="M500" s="136"/>
      <c r="N500" s="136"/>
      <c r="O500" s="123"/>
      <c r="P500" s="123"/>
      <c r="Q500" s="123"/>
      <c r="R500" s="123"/>
      <c r="S500" s="123"/>
      <c r="T500" s="123"/>
      <c r="U500" s="123"/>
      <c r="V500" s="123"/>
    </row>
    <row r="501" spans="1:22" ht="15.75" hidden="1" customHeight="1" x14ac:dyDescent="0.25">
      <c r="A501" s="136"/>
      <c r="B501" s="136"/>
      <c r="C501" s="136"/>
      <c r="D501" s="136"/>
      <c r="E501" s="137"/>
      <c r="F501" s="137"/>
      <c r="G501" s="136"/>
      <c r="H501" s="136"/>
      <c r="I501" s="136"/>
      <c r="J501" s="136"/>
      <c r="K501" s="136"/>
      <c r="L501" s="136"/>
      <c r="M501" s="136"/>
      <c r="N501" s="136"/>
      <c r="O501" s="123"/>
      <c r="P501" s="123"/>
      <c r="Q501" s="123"/>
      <c r="R501" s="123"/>
      <c r="S501" s="123"/>
      <c r="T501" s="123"/>
      <c r="U501" s="123"/>
      <c r="V501" s="123"/>
    </row>
    <row r="502" spans="1:22" ht="15.75" hidden="1" customHeight="1" x14ac:dyDescent="0.25">
      <c r="A502" s="136"/>
      <c r="B502" s="136"/>
      <c r="C502" s="136"/>
      <c r="D502" s="136"/>
      <c r="E502" s="137"/>
      <c r="F502" s="137"/>
      <c r="G502" s="136"/>
      <c r="H502" s="136"/>
      <c r="I502" s="136"/>
      <c r="J502" s="136"/>
      <c r="K502" s="136"/>
      <c r="L502" s="136"/>
      <c r="M502" s="136"/>
      <c r="N502" s="136"/>
      <c r="O502" s="123"/>
      <c r="P502" s="123"/>
      <c r="Q502" s="123"/>
      <c r="R502" s="123"/>
      <c r="S502" s="123"/>
      <c r="T502" s="123"/>
      <c r="U502" s="123"/>
      <c r="V502" s="123"/>
    </row>
    <row r="503" spans="1:22" ht="15.75" hidden="1" customHeight="1" x14ac:dyDescent="0.25">
      <c r="A503" s="136"/>
      <c r="B503" s="136"/>
      <c r="C503" s="136"/>
      <c r="D503" s="136"/>
      <c r="E503" s="137"/>
      <c r="F503" s="137"/>
      <c r="G503" s="136"/>
      <c r="H503" s="136"/>
      <c r="I503" s="136"/>
      <c r="J503" s="136"/>
      <c r="K503" s="136"/>
      <c r="L503" s="136"/>
      <c r="M503" s="136"/>
      <c r="N503" s="136"/>
      <c r="O503" s="123"/>
      <c r="P503" s="123"/>
      <c r="Q503" s="123"/>
      <c r="R503" s="123"/>
      <c r="S503" s="123"/>
      <c r="T503" s="123"/>
      <c r="U503" s="123"/>
      <c r="V503" s="123"/>
    </row>
    <row r="504" spans="1:22" ht="15.75" hidden="1" customHeight="1" x14ac:dyDescent="0.25">
      <c r="A504" s="136"/>
      <c r="B504" s="136"/>
      <c r="C504" s="136"/>
      <c r="D504" s="136"/>
      <c r="E504" s="137"/>
      <c r="F504" s="137"/>
      <c r="G504" s="136"/>
      <c r="H504" s="136"/>
      <c r="I504" s="136"/>
      <c r="J504" s="136"/>
      <c r="K504" s="136"/>
      <c r="L504" s="136"/>
      <c r="M504" s="136"/>
      <c r="N504" s="136"/>
      <c r="O504" s="123"/>
      <c r="P504" s="123"/>
      <c r="Q504" s="123"/>
      <c r="R504" s="123"/>
      <c r="S504" s="123"/>
      <c r="T504" s="123"/>
      <c r="U504" s="123"/>
      <c r="V504" s="123"/>
    </row>
    <row r="505" spans="1:22" ht="15.75" hidden="1" customHeight="1" x14ac:dyDescent="0.25">
      <c r="A505" s="136"/>
      <c r="B505" s="136"/>
      <c r="C505" s="136"/>
      <c r="D505" s="136"/>
      <c r="E505" s="137"/>
      <c r="F505" s="137"/>
      <c r="G505" s="136"/>
      <c r="H505" s="136"/>
      <c r="I505" s="136"/>
      <c r="J505" s="136"/>
      <c r="K505" s="136"/>
      <c r="L505" s="136"/>
      <c r="M505" s="136"/>
      <c r="N505" s="136"/>
      <c r="O505" s="123"/>
      <c r="P505" s="123"/>
      <c r="Q505" s="123"/>
      <c r="R505" s="123"/>
      <c r="S505" s="123"/>
      <c r="T505" s="123"/>
      <c r="U505" s="123"/>
      <c r="V505" s="123"/>
    </row>
    <row r="506" spans="1:22" ht="15.75" hidden="1" customHeight="1" x14ac:dyDescent="0.25">
      <c r="A506" s="136"/>
      <c r="B506" s="136"/>
      <c r="C506" s="136"/>
      <c r="D506" s="136"/>
      <c r="E506" s="137"/>
      <c r="F506" s="137"/>
      <c r="G506" s="136"/>
      <c r="H506" s="136"/>
      <c r="I506" s="136"/>
      <c r="J506" s="136"/>
      <c r="K506" s="136"/>
      <c r="L506" s="136"/>
      <c r="M506" s="136"/>
      <c r="N506" s="136"/>
      <c r="O506" s="123"/>
      <c r="P506" s="123"/>
      <c r="Q506" s="123"/>
      <c r="R506" s="123"/>
      <c r="S506" s="123"/>
      <c r="T506" s="123"/>
      <c r="U506" s="123"/>
      <c r="V506" s="123"/>
    </row>
    <row r="507" spans="1:22" ht="15.75" hidden="1" customHeight="1" x14ac:dyDescent="0.25">
      <c r="A507" s="136"/>
      <c r="B507" s="136"/>
      <c r="C507" s="136"/>
      <c r="D507" s="136"/>
      <c r="E507" s="137"/>
      <c r="F507" s="137"/>
      <c r="G507" s="136"/>
      <c r="H507" s="136"/>
      <c r="I507" s="136"/>
      <c r="J507" s="136"/>
      <c r="K507" s="136"/>
      <c r="L507" s="136"/>
      <c r="M507" s="136"/>
      <c r="N507" s="136"/>
      <c r="O507" s="123"/>
      <c r="P507" s="123"/>
      <c r="Q507" s="123"/>
      <c r="R507" s="123"/>
      <c r="S507" s="123"/>
      <c r="T507" s="123"/>
      <c r="U507" s="123"/>
      <c r="V507" s="123"/>
    </row>
    <row r="508" spans="1:22" ht="15.75" hidden="1" customHeight="1" x14ac:dyDescent="0.25">
      <c r="A508" s="136"/>
      <c r="B508" s="136"/>
      <c r="C508" s="136"/>
      <c r="D508" s="136"/>
      <c r="E508" s="137"/>
      <c r="F508" s="137"/>
      <c r="G508" s="136"/>
      <c r="H508" s="136"/>
      <c r="I508" s="136"/>
      <c r="J508" s="136"/>
      <c r="K508" s="136"/>
      <c r="L508" s="136"/>
      <c r="M508" s="136"/>
      <c r="N508" s="136"/>
      <c r="O508" s="123"/>
      <c r="P508" s="123"/>
      <c r="Q508" s="123"/>
      <c r="R508" s="123"/>
      <c r="S508" s="123"/>
      <c r="T508" s="123"/>
      <c r="U508" s="123"/>
      <c r="V508" s="123"/>
    </row>
    <row r="509" spans="1:22" ht="15.75" hidden="1" customHeight="1" x14ac:dyDescent="0.25">
      <c r="A509" s="136"/>
      <c r="B509" s="136"/>
      <c r="C509" s="136"/>
      <c r="D509" s="136"/>
      <c r="E509" s="137"/>
      <c r="F509" s="137"/>
      <c r="G509" s="136"/>
      <c r="H509" s="136"/>
      <c r="I509" s="136"/>
      <c r="J509" s="136"/>
      <c r="K509" s="136"/>
      <c r="L509" s="136"/>
      <c r="M509" s="136"/>
      <c r="N509" s="136"/>
      <c r="O509" s="123"/>
      <c r="P509" s="123"/>
      <c r="Q509" s="123"/>
      <c r="R509" s="123"/>
      <c r="S509" s="123"/>
      <c r="T509" s="123"/>
      <c r="U509" s="123"/>
      <c r="V509" s="123"/>
    </row>
    <row r="510" spans="1:22" ht="15.75" hidden="1" customHeight="1" x14ac:dyDescent="0.25">
      <c r="A510" s="136"/>
      <c r="B510" s="136"/>
      <c r="C510" s="136"/>
      <c r="D510" s="136"/>
      <c r="E510" s="137"/>
      <c r="F510" s="137"/>
      <c r="G510" s="136"/>
      <c r="H510" s="136"/>
      <c r="I510" s="136"/>
      <c r="J510" s="136"/>
      <c r="K510" s="136"/>
      <c r="L510" s="136"/>
      <c r="M510" s="136"/>
      <c r="N510" s="136"/>
      <c r="O510" s="123"/>
      <c r="P510" s="123"/>
      <c r="Q510" s="123"/>
      <c r="R510" s="123"/>
      <c r="S510" s="123"/>
      <c r="T510" s="123"/>
      <c r="U510" s="123"/>
      <c r="V510" s="123"/>
    </row>
    <row r="511" spans="1:22" ht="15.75" hidden="1" customHeight="1" x14ac:dyDescent="0.25">
      <c r="A511" s="136"/>
      <c r="B511" s="136"/>
      <c r="C511" s="136"/>
      <c r="D511" s="136"/>
      <c r="E511" s="137"/>
      <c r="F511" s="137"/>
      <c r="G511" s="136"/>
      <c r="H511" s="136"/>
      <c r="I511" s="136"/>
      <c r="J511" s="136"/>
      <c r="K511" s="136"/>
      <c r="L511" s="136"/>
      <c r="M511" s="136"/>
      <c r="N511" s="136"/>
      <c r="O511" s="123"/>
      <c r="P511" s="123"/>
      <c r="Q511" s="123"/>
      <c r="R511" s="123"/>
      <c r="S511" s="123"/>
      <c r="T511" s="123"/>
      <c r="U511" s="123"/>
      <c r="V511" s="123"/>
    </row>
    <row r="512" spans="1:22" ht="15.75" hidden="1" customHeight="1" x14ac:dyDescent="0.25">
      <c r="A512" s="136"/>
      <c r="B512" s="136"/>
      <c r="C512" s="136"/>
      <c r="D512" s="136"/>
      <c r="E512" s="137"/>
      <c r="F512" s="137"/>
      <c r="G512" s="136"/>
      <c r="H512" s="136"/>
      <c r="I512" s="136"/>
      <c r="J512" s="136"/>
      <c r="K512" s="136"/>
      <c r="L512" s="136"/>
      <c r="M512" s="136"/>
      <c r="N512" s="136"/>
      <c r="O512" s="123"/>
      <c r="P512" s="123"/>
      <c r="Q512" s="123"/>
      <c r="R512" s="123"/>
      <c r="S512" s="123"/>
      <c r="T512" s="123"/>
      <c r="U512" s="123"/>
      <c r="V512" s="123"/>
    </row>
    <row r="513" spans="1:22" ht="15.75" hidden="1" customHeight="1" x14ac:dyDescent="0.25">
      <c r="A513" s="136"/>
      <c r="B513" s="136"/>
      <c r="C513" s="136"/>
      <c r="D513" s="136"/>
      <c r="E513" s="137"/>
      <c r="F513" s="137"/>
      <c r="G513" s="136"/>
      <c r="H513" s="136"/>
      <c r="I513" s="136"/>
      <c r="J513" s="136"/>
      <c r="K513" s="136"/>
      <c r="L513" s="136"/>
      <c r="M513" s="136"/>
      <c r="N513" s="136"/>
      <c r="O513" s="123"/>
      <c r="P513" s="123"/>
      <c r="Q513" s="123"/>
      <c r="R513" s="123"/>
      <c r="S513" s="123"/>
      <c r="T513" s="123"/>
      <c r="U513" s="123"/>
      <c r="V513" s="123"/>
    </row>
    <row r="514" spans="1:22" ht="15.75" hidden="1" customHeight="1" x14ac:dyDescent="0.25">
      <c r="A514" s="136"/>
      <c r="B514" s="136"/>
      <c r="C514" s="136"/>
      <c r="D514" s="136"/>
      <c r="E514" s="137"/>
      <c r="F514" s="137"/>
      <c r="G514" s="136"/>
      <c r="H514" s="136"/>
      <c r="I514" s="136"/>
      <c r="J514" s="136"/>
      <c r="K514" s="136"/>
      <c r="L514" s="136"/>
      <c r="M514" s="136"/>
      <c r="N514" s="136"/>
      <c r="O514" s="123"/>
      <c r="P514" s="123"/>
      <c r="Q514" s="123"/>
      <c r="R514" s="123"/>
      <c r="S514" s="123"/>
      <c r="T514" s="123"/>
      <c r="U514" s="123"/>
      <c r="V514" s="123"/>
    </row>
    <row r="515" spans="1:22" ht="15.75" hidden="1" customHeight="1" x14ac:dyDescent="0.25">
      <c r="A515" s="136"/>
      <c r="B515" s="136"/>
      <c r="C515" s="136"/>
      <c r="D515" s="136"/>
      <c r="E515" s="137"/>
      <c r="F515" s="137"/>
      <c r="G515" s="136"/>
      <c r="H515" s="136"/>
      <c r="I515" s="136"/>
      <c r="J515" s="136"/>
      <c r="K515" s="136"/>
      <c r="L515" s="136"/>
      <c r="M515" s="136"/>
      <c r="N515" s="136"/>
      <c r="O515" s="123"/>
      <c r="P515" s="123"/>
      <c r="Q515" s="123"/>
      <c r="R515" s="123"/>
      <c r="S515" s="123"/>
      <c r="T515" s="123"/>
      <c r="U515" s="123"/>
      <c r="V515" s="123"/>
    </row>
    <row r="516" spans="1:22" ht="15.75" hidden="1" customHeight="1" x14ac:dyDescent="0.25">
      <c r="A516" s="136"/>
      <c r="B516" s="136"/>
      <c r="C516" s="136"/>
      <c r="D516" s="136"/>
      <c r="E516" s="137"/>
      <c r="F516" s="137"/>
      <c r="G516" s="136"/>
      <c r="H516" s="136"/>
      <c r="I516" s="136"/>
      <c r="J516" s="136"/>
      <c r="K516" s="136"/>
      <c r="L516" s="136"/>
      <c r="M516" s="136"/>
      <c r="N516" s="136"/>
      <c r="O516" s="123"/>
      <c r="P516" s="123"/>
      <c r="Q516" s="123"/>
      <c r="R516" s="123"/>
      <c r="S516" s="123"/>
      <c r="T516" s="123"/>
      <c r="U516" s="123"/>
      <c r="V516" s="123"/>
    </row>
    <row r="517" spans="1:22" ht="15.75" hidden="1" customHeight="1" x14ac:dyDescent="0.25">
      <c r="A517" s="136"/>
      <c r="B517" s="136"/>
      <c r="C517" s="136"/>
      <c r="D517" s="136"/>
      <c r="E517" s="137"/>
      <c r="F517" s="137"/>
      <c r="G517" s="136"/>
      <c r="H517" s="136"/>
      <c r="I517" s="136"/>
      <c r="J517" s="136"/>
      <c r="K517" s="136"/>
      <c r="L517" s="136"/>
      <c r="M517" s="136"/>
      <c r="N517" s="136"/>
      <c r="O517" s="123"/>
      <c r="P517" s="123"/>
      <c r="Q517" s="123"/>
      <c r="R517" s="123"/>
      <c r="S517" s="123"/>
      <c r="T517" s="123"/>
      <c r="U517" s="123"/>
      <c r="V517" s="123"/>
    </row>
    <row r="518" spans="1:22" ht="15.75" hidden="1" customHeight="1" x14ac:dyDescent="0.25">
      <c r="A518" s="136"/>
      <c r="B518" s="136"/>
      <c r="C518" s="136"/>
      <c r="D518" s="136"/>
      <c r="E518" s="137"/>
      <c r="F518" s="137"/>
      <c r="G518" s="136"/>
      <c r="H518" s="136"/>
      <c r="I518" s="136"/>
      <c r="J518" s="136"/>
      <c r="K518" s="136"/>
      <c r="L518" s="136"/>
      <c r="M518" s="136"/>
      <c r="N518" s="136"/>
      <c r="O518" s="123"/>
      <c r="P518" s="123"/>
      <c r="Q518" s="123"/>
      <c r="R518" s="123"/>
      <c r="S518" s="123"/>
      <c r="T518" s="123"/>
      <c r="U518" s="123"/>
      <c r="V518" s="123"/>
    </row>
    <row r="519" spans="1:22" ht="15.75" hidden="1" customHeight="1" x14ac:dyDescent="0.25">
      <c r="A519" s="136"/>
      <c r="B519" s="136"/>
      <c r="C519" s="136"/>
      <c r="D519" s="136"/>
      <c r="E519" s="137"/>
      <c r="F519" s="137"/>
      <c r="G519" s="136"/>
      <c r="H519" s="136"/>
      <c r="I519" s="136"/>
      <c r="J519" s="136"/>
      <c r="K519" s="136"/>
      <c r="L519" s="136"/>
      <c r="M519" s="136"/>
      <c r="N519" s="136"/>
      <c r="O519" s="123"/>
      <c r="P519" s="123"/>
      <c r="Q519" s="123"/>
      <c r="R519" s="123"/>
      <c r="S519" s="123"/>
      <c r="T519" s="123"/>
      <c r="U519" s="123"/>
      <c r="V519" s="123"/>
    </row>
    <row r="520" spans="1:22" ht="15.75" hidden="1" customHeight="1" x14ac:dyDescent="0.25">
      <c r="A520" s="136"/>
      <c r="B520" s="136"/>
      <c r="C520" s="136"/>
      <c r="D520" s="136"/>
      <c r="E520" s="137"/>
      <c r="F520" s="137"/>
      <c r="G520" s="136"/>
      <c r="H520" s="136"/>
      <c r="I520" s="136"/>
      <c r="J520" s="136"/>
      <c r="K520" s="136"/>
      <c r="L520" s="136"/>
      <c r="M520" s="136"/>
      <c r="N520" s="136"/>
      <c r="O520" s="123"/>
      <c r="P520" s="123"/>
      <c r="Q520" s="123"/>
      <c r="R520" s="123"/>
      <c r="S520" s="123"/>
      <c r="T520" s="123"/>
      <c r="U520" s="123"/>
      <c r="V520" s="123"/>
    </row>
    <row r="521" spans="1:22" ht="15.75" hidden="1" customHeight="1" x14ac:dyDescent="0.25">
      <c r="A521" s="136"/>
      <c r="B521" s="136"/>
      <c r="C521" s="136"/>
      <c r="D521" s="136"/>
      <c r="E521" s="137"/>
      <c r="F521" s="137"/>
      <c r="G521" s="136"/>
      <c r="H521" s="136"/>
      <c r="I521" s="136"/>
      <c r="J521" s="136"/>
      <c r="K521" s="136"/>
      <c r="L521" s="136"/>
      <c r="M521" s="136"/>
      <c r="N521" s="136"/>
      <c r="O521" s="123"/>
      <c r="P521" s="123"/>
      <c r="Q521" s="123"/>
      <c r="R521" s="123"/>
      <c r="S521" s="123"/>
      <c r="T521" s="123"/>
      <c r="U521" s="123"/>
      <c r="V521" s="123"/>
    </row>
    <row r="522" spans="1:22" ht="15.75" hidden="1" customHeight="1" x14ac:dyDescent="0.25">
      <c r="A522" s="136"/>
      <c r="B522" s="136"/>
      <c r="C522" s="136"/>
      <c r="D522" s="136"/>
      <c r="E522" s="137"/>
      <c r="F522" s="137"/>
      <c r="G522" s="136"/>
      <c r="H522" s="136"/>
      <c r="I522" s="136"/>
      <c r="J522" s="136"/>
      <c r="K522" s="136"/>
      <c r="L522" s="136"/>
      <c r="M522" s="136"/>
      <c r="N522" s="136"/>
      <c r="O522" s="123"/>
      <c r="P522" s="123"/>
      <c r="Q522" s="123"/>
      <c r="R522" s="123"/>
      <c r="S522" s="123"/>
      <c r="T522" s="123"/>
      <c r="U522" s="123"/>
      <c r="V522" s="123"/>
    </row>
    <row r="523" spans="1:22" ht="15.75" hidden="1" customHeight="1" x14ac:dyDescent="0.25">
      <c r="A523" s="136"/>
      <c r="B523" s="136"/>
      <c r="C523" s="136"/>
      <c r="D523" s="136"/>
      <c r="E523" s="137"/>
      <c r="F523" s="137"/>
      <c r="G523" s="136"/>
      <c r="H523" s="136"/>
      <c r="I523" s="136"/>
      <c r="J523" s="136"/>
      <c r="K523" s="136"/>
      <c r="L523" s="136"/>
      <c r="M523" s="136"/>
      <c r="N523" s="136"/>
      <c r="O523" s="123"/>
      <c r="P523" s="123"/>
      <c r="Q523" s="123"/>
      <c r="R523" s="123"/>
      <c r="S523" s="123"/>
      <c r="T523" s="123"/>
      <c r="U523" s="123"/>
      <c r="V523" s="123"/>
    </row>
    <row r="524" spans="1:22" ht="15.75" hidden="1" customHeight="1" x14ac:dyDescent="0.25">
      <c r="A524" s="136"/>
      <c r="B524" s="136"/>
      <c r="C524" s="136"/>
      <c r="D524" s="136"/>
      <c r="E524" s="137"/>
      <c r="F524" s="137"/>
      <c r="G524" s="136"/>
      <c r="H524" s="136"/>
      <c r="I524" s="136"/>
      <c r="J524" s="136"/>
      <c r="K524" s="136"/>
      <c r="L524" s="136"/>
      <c r="M524" s="136"/>
      <c r="N524" s="136"/>
      <c r="O524" s="123"/>
      <c r="P524" s="123"/>
      <c r="Q524" s="123"/>
      <c r="R524" s="123"/>
      <c r="S524" s="123"/>
      <c r="T524" s="123"/>
      <c r="U524" s="123"/>
      <c r="V524" s="123"/>
    </row>
    <row r="525" spans="1:22" ht="15.75" hidden="1" customHeight="1" x14ac:dyDescent="0.25">
      <c r="A525" s="136"/>
      <c r="B525" s="136"/>
      <c r="C525" s="136"/>
      <c r="D525" s="136"/>
      <c r="E525" s="137"/>
      <c r="F525" s="137"/>
      <c r="G525" s="136"/>
      <c r="H525" s="136"/>
      <c r="I525" s="136"/>
      <c r="J525" s="136"/>
      <c r="K525" s="136"/>
      <c r="L525" s="136"/>
      <c r="M525" s="136"/>
      <c r="N525" s="136"/>
      <c r="O525" s="123"/>
      <c r="P525" s="123"/>
      <c r="Q525" s="123"/>
      <c r="R525" s="123"/>
      <c r="S525" s="123"/>
      <c r="T525" s="123"/>
      <c r="U525" s="123"/>
      <c r="V525" s="123"/>
    </row>
    <row r="526" spans="1:22" ht="15.75" hidden="1" customHeight="1" x14ac:dyDescent="0.25">
      <c r="A526" s="136"/>
      <c r="B526" s="136"/>
      <c r="C526" s="136"/>
      <c r="D526" s="136"/>
      <c r="E526" s="137"/>
      <c r="F526" s="137"/>
      <c r="G526" s="136"/>
      <c r="H526" s="136"/>
      <c r="I526" s="136"/>
      <c r="J526" s="136"/>
      <c r="K526" s="136"/>
      <c r="L526" s="136"/>
      <c r="M526" s="136"/>
      <c r="N526" s="136"/>
      <c r="O526" s="123"/>
      <c r="P526" s="123"/>
      <c r="Q526" s="123"/>
      <c r="R526" s="123"/>
      <c r="S526" s="123"/>
      <c r="T526" s="123"/>
      <c r="U526" s="123"/>
      <c r="V526" s="123"/>
    </row>
    <row r="527" spans="1:22" ht="15.75" hidden="1" customHeight="1" x14ac:dyDescent="0.25">
      <c r="A527" s="136"/>
      <c r="B527" s="136"/>
      <c r="C527" s="136"/>
      <c r="D527" s="136"/>
      <c r="E527" s="137"/>
      <c r="F527" s="137"/>
      <c r="G527" s="136"/>
      <c r="H527" s="136"/>
      <c r="I527" s="136"/>
      <c r="J527" s="136"/>
      <c r="K527" s="136"/>
      <c r="L527" s="136"/>
      <c r="M527" s="136"/>
      <c r="N527" s="136"/>
      <c r="O527" s="123"/>
      <c r="P527" s="123"/>
      <c r="Q527" s="123"/>
      <c r="R527" s="123"/>
      <c r="S527" s="123"/>
      <c r="T527" s="123"/>
      <c r="U527" s="123"/>
      <c r="V527" s="123"/>
    </row>
    <row r="528" spans="1:22" ht="15.75" hidden="1" customHeight="1" x14ac:dyDescent="0.25">
      <c r="A528" s="136"/>
      <c r="B528" s="136"/>
      <c r="C528" s="136"/>
      <c r="D528" s="136"/>
      <c r="E528" s="137"/>
      <c r="F528" s="137"/>
      <c r="G528" s="136"/>
      <c r="H528" s="136"/>
      <c r="I528" s="136"/>
      <c r="J528" s="136"/>
      <c r="K528" s="136"/>
      <c r="L528" s="136"/>
      <c r="M528" s="136"/>
      <c r="N528" s="136"/>
      <c r="O528" s="123"/>
      <c r="P528" s="123"/>
      <c r="Q528" s="123"/>
      <c r="R528" s="123"/>
      <c r="S528" s="123"/>
      <c r="T528" s="123"/>
      <c r="U528" s="123"/>
      <c r="V528" s="123"/>
    </row>
    <row r="529" spans="1:22" ht="15.75" hidden="1" customHeight="1" x14ac:dyDescent="0.25">
      <c r="A529" s="136"/>
      <c r="B529" s="136"/>
      <c r="C529" s="136"/>
      <c r="D529" s="136"/>
      <c r="E529" s="137"/>
      <c r="F529" s="137"/>
      <c r="G529" s="136"/>
      <c r="H529" s="136"/>
      <c r="I529" s="136"/>
      <c r="J529" s="136"/>
      <c r="K529" s="136"/>
      <c r="L529" s="136"/>
      <c r="M529" s="136"/>
      <c r="N529" s="136"/>
      <c r="O529" s="123"/>
      <c r="P529" s="123"/>
      <c r="Q529" s="123"/>
      <c r="R529" s="123"/>
      <c r="S529" s="123"/>
      <c r="T529" s="123"/>
      <c r="U529" s="123"/>
      <c r="V529" s="123"/>
    </row>
    <row r="530" spans="1:22" ht="15.75" hidden="1" customHeight="1" x14ac:dyDescent="0.25">
      <c r="A530" s="136"/>
      <c r="B530" s="136"/>
      <c r="C530" s="136"/>
      <c r="D530" s="136"/>
      <c r="E530" s="137"/>
      <c r="F530" s="137"/>
      <c r="G530" s="136"/>
      <c r="H530" s="136"/>
      <c r="I530" s="136"/>
      <c r="J530" s="136"/>
      <c r="K530" s="136"/>
      <c r="L530" s="136"/>
      <c r="M530" s="136"/>
      <c r="N530" s="136"/>
      <c r="O530" s="123"/>
      <c r="P530" s="123"/>
      <c r="Q530" s="123"/>
      <c r="R530" s="123"/>
      <c r="S530" s="123"/>
      <c r="T530" s="123"/>
      <c r="U530" s="123"/>
      <c r="V530" s="123"/>
    </row>
    <row r="531" spans="1:22" ht="15.75" hidden="1" customHeight="1" x14ac:dyDescent="0.25">
      <c r="A531" s="136"/>
      <c r="B531" s="136"/>
      <c r="C531" s="136"/>
      <c r="D531" s="136"/>
      <c r="E531" s="137"/>
      <c r="F531" s="137"/>
      <c r="G531" s="136"/>
      <c r="H531" s="136"/>
      <c r="I531" s="136"/>
      <c r="J531" s="136"/>
      <c r="K531" s="136"/>
      <c r="L531" s="136"/>
      <c r="M531" s="136"/>
      <c r="N531" s="136"/>
      <c r="O531" s="123"/>
      <c r="P531" s="123"/>
      <c r="Q531" s="123"/>
      <c r="R531" s="123"/>
      <c r="S531" s="123"/>
      <c r="T531" s="123"/>
      <c r="U531" s="123"/>
      <c r="V531" s="123"/>
    </row>
    <row r="532" spans="1:22" ht="15.75" hidden="1" customHeight="1" x14ac:dyDescent="0.25">
      <c r="A532" s="136"/>
      <c r="B532" s="136"/>
      <c r="C532" s="136"/>
      <c r="D532" s="136"/>
      <c r="E532" s="137"/>
      <c r="F532" s="137"/>
      <c r="G532" s="136"/>
      <c r="H532" s="136"/>
      <c r="I532" s="136"/>
      <c r="J532" s="136"/>
      <c r="K532" s="136"/>
      <c r="L532" s="136"/>
      <c r="M532" s="136"/>
      <c r="N532" s="136"/>
      <c r="O532" s="123"/>
      <c r="P532" s="123"/>
      <c r="Q532" s="123"/>
      <c r="R532" s="123"/>
      <c r="S532" s="123"/>
      <c r="T532" s="123"/>
      <c r="U532" s="123"/>
      <c r="V532" s="123"/>
    </row>
    <row r="533" spans="1:22" ht="15.75" hidden="1" customHeight="1" x14ac:dyDescent="0.25">
      <c r="A533" s="136"/>
      <c r="B533" s="136"/>
      <c r="C533" s="136"/>
      <c r="D533" s="136"/>
      <c r="E533" s="137"/>
      <c r="F533" s="137"/>
      <c r="G533" s="136"/>
      <c r="H533" s="136"/>
      <c r="I533" s="136"/>
      <c r="J533" s="136"/>
      <c r="K533" s="136"/>
      <c r="L533" s="136"/>
      <c r="M533" s="136"/>
      <c r="N533" s="136"/>
      <c r="O533" s="123"/>
      <c r="P533" s="123"/>
      <c r="Q533" s="123"/>
      <c r="R533" s="123"/>
      <c r="S533" s="123"/>
      <c r="T533" s="123"/>
      <c r="U533" s="123"/>
      <c r="V533" s="123"/>
    </row>
    <row r="534" spans="1:22" ht="15.75" hidden="1" customHeight="1" x14ac:dyDescent="0.25">
      <c r="A534" s="136"/>
      <c r="B534" s="136"/>
      <c r="C534" s="136"/>
      <c r="D534" s="136"/>
      <c r="E534" s="137"/>
      <c r="F534" s="137"/>
      <c r="G534" s="136"/>
      <c r="H534" s="136"/>
      <c r="I534" s="136"/>
      <c r="J534" s="136"/>
      <c r="K534" s="136"/>
      <c r="L534" s="136"/>
      <c r="M534" s="136"/>
      <c r="N534" s="136"/>
      <c r="O534" s="123"/>
      <c r="P534" s="123"/>
      <c r="Q534" s="123"/>
      <c r="R534" s="123"/>
      <c r="S534" s="123"/>
      <c r="T534" s="123"/>
      <c r="U534" s="123"/>
      <c r="V534" s="123"/>
    </row>
    <row r="535" spans="1:22" ht="15.75" hidden="1" customHeight="1" x14ac:dyDescent="0.25">
      <c r="A535" s="136"/>
      <c r="B535" s="136"/>
      <c r="C535" s="136"/>
      <c r="D535" s="136"/>
      <c r="E535" s="137"/>
      <c r="F535" s="137"/>
      <c r="G535" s="136"/>
      <c r="H535" s="136"/>
      <c r="I535" s="136"/>
      <c r="J535" s="136"/>
      <c r="K535" s="136"/>
      <c r="L535" s="136"/>
      <c r="M535" s="136"/>
      <c r="N535" s="136"/>
      <c r="O535" s="123"/>
      <c r="P535" s="123"/>
      <c r="Q535" s="123"/>
      <c r="R535" s="123"/>
      <c r="S535" s="123"/>
      <c r="T535" s="123"/>
      <c r="U535" s="123"/>
      <c r="V535" s="123"/>
    </row>
    <row r="536" spans="1:22" ht="15.75" hidden="1" customHeight="1" x14ac:dyDescent="0.25">
      <c r="A536" s="136"/>
      <c r="B536" s="136"/>
      <c r="C536" s="136"/>
      <c r="D536" s="136"/>
      <c r="E536" s="137"/>
      <c r="F536" s="137"/>
      <c r="G536" s="136"/>
      <c r="H536" s="136"/>
      <c r="I536" s="136"/>
      <c r="J536" s="136"/>
      <c r="K536" s="136"/>
      <c r="L536" s="136"/>
      <c r="M536" s="136"/>
      <c r="N536" s="136"/>
      <c r="O536" s="123"/>
      <c r="P536" s="123"/>
      <c r="Q536" s="123"/>
      <c r="R536" s="123"/>
      <c r="S536" s="123"/>
      <c r="T536" s="123"/>
      <c r="U536" s="123"/>
      <c r="V536" s="123"/>
    </row>
    <row r="537" spans="1:22" ht="15.75" hidden="1" customHeight="1" x14ac:dyDescent="0.25">
      <c r="A537" s="136"/>
      <c r="B537" s="136"/>
      <c r="C537" s="136"/>
      <c r="D537" s="136"/>
      <c r="E537" s="137"/>
      <c r="F537" s="137"/>
      <c r="G537" s="136"/>
      <c r="H537" s="136"/>
      <c r="I537" s="136"/>
      <c r="J537" s="136"/>
      <c r="K537" s="136"/>
      <c r="L537" s="136"/>
      <c r="M537" s="136"/>
      <c r="N537" s="136"/>
      <c r="O537" s="123"/>
      <c r="P537" s="123"/>
      <c r="Q537" s="123"/>
      <c r="R537" s="123"/>
      <c r="S537" s="123"/>
      <c r="T537" s="123"/>
      <c r="U537" s="123"/>
      <c r="V537" s="123"/>
    </row>
    <row r="538" spans="1:22" ht="15.75" hidden="1" customHeight="1" x14ac:dyDescent="0.25">
      <c r="A538" s="136"/>
      <c r="B538" s="136"/>
      <c r="C538" s="136"/>
      <c r="D538" s="136"/>
      <c r="E538" s="137"/>
      <c r="F538" s="137"/>
      <c r="G538" s="136"/>
      <c r="H538" s="136"/>
      <c r="I538" s="136"/>
      <c r="J538" s="136"/>
      <c r="K538" s="136"/>
      <c r="L538" s="136"/>
      <c r="M538" s="136"/>
      <c r="N538" s="136"/>
      <c r="O538" s="123"/>
      <c r="P538" s="123"/>
      <c r="Q538" s="123"/>
      <c r="R538" s="123"/>
      <c r="S538" s="123"/>
      <c r="T538" s="123"/>
      <c r="U538" s="123"/>
      <c r="V538" s="123"/>
    </row>
    <row r="539" spans="1:22" ht="15.75" hidden="1" customHeight="1" x14ac:dyDescent="0.25">
      <c r="A539" s="136"/>
      <c r="B539" s="136"/>
      <c r="C539" s="136"/>
      <c r="D539" s="136"/>
      <c r="E539" s="137"/>
      <c r="F539" s="137"/>
      <c r="G539" s="136"/>
      <c r="H539" s="136"/>
      <c r="I539" s="136"/>
      <c r="J539" s="136"/>
      <c r="K539" s="136"/>
      <c r="L539" s="136"/>
      <c r="M539" s="136"/>
      <c r="N539" s="136"/>
      <c r="O539" s="123"/>
      <c r="P539" s="123"/>
      <c r="Q539" s="123"/>
      <c r="R539" s="123"/>
      <c r="S539" s="123"/>
      <c r="T539" s="123"/>
      <c r="U539" s="123"/>
      <c r="V539" s="123"/>
    </row>
    <row r="540" spans="1:22" ht="15.75" hidden="1" customHeight="1" x14ac:dyDescent="0.25">
      <c r="A540" s="136"/>
      <c r="B540" s="136"/>
      <c r="C540" s="136"/>
      <c r="D540" s="136"/>
      <c r="E540" s="137"/>
      <c r="F540" s="137"/>
      <c r="G540" s="136"/>
      <c r="H540" s="136"/>
      <c r="I540" s="136"/>
      <c r="J540" s="136"/>
      <c r="K540" s="136"/>
      <c r="L540" s="136"/>
      <c r="M540" s="136"/>
      <c r="N540" s="136"/>
      <c r="O540" s="123"/>
      <c r="P540" s="123"/>
      <c r="Q540" s="123"/>
      <c r="R540" s="123"/>
      <c r="S540" s="123"/>
      <c r="T540" s="123"/>
      <c r="U540" s="123"/>
      <c r="V540" s="123"/>
    </row>
    <row r="541" spans="1:22" ht="15.75" hidden="1" customHeight="1" x14ac:dyDescent="0.25">
      <c r="A541" s="136"/>
      <c r="B541" s="136"/>
      <c r="C541" s="136"/>
      <c r="D541" s="136"/>
      <c r="E541" s="137"/>
      <c r="F541" s="137"/>
      <c r="G541" s="136"/>
      <c r="H541" s="136"/>
      <c r="I541" s="136"/>
      <c r="J541" s="136"/>
      <c r="K541" s="136"/>
      <c r="L541" s="136"/>
      <c r="M541" s="136"/>
      <c r="N541" s="136"/>
      <c r="O541" s="123"/>
      <c r="P541" s="123"/>
      <c r="Q541" s="123"/>
      <c r="R541" s="123"/>
      <c r="S541" s="123"/>
      <c r="T541" s="123"/>
      <c r="U541" s="123"/>
      <c r="V541" s="123"/>
    </row>
    <row r="542" spans="1:22" ht="15.75" hidden="1" customHeight="1" x14ac:dyDescent="0.25">
      <c r="A542" s="136"/>
      <c r="B542" s="136"/>
      <c r="C542" s="136"/>
      <c r="D542" s="136"/>
      <c r="E542" s="137"/>
      <c r="F542" s="137"/>
      <c r="G542" s="136"/>
      <c r="H542" s="136"/>
      <c r="I542" s="136"/>
      <c r="J542" s="136"/>
      <c r="K542" s="136"/>
      <c r="L542" s="136"/>
      <c r="M542" s="136"/>
      <c r="N542" s="136"/>
      <c r="O542" s="123"/>
      <c r="P542" s="123"/>
      <c r="Q542" s="123"/>
      <c r="R542" s="123"/>
      <c r="S542" s="123"/>
      <c r="T542" s="123"/>
      <c r="U542" s="123"/>
      <c r="V542" s="123"/>
    </row>
    <row r="543" spans="1:22" ht="15.75" hidden="1" customHeight="1" x14ac:dyDescent="0.25">
      <c r="A543" s="136"/>
      <c r="B543" s="136"/>
      <c r="C543" s="136"/>
      <c r="D543" s="136"/>
      <c r="E543" s="137"/>
      <c r="F543" s="137"/>
      <c r="G543" s="136"/>
      <c r="H543" s="136"/>
      <c r="I543" s="136"/>
      <c r="J543" s="136"/>
      <c r="K543" s="136"/>
      <c r="L543" s="136"/>
      <c r="M543" s="136"/>
      <c r="N543" s="136"/>
      <c r="O543" s="123"/>
      <c r="P543" s="123"/>
      <c r="Q543" s="123"/>
      <c r="R543" s="123"/>
      <c r="S543" s="123"/>
      <c r="T543" s="123"/>
      <c r="U543" s="123"/>
      <c r="V543" s="123"/>
    </row>
    <row r="544" spans="1:22" ht="15.75" hidden="1" customHeight="1" x14ac:dyDescent="0.25">
      <c r="A544" s="136"/>
      <c r="B544" s="136"/>
      <c r="C544" s="136"/>
      <c r="D544" s="136"/>
      <c r="E544" s="137"/>
      <c r="F544" s="137"/>
      <c r="G544" s="136"/>
      <c r="H544" s="136"/>
      <c r="I544" s="136"/>
      <c r="J544" s="136"/>
      <c r="K544" s="136"/>
      <c r="L544" s="136"/>
      <c r="M544" s="136"/>
      <c r="N544" s="136"/>
      <c r="O544" s="123"/>
      <c r="P544" s="123"/>
      <c r="Q544" s="123"/>
      <c r="R544" s="123"/>
      <c r="S544" s="123"/>
      <c r="T544" s="123"/>
      <c r="U544" s="123"/>
      <c r="V544" s="123"/>
    </row>
    <row r="545" spans="1:22" ht="15.75" hidden="1" customHeight="1" x14ac:dyDescent="0.25">
      <c r="A545" s="136"/>
      <c r="B545" s="136"/>
      <c r="C545" s="136"/>
      <c r="D545" s="136"/>
      <c r="E545" s="137"/>
      <c r="F545" s="137"/>
      <c r="G545" s="136"/>
      <c r="H545" s="136"/>
      <c r="I545" s="136"/>
      <c r="J545" s="136"/>
      <c r="K545" s="136"/>
      <c r="L545" s="136"/>
      <c r="M545" s="136"/>
      <c r="N545" s="136"/>
      <c r="O545" s="123"/>
      <c r="P545" s="123"/>
      <c r="Q545" s="123"/>
      <c r="R545" s="123"/>
      <c r="S545" s="123"/>
      <c r="T545" s="123"/>
      <c r="U545" s="123"/>
      <c r="V545" s="123"/>
    </row>
    <row r="546" spans="1:22" ht="15.75" hidden="1" customHeight="1" x14ac:dyDescent="0.25">
      <c r="A546" s="136"/>
      <c r="B546" s="136"/>
      <c r="C546" s="136"/>
      <c r="D546" s="136"/>
      <c r="E546" s="137"/>
      <c r="F546" s="137"/>
      <c r="G546" s="136"/>
      <c r="H546" s="136"/>
      <c r="I546" s="136"/>
      <c r="J546" s="136"/>
      <c r="K546" s="136"/>
      <c r="L546" s="136"/>
      <c r="M546" s="136"/>
      <c r="N546" s="136"/>
      <c r="O546" s="123"/>
      <c r="P546" s="123"/>
      <c r="Q546" s="123"/>
      <c r="R546" s="123"/>
      <c r="S546" s="123"/>
      <c r="T546" s="123"/>
      <c r="U546" s="123"/>
      <c r="V546" s="123"/>
    </row>
    <row r="547" spans="1:22" ht="15.75" hidden="1" customHeight="1" x14ac:dyDescent="0.25">
      <c r="A547" s="136"/>
      <c r="B547" s="136"/>
      <c r="C547" s="136"/>
      <c r="D547" s="136"/>
      <c r="E547" s="137"/>
      <c r="F547" s="137"/>
      <c r="G547" s="136"/>
      <c r="H547" s="136"/>
      <c r="I547" s="136"/>
      <c r="J547" s="136"/>
      <c r="K547" s="136"/>
      <c r="L547" s="136"/>
      <c r="M547" s="136"/>
      <c r="N547" s="136"/>
      <c r="O547" s="123"/>
      <c r="P547" s="123"/>
      <c r="Q547" s="123"/>
      <c r="R547" s="123"/>
      <c r="S547" s="123"/>
      <c r="T547" s="123"/>
      <c r="U547" s="123"/>
      <c r="V547" s="123"/>
    </row>
    <row r="548" spans="1:22" ht="15.75" hidden="1" customHeight="1" x14ac:dyDescent="0.25">
      <c r="A548" s="136"/>
      <c r="B548" s="136"/>
      <c r="C548" s="136"/>
      <c r="D548" s="136"/>
      <c r="E548" s="137"/>
      <c r="F548" s="137"/>
      <c r="G548" s="136"/>
      <c r="H548" s="136"/>
      <c r="I548" s="136"/>
      <c r="J548" s="136"/>
      <c r="K548" s="136"/>
      <c r="L548" s="136"/>
      <c r="M548" s="136"/>
      <c r="N548" s="136"/>
      <c r="O548" s="123"/>
      <c r="P548" s="123"/>
      <c r="Q548" s="123"/>
      <c r="R548" s="123"/>
      <c r="S548" s="123"/>
      <c r="T548" s="123"/>
      <c r="U548" s="123"/>
      <c r="V548" s="123"/>
    </row>
    <row r="549" spans="1:22" ht="15.75" hidden="1" customHeight="1" x14ac:dyDescent="0.25">
      <c r="A549" s="136"/>
      <c r="B549" s="136"/>
      <c r="C549" s="136"/>
      <c r="D549" s="136"/>
      <c r="E549" s="137"/>
      <c r="F549" s="137"/>
      <c r="G549" s="136"/>
      <c r="H549" s="136"/>
      <c r="I549" s="136"/>
      <c r="J549" s="136"/>
      <c r="K549" s="136"/>
      <c r="L549" s="136"/>
      <c r="M549" s="136"/>
      <c r="N549" s="136"/>
      <c r="O549" s="123"/>
      <c r="P549" s="123"/>
      <c r="Q549" s="123"/>
      <c r="R549" s="123"/>
      <c r="S549" s="123"/>
      <c r="T549" s="123"/>
      <c r="U549" s="123"/>
      <c r="V549" s="123"/>
    </row>
    <row r="550" spans="1:22" ht="15.75" hidden="1" customHeight="1" x14ac:dyDescent="0.25">
      <c r="A550" s="136"/>
      <c r="B550" s="136"/>
      <c r="C550" s="136"/>
      <c r="D550" s="136"/>
      <c r="E550" s="137"/>
      <c r="F550" s="137"/>
      <c r="G550" s="136"/>
      <c r="H550" s="136"/>
      <c r="I550" s="136"/>
      <c r="J550" s="136"/>
      <c r="K550" s="136"/>
      <c r="L550" s="136"/>
      <c r="M550" s="136"/>
      <c r="N550" s="136"/>
      <c r="O550" s="123"/>
      <c r="P550" s="123"/>
      <c r="Q550" s="123"/>
      <c r="R550" s="123"/>
      <c r="S550" s="123"/>
      <c r="T550" s="123"/>
      <c r="U550" s="123"/>
      <c r="V550" s="123"/>
    </row>
    <row r="551" spans="1:22" ht="15.75" hidden="1" customHeight="1" x14ac:dyDescent="0.25">
      <c r="A551" s="136"/>
      <c r="B551" s="136"/>
      <c r="C551" s="136"/>
      <c r="D551" s="136"/>
      <c r="E551" s="137"/>
      <c r="F551" s="137"/>
      <c r="G551" s="136"/>
      <c r="H551" s="136"/>
      <c r="I551" s="136"/>
      <c r="J551" s="136"/>
      <c r="K551" s="136"/>
      <c r="L551" s="136"/>
      <c r="M551" s="136"/>
      <c r="N551" s="136"/>
      <c r="O551" s="123"/>
      <c r="P551" s="123"/>
      <c r="Q551" s="123"/>
      <c r="R551" s="123"/>
      <c r="S551" s="123"/>
      <c r="T551" s="123"/>
      <c r="U551" s="123"/>
      <c r="V551" s="123"/>
    </row>
    <row r="552" spans="1:22" ht="15.75" hidden="1" customHeight="1" x14ac:dyDescent="0.25">
      <c r="A552" s="136"/>
      <c r="B552" s="136"/>
      <c r="C552" s="136"/>
      <c r="D552" s="136"/>
      <c r="E552" s="137"/>
      <c r="F552" s="137"/>
      <c r="G552" s="136"/>
      <c r="H552" s="136"/>
      <c r="I552" s="136"/>
      <c r="J552" s="136"/>
      <c r="K552" s="136"/>
      <c r="L552" s="136"/>
      <c r="M552" s="136"/>
      <c r="N552" s="136"/>
      <c r="O552" s="123"/>
      <c r="P552" s="123"/>
      <c r="Q552" s="123"/>
      <c r="R552" s="123"/>
      <c r="S552" s="123"/>
      <c r="T552" s="123"/>
      <c r="U552" s="123"/>
      <c r="V552" s="123"/>
    </row>
    <row r="553" spans="1:22" ht="15.75" hidden="1" customHeight="1" x14ac:dyDescent="0.25">
      <c r="A553" s="136"/>
      <c r="B553" s="136"/>
      <c r="C553" s="136"/>
      <c r="D553" s="136"/>
      <c r="E553" s="137"/>
      <c r="F553" s="137"/>
      <c r="G553" s="136"/>
      <c r="H553" s="136"/>
      <c r="I553" s="136"/>
      <c r="J553" s="136"/>
      <c r="K553" s="136"/>
      <c r="L553" s="136"/>
      <c r="M553" s="136"/>
      <c r="N553" s="136"/>
      <c r="O553" s="123"/>
      <c r="P553" s="123"/>
      <c r="Q553" s="123"/>
      <c r="R553" s="123"/>
      <c r="S553" s="123"/>
      <c r="T553" s="123"/>
      <c r="U553" s="123"/>
      <c r="V553" s="123"/>
    </row>
    <row r="554" spans="1:22" ht="15.75" hidden="1" customHeight="1" x14ac:dyDescent="0.25">
      <c r="A554" s="136"/>
      <c r="B554" s="136"/>
      <c r="C554" s="136"/>
      <c r="D554" s="136"/>
      <c r="E554" s="137"/>
      <c r="F554" s="137"/>
      <c r="G554" s="136"/>
      <c r="H554" s="136"/>
      <c r="I554" s="136"/>
      <c r="J554" s="136"/>
      <c r="K554" s="136"/>
      <c r="L554" s="136"/>
      <c r="M554" s="136"/>
      <c r="N554" s="136"/>
      <c r="O554" s="123"/>
      <c r="P554" s="123"/>
      <c r="Q554" s="123"/>
      <c r="R554" s="123"/>
      <c r="S554" s="123"/>
      <c r="T554" s="123"/>
      <c r="U554" s="123"/>
      <c r="V554" s="123"/>
    </row>
    <row r="555" spans="1:22" ht="15.75" hidden="1" customHeight="1" x14ac:dyDescent="0.25">
      <c r="A555" s="136"/>
      <c r="B555" s="136"/>
      <c r="C555" s="136"/>
      <c r="D555" s="136"/>
      <c r="E555" s="137"/>
      <c r="F555" s="137"/>
      <c r="G555" s="136"/>
      <c r="H555" s="136"/>
      <c r="I555" s="136"/>
      <c r="J555" s="136"/>
      <c r="K555" s="136"/>
      <c r="L555" s="136"/>
      <c r="M555" s="136"/>
      <c r="N555" s="136"/>
      <c r="O555" s="123"/>
      <c r="P555" s="123"/>
      <c r="Q555" s="123"/>
      <c r="R555" s="123"/>
      <c r="S555" s="123"/>
      <c r="T555" s="123"/>
      <c r="U555" s="123"/>
      <c r="V555" s="123"/>
    </row>
    <row r="556" spans="1:22" ht="15.75" hidden="1" customHeight="1" x14ac:dyDescent="0.25">
      <c r="A556" s="136"/>
      <c r="B556" s="136"/>
      <c r="C556" s="136"/>
      <c r="D556" s="136"/>
      <c r="E556" s="137"/>
      <c r="F556" s="137"/>
      <c r="G556" s="136"/>
      <c r="H556" s="136"/>
      <c r="I556" s="136"/>
      <c r="J556" s="136"/>
      <c r="K556" s="136"/>
      <c r="L556" s="136"/>
      <c r="M556" s="136"/>
      <c r="N556" s="136"/>
      <c r="O556" s="123"/>
      <c r="P556" s="123"/>
      <c r="Q556" s="123"/>
      <c r="R556" s="123"/>
      <c r="S556" s="123"/>
      <c r="T556" s="123"/>
      <c r="U556" s="123"/>
      <c r="V556" s="123"/>
    </row>
    <row r="557" spans="1:22" ht="15.75" hidden="1" customHeight="1" x14ac:dyDescent="0.25">
      <c r="A557" s="136"/>
      <c r="B557" s="136"/>
      <c r="C557" s="136"/>
      <c r="D557" s="136"/>
      <c r="E557" s="137"/>
      <c r="F557" s="137"/>
      <c r="G557" s="136"/>
      <c r="H557" s="136"/>
      <c r="I557" s="136"/>
      <c r="J557" s="136"/>
      <c r="K557" s="136"/>
      <c r="L557" s="136"/>
      <c r="M557" s="136"/>
      <c r="N557" s="136"/>
      <c r="O557" s="123"/>
      <c r="P557" s="123"/>
      <c r="Q557" s="123"/>
      <c r="R557" s="123"/>
      <c r="S557" s="123"/>
      <c r="T557" s="123"/>
      <c r="U557" s="123"/>
      <c r="V557" s="123"/>
    </row>
    <row r="558" spans="1:22" ht="15.75" hidden="1" customHeight="1" x14ac:dyDescent="0.25">
      <c r="A558" s="136"/>
      <c r="B558" s="136"/>
      <c r="C558" s="136"/>
      <c r="D558" s="136"/>
      <c r="E558" s="137"/>
      <c r="F558" s="137"/>
      <c r="G558" s="136"/>
      <c r="H558" s="136"/>
      <c r="I558" s="136"/>
      <c r="J558" s="136"/>
      <c r="K558" s="136"/>
      <c r="L558" s="136"/>
      <c r="M558" s="136"/>
      <c r="N558" s="136"/>
      <c r="O558" s="123"/>
      <c r="P558" s="123"/>
      <c r="Q558" s="123"/>
      <c r="R558" s="123"/>
      <c r="S558" s="123"/>
      <c r="T558" s="123"/>
      <c r="U558" s="123"/>
      <c r="V558" s="123"/>
    </row>
    <row r="559" spans="1:22" ht="15.75" hidden="1" customHeight="1" x14ac:dyDescent="0.25">
      <c r="A559" s="136"/>
      <c r="B559" s="136"/>
      <c r="C559" s="136"/>
      <c r="D559" s="136"/>
      <c r="E559" s="137"/>
      <c r="F559" s="137"/>
      <c r="G559" s="136"/>
      <c r="H559" s="136"/>
      <c r="I559" s="136"/>
      <c r="J559" s="136"/>
      <c r="K559" s="136"/>
      <c r="L559" s="136"/>
      <c r="M559" s="136"/>
      <c r="N559" s="136"/>
      <c r="O559" s="123"/>
      <c r="P559" s="123"/>
      <c r="Q559" s="123"/>
      <c r="R559" s="123"/>
      <c r="S559" s="123"/>
      <c r="T559" s="123"/>
      <c r="U559" s="123"/>
      <c r="V559" s="123"/>
    </row>
    <row r="560" spans="1:22" ht="15.75" hidden="1" customHeight="1" x14ac:dyDescent="0.25">
      <c r="A560" s="136"/>
      <c r="B560" s="136"/>
      <c r="C560" s="136"/>
      <c r="D560" s="136"/>
      <c r="E560" s="137"/>
      <c r="F560" s="137"/>
      <c r="G560" s="136"/>
      <c r="H560" s="136"/>
      <c r="I560" s="136"/>
      <c r="J560" s="136"/>
      <c r="K560" s="136"/>
      <c r="L560" s="136"/>
      <c r="M560" s="136"/>
      <c r="N560" s="136"/>
      <c r="O560" s="123"/>
      <c r="P560" s="123"/>
      <c r="Q560" s="123"/>
      <c r="R560" s="123"/>
      <c r="S560" s="123"/>
      <c r="T560" s="123"/>
      <c r="U560" s="123"/>
      <c r="V560" s="123"/>
    </row>
    <row r="561" spans="1:22" ht="15.75" hidden="1" customHeight="1" x14ac:dyDescent="0.25">
      <c r="A561" s="136"/>
      <c r="B561" s="136"/>
      <c r="C561" s="136"/>
      <c r="D561" s="136"/>
      <c r="E561" s="137"/>
      <c r="F561" s="137"/>
      <c r="G561" s="136"/>
      <c r="H561" s="136"/>
      <c r="I561" s="136"/>
      <c r="J561" s="136"/>
      <c r="K561" s="136"/>
      <c r="L561" s="136"/>
      <c r="M561" s="136"/>
      <c r="N561" s="136"/>
      <c r="O561" s="123"/>
      <c r="P561" s="123"/>
      <c r="Q561" s="123"/>
      <c r="R561" s="123"/>
      <c r="S561" s="123"/>
      <c r="T561" s="123"/>
      <c r="U561" s="123"/>
      <c r="V561" s="123"/>
    </row>
    <row r="562" spans="1:22" ht="15.75" hidden="1" customHeight="1" x14ac:dyDescent="0.25">
      <c r="A562" s="136"/>
      <c r="B562" s="136"/>
      <c r="C562" s="136"/>
      <c r="D562" s="136"/>
      <c r="E562" s="137"/>
      <c r="F562" s="137"/>
      <c r="G562" s="136"/>
      <c r="H562" s="136"/>
      <c r="I562" s="136"/>
      <c r="J562" s="136"/>
      <c r="K562" s="136"/>
      <c r="L562" s="136"/>
      <c r="M562" s="136"/>
      <c r="N562" s="136"/>
      <c r="O562" s="123"/>
      <c r="P562" s="123"/>
      <c r="Q562" s="123"/>
      <c r="R562" s="123"/>
      <c r="S562" s="123"/>
      <c r="T562" s="123"/>
      <c r="U562" s="123"/>
      <c r="V562" s="123"/>
    </row>
    <row r="563" spans="1:22" ht="15.75" hidden="1" customHeight="1" x14ac:dyDescent="0.25">
      <c r="A563" s="136"/>
      <c r="B563" s="136"/>
      <c r="C563" s="136"/>
      <c r="D563" s="136"/>
      <c r="E563" s="137"/>
      <c r="F563" s="137"/>
      <c r="G563" s="136"/>
      <c r="H563" s="136"/>
      <c r="I563" s="136"/>
      <c r="J563" s="136"/>
      <c r="K563" s="136"/>
      <c r="L563" s="136"/>
      <c r="M563" s="136"/>
      <c r="N563" s="136"/>
      <c r="O563" s="123"/>
      <c r="P563" s="123"/>
      <c r="Q563" s="123"/>
      <c r="R563" s="123"/>
      <c r="S563" s="123"/>
      <c r="T563" s="123"/>
      <c r="U563" s="123"/>
      <c r="V563" s="123"/>
    </row>
    <row r="564" spans="1:22" ht="15.75" hidden="1" customHeight="1" x14ac:dyDescent="0.25">
      <c r="A564" s="136"/>
      <c r="B564" s="136"/>
      <c r="C564" s="136"/>
      <c r="D564" s="136"/>
      <c r="E564" s="137"/>
      <c r="F564" s="137"/>
      <c r="G564" s="136"/>
      <c r="H564" s="136"/>
      <c r="I564" s="136"/>
      <c r="J564" s="136"/>
      <c r="K564" s="136"/>
      <c r="L564" s="136"/>
      <c r="M564" s="136"/>
      <c r="N564" s="136"/>
      <c r="O564" s="123"/>
      <c r="P564" s="123"/>
      <c r="Q564" s="123"/>
      <c r="R564" s="123"/>
      <c r="S564" s="123"/>
      <c r="T564" s="123"/>
      <c r="U564" s="123"/>
      <c r="V564" s="123"/>
    </row>
    <row r="565" spans="1:22" ht="15.75" hidden="1" customHeight="1" x14ac:dyDescent="0.25">
      <c r="A565" s="136"/>
      <c r="B565" s="136"/>
      <c r="C565" s="136"/>
      <c r="D565" s="136"/>
      <c r="E565" s="137"/>
      <c r="F565" s="137"/>
      <c r="G565" s="136"/>
      <c r="H565" s="136"/>
      <c r="I565" s="136"/>
      <c r="J565" s="136"/>
      <c r="K565" s="136"/>
      <c r="L565" s="136"/>
      <c r="M565" s="136"/>
      <c r="N565" s="136"/>
      <c r="O565" s="123"/>
      <c r="P565" s="123"/>
      <c r="Q565" s="123"/>
      <c r="R565" s="123"/>
      <c r="S565" s="123"/>
      <c r="T565" s="123"/>
      <c r="U565" s="123"/>
      <c r="V565" s="123"/>
    </row>
    <row r="566" spans="1:22" ht="15.75" hidden="1" customHeight="1" x14ac:dyDescent="0.25">
      <c r="A566" s="136"/>
      <c r="B566" s="136"/>
      <c r="C566" s="136"/>
      <c r="D566" s="136"/>
      <c r="E566" s="137"/>
      <c r="F566" s="137"/>
      <c r="G566" s="136"/>
      <c r="H566" s="136"/>
      <c r="I566" s="136"/>
      <c r="J566" s="136"/>
      <c r="K566" s="136"/>
      <c r="L566" s="136"/>
      <c r="M566" s="136"/>
      <c r="N566" s="136"/>
      <c r="O566" s="123"/>
      <c r="P566" s="123"/>
      <c r="Q566" s="123"/>
      <c r="R566" s="123"/>
      <c r="S566" s="123"/>
      <c r="T566" s="123"/>
      <c r="U566" s="123"/>
      <c r="V566" s="123"/>
    </row>
    <row r="567" spans="1:22" ht="15.75" hidden="1" customHeight="1" x14ac:dyDescent="0.25">
      <c r="A567" s="136"/>
      <c r="B567" s="136"/>
      <c r="C567" s="136"/>
      <c r="D567" s="136"/>
      <c r="E567" s="137"/>
      <c r="F567" s="137"/>
      <c r="G567" s="136"/>
      <c r="H567" s="136"/>
      <c r="I567" s="136"/>
      <c r="J567" s="136"/>
      <c r="K567" s="136"/>
      <c r="L567" s="136"/>
      <c r="M567" s="136"/>
      <c r="N567" s="136"/>
      <c r="O567" s="123"/>
      <c r="P567" s="123"/>
      <c r="Q567" s="123"/>
      <c r="R567" s="123"/>
      <c r="S567" s="123"/>
      <c r="T567" s="123"/>
      <c r="U567" s="123"/>
      <c r="V567" s="123"/>
    </row>
    <row r="568" spans="1:22" ht="15.75" hidden="1" customHeight="1" x14ac:dyDescent="0.25">
      <c r="A568" s="136"/>
      <c r="B568" s="136"/>
      <c r="C568" s="136"/>
      <c r="D568" s="136"/>
      <c r="E568" s="137"/>
      <c r="F568" s="137"/>
      <c r="G568" s="136"/>
      <c r="H568" s="136"/>
      <c r="I568" s="136"/>
      <c r="J568" s="136"/>
      <c r="K568" s="136"/>
      <c r="L568" s="136"/>
      <c r="M568" s="136"/>
      <c r="N568" s="136"/>
      <c r="O568" s="123"/>
      <c r="P568" s="123"/>
      <c r="Q568" s="123"/>
      <c r="R568" s="123"/>
      <c r="S568" s="123"/>
      <c r="T568" s="123"/>
      <c r="U568" s="123"/>
      <c r="V568" s="123"/>
    </row>
    <row r="569" spans="1:22" ht="15.75" hidden="1" customHeight="1" x14ac:dyDescent="0.25">
      <c r="A569" s="136"/>
      <c r="B569" s="136"/>
      <c r="C569" s="136"/>
      <c r="D569" s="136"/>
      <c r="E569" s="137"/>
      <c r="F569" s="137"/>
      <c r="G569" s="136"/>
      <c r="H569" s="136"/>
      <c r="I569" s="136"/>
      <c r="J569" s="136"/>
      <c r="K569" s="136"/>
      <c r="L569" s="136"/>
      <c r="M569" s="136"/>
      <c r="N569" s="136"/>
      <c r="O569" s="123"/>
      <c r="P569" s="123"/>
      <c r="Q569" s="123"/>
      <c r="R569" s="123"/>
      <c r="S569" s="123"/>
      <c r="T569" s="123"/>
      <c r="U569" s="123"/>
      <c r="V569" s="123"/>
    </row>
    <row r="570" spans="1:22" ht="15.75" hidden="1" customHeight="1" x14ac:dyDescent="0.25">
      <c r="A570" s="136"/>
      <c r="B570" s="136"/>
      <c r="C570" s="136"/>
      <c r="D570" s="136"/>
      <c r="E570" s="137"/>
      <c r="F570" s="137"/>
      <c r="G570" s="136"/>
      <c r="H570" s="136"/>
      <c r="I570" s="136"/>
      <c r="J570" s="136"/>
      <c r="K570" s="136"/>
      <c r="L570" s="136"/>
      <c r="M570" s="136"/>
      <c r="N570" s="136"/>
      <c r="O570" s="123"/>
      <c r="P570" s="123"/>
      <c r="Q570" s="123"/>
      <c r="R570" s="123"/>
      <c r="S570" s="123"/>
      <c r="T570" s="123"/>
      <c r="U570" s="123"/>
      <c r="V570" s="123"/>
    </row>
    <row r="571" spans="1:22" ht="15.75" hidden="1" customHeight="1" x14ac:dyDescent="0.25">
      <c r="A571" s="136"/>
      <c r="B571" s="136"/>
      <c r="C571" s="136"/>
      <c r="D571" s="136"/>
      <c r="E571" s="137"/>
      <c r="F571" s="137"/>
      <c r="G571" s="136"/>
      <c r="H571" s="136"/>
      <c r="I571" s="136"/>
      <c r="J571" s="136"/>
      <c r="K571" s="136"/>
      <c r="L571" s="136"/>
      <c r="M571" s="136"/>
      <c r="N571" s="136"/>
      <c r="O571" s="123"/>
      <c r="P571" s="123"/>
      <c r="Q571" s="123"/>
      <c r="R571" s="123"/>
      <c r="S571" s="123"/>
      <c r="T571" s="123"/>
      <c r="U571" s="123"/>
      <c r="V571" s="123"/>
    </row>
    <row r="572" spans="1:22" ht="15.75" hidden="1" customHeight="1" x14ac:dyDescent="0.25">
      <c r="A572" s="136"/>
      <c r="B572" s="136"/>
      <c r="C572" s="136"/>
      <c r="D572" s="136"/>
      <c r="E572" s="137"/>
      <c r="F572" s="137"/>
      <c r="G572" s="136"/>
      <c r="H572" s="136"/>
      <c r="I572" s="136"/>
      <c r="J572" s="136"/>
      <c r="K572" s="136"/>
      <c r="L572" s="136"/>
      <c r="M572" s="136"/>
      <c r="N572" s="136"/>
      <c r="O572" s="123"/>
      <c r="P572" s="123"/>
      <c r="Q572" s="123"/>
      <c r="R572" s="123"/>
      <c r="S572" s="123"/>
      <c r="T572" s="123"/>
      <c r="U572" s="123"/>
      <c r="V572" s="123"/>
    </row>
    <row r="573" spans="1:22" ht="15.75" hidden="1" customHeight="1" x14ac:dyDescent="0.25">
      <c r="A573" s="136"/>
      <c r="B573" s="136"/>
      <c r="C573" s="136"/>
      <c r="D573" s="136"/>
      <c r="E573" s="137"/>
      <c r="F573" s="137"/>
      <c r="G573" s="136"/>
      <c r="H573" s="136"/>
      <c r="I573" s="136"/>
      <c r="J573" s="136"/>
      <c r="K573" s="136"/>
      <c r="L573" s="136"/>
      <c r="M573" s="136"/>
      <c r="N573" s="136"/>
      <c r="O573" s="123"/>
      <c r="P573" s="123"/>
      <c r="Q573" s="123"/>
      <c r="R573" s="123"/>
      <c r="S573" s="123"/>
      <c r="T573" s="123"/>
      <c r="U573" s="123"/>
      <c r="V573" s="123"/>
    </row>
    <row r="574" spans="1:22" ht="15.75" hidden="1" customHeight="1" x14ac:dyDescent="0.25">
      <c r="A574" s="136"/>
      <c r="B574" s="136"/>
      <c r="C574" s="136"/>
      <c r="D574" s="136"/>
      <c r="E574" s="137"/>
      <c r="F574" s="137"/>
      <c r="G574" s="136"/>
      <c r="H574" s="136"/>
      <c r="I574" s="136"/>
      <c r="J574" s="136"/>
      <c r="K574" s="136"/>
      <c r="L574" s="136"/>
      <c r="M574" s="136"/>
      <c r="N574" s="136"/>
      <c r="O574" s="123"/>
      <c r="P574" s="123"/>
      <c r="Q574" s="123"/>
      <c r="R574" s="123"/>
      <c r="S574" s="123"/>
      <c r="T574" s="123"/>
      <c r="U574" s="123"/>
      <c r="V574" s="123"/>
    </row>
    <row r="575" spans="1:22" ht="15.75" hidden="1" customHeight="1" x14ac:dyDescent="0.25">
      <c r="A575" s="136"/>
      <c r="B575" s="136"/>
      <c r="C575" s="136"/>
      <c r="D575" s="136"/>
      <c r="E575" s="137"/>
      <c r="F575" s="137"/>
      <c r="G575" s="136"/>
      <c r="H575" s="136"/>
      <c r="I575" s="136"/>
      <c r="J575" s="136"/>
      <c r="K575" s="136"/>
      <c r="L575" s="136"/>
      <c r="M575" s="136"/>
      <c r="N575" s="136"/>
      <c r="O575" s="123"/>
      <c r="P575" s="123"/>
      <c r="Q575" s="123"/>
      <c r="R575" s="123"/>
      <c r="S575" s="123"/>
      <c r="T575" s="123"/>
      <c r="U575" s="123"/>
      <c r="V575" s="123"/>
    </row>
    <row r="576" spans="1:22" ht="15.75" hidden="1" customHeight="1" x14ac:dyDescent="0.25">
      <c r="A576" s="136"/>
      <c r="B576" s="136"/>
      <c r="C576" s="136"/>
      <c r="D576" s="136"/>
      <c r="E576" s="137"/>
      <c r="F576" s="137"/>
      <c r="G576" s="136"/>
      <c r="H576" s="136"/>
      <c r="I576" s="136"/>
      <c r="J576" s="136"/>
      <c r="K576" s="136"/>
      <c r="L576" s="136"/>
      <c r="M576" s="136"/>
      <c r="N576" s="136"/>
      <c r="O576" s="123"/>
      <c r="P576" s="123"/>
      <c r="Q576" s="123"/>
      <c r="R576" s="123"/>
      <c r="S576" s="123"/>
      <c r="T576" s="123"/>
      <c r="U576" s="123"/>
      <c r="V576" s="123"/>
    </row>
    <row r="577" spans="1:22" ht="15.75" hidden="1" customHeight="1" x14ac:dyDescent="0.25">
      <c r="A577" s="136"/>
      <c r="B577" s="136"/>
      <c r="C577" s="136"/>
      <c r="D577" s="136"/>
      <c r="E577" s="137"/>
      <c r="F577" s="137"/>
      <c r="G577" s="136"/>
      <c r="H577" s="136"/>
      <c r="I577" s="136"/>
      <c r="J577" s="136"/>
      <c r="K577" s="136"/>
      <c r="L577" s="136"/>
      <c r="M577" s="136"/>
      <c r="N577" s="136"/>
      <c r="O577" s="123"/>
      <c r="P577" s="123"/>
      <c r="Q577" s="123"/>
      <c r="R577" s="123"/>
      <c r="S577" s="123"/>
      <c r="T577" s="123"/>
      <c r="U577" s="123"/>
      <c r="V577" s="123"/>
    </row>
    <row r="578" spans="1:22" ht="15.75" hidden="1" customHeight="1" x14ac:dyDescent="0.25">
      <c r="A578" s="136"/>
      <c r="B578" s="136"/>
      <c r="C578" s="136"/>
      <c r="D578" s="136"/>
      <c r="E578" s="137"/>
      <c r="F578" s="137"/>
      <c r="G578" s="136"/>
      <c r="H578" s="136"/>
      <c r="I578" s="136"/>
      <c r="J578" s="136"/>
      <c r="K578" s="136"/>
      <c r="L578" s="136"/>
      <c r="M578" s="136"/>
      <c r="N578" s="136"/>
      <c r="O578" s="123"/>
      <c r="P578" s="123"/>
      <c r="Q578" s="123"/>
      <c r="R578" s="123"/>
      <c r="S578" s="123"/>
      <c r="T578" s="123"/>
      <c r="U578" s="123"/>
      <c r="V578" s="123"/>
    </row>
    <row r="579" spans="1:22" ht="15.75" hidden="1" customHeight="1" x14ac:dyDescent="0.25">
      <c r="A579" s="136"/>
      <c r="B579" s="136"/>
      <c r="C579" s="136"/>
      <c r="D579" s="136"/>
      <c r="E579" s="137"/>
      <c r="F579" s="137"/>
      <c r="G579" s="136"/>
      <c r="H579" s="136"/>
      <c r="I579" s="136"/>
      <c r="J579" s="136"/>
      <c r="K579" s="136"/>
      <c r="L579" s="136"/>
      <c r="M579" s="136"/>
      <c r="N579" s="136"/>
      <c r="O579" s="123"/>
      <c r="P579" s="123"/>
      <c r="Q579" s="123"/>
      <c r="R579" s="123"/>
      <c r="S579" s="123"/>
      <c r="T579" s="123"/>
      <c r="U579" s="123"/>
      <c r="V579" s="123"/>
    </row>
    <row r="580" spans="1:22" ht="15.75" hidden="1" customHeight="1" x14ac:dyDescent="0.25">
      <c r="A580" s="136"/>
      <c r="B580" s="136"/>
      <c r="C580" s="136"/>
      <c r="D580" s="136"/>
      <c r="E580" s="137"/>
      <c r="F580" s="137"/>
      <c r="G580" s="136"/>
      <c r="H580" s="136"/>
      <c r="I580" s="136"/>
      <c r="J580" s="136"/>
      <c r="K580" s="136"/>
      <c r="L580" s="136"/>
      <c r="M580" s="136"/>
      <c r="N580" s="136"/>
      <c r="O580" s="123"/>
      <c r="P580" s="123"/>
      <c r="Q580" s="123"/>
      <c r="R580" s="123"/>
      <c r="S580" s="123"/>
      <c r="T580" s="123"/>
      <c r="U580" s="123"/>
      <c r="V580" s="123"/>
    </row>
    <row r="581" spans="1:22" ht="15.75" hidden="1" customHeight="1" x14ac:dyDescent="0.25">
      <c r="A581" s="136"/>
      <c r="B581" s="136"/>
      <c r="C581" s="136"/>
      <c r="D581" s="136"/>
      <c r="E581" s="137"/>
      <c r="F581" s="137"/>
      <c r="G581" s="136"/>
      <c r="H581" s="136"/>
      <c r="I581" s="136"/>
      <c r="J581" s="136"/>
      <c r="K581" s="136"/>
      <c r="L581" s="136"/>
      <c r="M581" s="136"/>
      <c r="N581" s="136"/>
      <c r="O581" s="123"/>
      <c r="P581" s="123"/>
      <c r="Q581" s="123"/>
      <c r="R581" s="123"/>
      <c r="S581" s="123"/>
      <c r="T581" s="123"/>
      <c r="U581" s="123"/>
      <c r="V581" s="123"/>
    </row>
    <row r="582" spans="1:22" ht="15.75" hidden="1" customHeight="1" x14ac:dyDescent="0.25">
      <c r="A582" s="136"/>
      <c r="B582" s="136"/>
      <c r="C582" s="136"/>
      <c r="D582" s="136"/>
      <c r="E582" s="137"/>
      <c r="F582" s="137"/>
      <c r="G582" s="136"/>
      <c r="H582" s="136"/>
      <c r="I582" s="136"/>
      <c r="J582" s="136"/>
      <c r="K582" s="136"/>
      <c r="L582" s="136"/>
      <c r="M582" s="136"/>
      <c r="N582" s="136"/>
      <c r="O582" s="123"/>
      <c r="P582" s="123"/>
      <c r="Q582" s="123"/>
      <c r="R582" s="123"/>
      <c r="S582" s="123"/>
      <c r="T582" s="123"/>
      <c r="U582" s="123"/>
      <c r="V582" s="123"/>
    </row>
    <row r="583" spans="1:22" ht="15.75" hidden="1" customHeight="1" x14ac:dyDescent="0.25">
      <c r="A583" s="136"/>
      <c r="B583" s="136"/>
      <c r="C583" s="136"/>
      <c r="D583" s="136"/>
      <c r="E583" s="137"/>
      <c r="F583" s="137"/>
      <c r="G583" s="136"/>
      <c r="H583" s="136"/>
      <c r="I583" s="136"/>
      <c r="J583" s="136"/>
      <c r="K583" s="136"/>
      <c r="L583" s="136"/>
      <c r="M583" s="136"/>
      <c r="N583" s="136"/>
      <c r="O583" s="123"/>
      <c r="P583" s="123"/>
      <c r="Q583" s="123"/>
      <c r="R583" s="123"/>
      <c r="S583" s="123"/>
      <c r="T583" s="123"/>
      <c r="U583" s="123"/>
      <c r="V583" s="123"/>
    </row>
    <row r="584" spans="1:22" ht="15.75" hidden="1" customHeight="1" x14ac:dyDescent="0.25">
      <c r="A584" s="136"/>
      <c r="B584" s="136"/>
      <c r="C584" s="136"/>
      <c r="D584" s="136"/>
      <c r="E584" s="137"/>
      <c r="F584" s="137"/>
      <c r="G584" s="136"/>
      <c r="H584" s="136"/>
      <c r="I584" s="136"/>
      <c r="J584" s="136"/>
      <c r="K584" s="136"/>
      <c r="L584" s="136"/>
      <c r="M584" s="136"/>
      <c r="N584" s="136"/>
      <c r="O584" s="123"/>
      <c r="P584" s="123"/>
      <c r="Q584" s="123"/>
      <c r="R584" s="123"/>
      <c r="S584" s="123"/>
      <c r="T584" s="123"/>
      <c r="U584" s="123"/>
      <c r="V584" s="123"/>
    </row>
    <row r="585" spans="1:22" ht="15.75" hidden="1" customHeight="1" x14ac:dyDescent="0.25">
      <c r="A585" s="136"/>
      <c r="B585" s="136"/>
      <c r="C585" s="136"/>
      <c r="D585" s="136"/>
      <c r="E585" s="137"/>
      <c r="F585" s="137"/>
      <c r="G585" s="136"/>
      <c r="H585" s="136"/>
      <c r="I585" s="136"/>
      <c r="J585" s="136"/>
      <c r="K585" s="136"/>
      <c r="L585" s="136"/>
      <c r="M585" s="136"/>
      <c r="N585" s="136"/>
      <c r="O585" s="123"/>
      <c r="P585" s="123"/>
      <c r="Q585" s="123"/>
      <c r="R585" s="123"/>
      <c r="S585" s="123"/>
      <c r="T585" s="123"/>
      <c r="U585" s="123"/>
      <c r="V585" s="123"/>
    </row>
    <row r="586" spans="1:22" ht="15.75" hidden="1" customHeight="1" x14ac:dyDescent="0.25">
      <c r="A586" s="136"/>
      <c r="B586" s="136"/>
      <c r="C586" s="136"/>
      <c r="D586" s="136"/>
      <c r="E586" s="137"/>
      <c r="F586" s="137"/>
      <c r="G586" s="136"/>
      <c r="H586" s="136"/>
      <c r="I586" s="136"/>
      <c r="J586" s="136"/>
      <c r="K586" s="136"/>
      <c r="L586" s="136"/>
      <c r="M586" s="136"/>
      <c r="N586" s="136"/>
      <c r="O586" s="123"/>
      <c r="P586" s="123"/>
      <c r="Q586" s="123"/>
      <c r="R586" s="123"/>
      <c r="S586" s="123"/>
      <c r="T586" s="123"/>
      <c r="U586" s="123"/>
      <c r="V586" s="123"/>
    </row>
    <row r="587" spans="1:22" ht="15.75" hidden="1" customHeight="1" x14ac:dyDescent="0.25">
      <c r="A587" s="136"/>
      <c r="B587" s="136"/>
      <c r="C587" s="136"/>
      <c r="D587" s="136"/>
      <c r="E587" s="137"/>
      <c r="F587" s="137"/>
      <c r="G587" s="136"/>
      <c r="H587" s="136"/>
      <c r="I587" s="136"/>
      <c r="J587" s="136"/>
      <c r="K587" s="136"/>
      <c r="L587" s="136"/>
      <c r="M587" s="136"/>
      <c r="N587" s="136"/>
      <c r="O587" s="123"/>
      <c r="P587" s="123"/>
      <c r="Q587" s="123"/>
      <c r="R587" s="123"/>
      <c r="S587" s="123"/>
      <c r="T587" s="123"/>
      <c r="U587" s="123"/>
      <c r="V587" s="123"/>
    </row>
    <row r="588" spans="1:22" ht="15.75" hidden="1" customHeight="1" x14ac:dyDescent="0.25">
      <c r="A588" s="136"/>
      <c r="B588" s="136"/>
      <c r="C588" s="136"/>
      <c r="D588" s="136"/>
      <c r="E588" s="137"/>
      <c r="F588" s="137"/>
      <c r="G588" s="136"/>
      <c r="H588" s="136"/>
      <c r="I588" s="136"/>
      <c r="J588" s="136"/>
      <c r="K588" s="136"/>
      <c r="L588" s="136"/>
      <c r="M588" s="136"/>
      <c r="N588" s="136"/>
      <c r="O588" s="123"/>
      <c r="P588" s="123"/>
      <c r="Q588" s="123"/>
      <c r="R588" s="123"/>
      <c r="S588" s="123"/>
      <c r="T588" s="123"/>
      <c r="U588" s="123"/>
      <c r="V588" s="123"/>
    </row>
    <row r="589" spans="1:22" ht="15.75" hidden="1" customHeight="1" x14ac:dyDescent="0.25">
      <c r="A589" s="136"/>
      <c r="B589" s="136"/>
      <c r="C589" s="136"/>
      <c r="D589" s="136"/>
      <c r="E589" s="137"/>
      <c r="F589" s="137"/>
      <c r="G589" s="136"/>
      <c r="H589" s="136"/>
      <c r="I589" s="136"/>
      <c r="J589" s="136"/>
      <c r="K589" s="136"/>
      <c r="L589" s="136"/>
      <c r="M589" s="136"/>
      <c r="N589" s="136"/>
      <c r="O589" s="123"/>
      <c r="P589" s="123"/>
      <c r="Q589" s="123"/>
      <c r="R589" s="123"/>
      <c r="S589" s="123"/>
      <c r="T589" s="123"/>
      <c r="U589" s="123"/>
      <c r="V589" s="123"/>
    </row>
    <row r="590" spans="1:22" ht="15.75" hidden="1" customHeight="1" x14ac:dyDescent="0.25">
      <c r="A590" s="136"/>
      <c r="B590" s="136"/>
      <c r="C590" s="136"/>
      <c r="D590" s="136"/>
      <c r="E590" s="137"/>
      <c r="F590" s="137"/>
      <c r="G590" s="136"/>
      <c r="H590" s="136"/>
      <c r="I590" s="136"/>
      <c r="J590" s="136"/>
      <c r="K590" s="136"/>
      <c r="L590" s="136"/>
      <c r="M590" s="136"/>
      <c r="N590" s="136"/>
      <c r="O590" s="123"/>
      <c r="P590" s="123"/>
      <c r="Q590" s="123"/>
      <c r="R590" s="123"/>
      <c r="S590" s="123"/>
      <c r="T590" s="123"/>
      <c r="U590" s="123"/>
      <c r="V590" s="123"/>
    </row>
    <row r="591" spans="1:22" ht="15.75" hidden="1" customHeight="1" x14ac:dyDescent="0.25">
      <c r="A591" s="136"/>
      <c r="B591" s="136"/>
      <c r="C591" s="136"/>
      <c r="D591" s="136"/>
      <c r="E591" s="137"/>
      <c r="F591" s="137"/>
      <c r="G591" s="136"/>
      <c r="H591" s="136"/>
      <c r="I591" s="136"/>
      <c r="J591" s="136"/>
      <c r="K591" s="136"/>
      <c r="L591" s="136"/>
      <c r="M591" s="136"/>
      <c r="N591" s="136"/>
      <c r="O591" s="123"/>
      <c r="P591" s="123"/>
      <c r="Q591" s="123"/>
      <c r="R591" s="123"/>
      <c r="S591" s="123"/>
      <c r="T591" s="123"/>
      <c r="U591" s="123"/>
      <c r="V591" s="123"/>
    </row>
    <row r="592" spans="1:22" ht="15.75" hidden="1" customHeight="1" x14ac:dyDescent="0.25">
      <c r="A592" s="136"/>
      <c r="B592" s="136"/>
      <c r="C592" s="136"/>
      <c r="D592" s="136"/>
      <c r="E592" s="137"/>
      <c r="F592" s="137"/>
      <c r="G592" s="136"/>
      <c r="H592" s="136"/>
      <c r="I592" s="136"/>
      <c r="J592" s="136"/>
      <c r="K592" s="136"/>
      <c r="L592" s="136"/>
      <c r="M592" s="136"/>
      <c r="N592" s="136"/>
      <c r="O592" s="123"/>
      <c r="P592" s="123"/>
      <c r="Q592" s="123"/>
      <c r="R592" s="123"/>
      <c r="S592" s="123"/>
      <c r="T592" s="123"/>
      <c r="U592" s="123"/>
      <c r="V592" s="123"/>
    </row>
    <row r="593" spans="1:22" ht="15.75" hidden="1" customHeight="1" x14ac:dyDescent="0.25">
      <c r="A593" s="136"/>
      <c r="B593" s="136"/>
      <c r="C593" s="136"/>
      <c r="D593" s="136"/>
      <c r="E593" s="137"/>
      <c r="F593" s="137"/>
      <c r="G593" s="136"/>
      <c r="H593" s="136"/>
      <c r="I593" s="136"/>
      <c r="J593" s="136"/>
      <c r="K593" s="136"/>
      <c r="L593" s="136"/>
      <c r="M593" s="136"/>
      <c r="N593" s="136"/>
      <c r="O593" s="123"/>
      <c r="P593" s="123"/>
      <c r="Q593" s="123"/>
      <c r="R593" s="123"/>
      <c r="S593" s="123"/>
      <c r="T593" s="123"/>
      <c r="U593" s="123"/>
      <c r="V593" s="123"/>
    </row>
    <row r="594" spans="1:22" ht="15.75" hidden="1" customHeight="1" x14ac:dyDescent="0.25">
      <c r="A594" s="136"/>
      <c r="B594" s="136"/>
      <c r="C594" s="136"/>
      <c r="D594" s="136"/>
      <c r="E594" s="137"/>
      <c r="F594" s="137"/>
      <c r="G594" s="136"/>
      <c r="H594" s="136"/>
      <c r="I594" s="136"/>
      <c r="J594" s="136"/>
      <c r="K594" s="136"/>
      <c r="L594" s="136"/>
      <c r="M594" s="136"/>
      <c r="N594" s="136"/>
      <c r="O594" s="123"/>
      <c r="P594" s="123"/>
      <c r="Q594" s="123"/>
      <c r="R594" s="123"/>
      <c r="S594" s="123"/>
      <c r="T594" s="123"/>
      <c r="U594" s="123"/>
      <c r="V594" s="123"/>
    </row>
    <row r="595" spans="1:22" ht="15.75" hidden="1" customHeight="1" x14ac:dyDescent="0.25">
      <c r="A595" s="136"/>
      <c r="B595" s="136"/>
      <c r="C595" s="136"/>
      <c r="D595" s="136"/>
      <c r="E595" s="137"/>
      <c r="F595" s="137"/>
      <c r="G595" s="136"/>
      <c r="H595" s="136"/>
      <c r="I595" s="136"/>
      <c r="J595" s="136"/>
      <c r="K595" s="136"/>
      <c r="L595" s="136"/>
      <c r="M595" s="136"/>
      <c r="N595" s="136"/>
      <c r="O595" s="123"/>
      <c r="P595" s="123"/>
      <c r="Q595" s="123"/>
      <c r="R595" s="123"/>
      <c r="S595" s="123"/>
      <c r="T595" s="123"/>
      <c r="U595" s="123"/>
      <c r="V595" s="123"/>
    </row>
    <row r="596" spans="1:22" ht="15.75" hidden="1" customHeight="1" x14ac:dyDescent="0.25">
      <c r="A596" s="136"/>
      <c r="B596" s="136"/>
      <c r="C596" s="136"/>
      <c r="D596" s="136"/>
      <c r="E596" s="137"/>
      <c r="F596" s="137"/>
      <c r="G596" s="136"/>
      <c r="H596" s="136"/>
      <c r="I596" s="136"/>
      <c r="J596" s="136"/>
      <c r="K596" s="136"/>
      <c r="L596" s="136"/>
      <c r="M596" s="136"/>
      <c r="N596" s="136"/>
      <c r="O596" s="123"/>
      <c r="P596" s="123"/>
      <c r="Q596" s="123"/>
      <c r="R596" s="123"/>
      <c r="S596" s="123"/>
      <c r="T596" s="123"/>
      <c r="U596" s="123"/>
      <c r="V596" s="123"/>
    </row>
    <row r="597" spans="1:22" ht="15.75" hidden="1" customHeight="1" x14ac:dyDescent="0.25">
      <c r="A597" s="136"/>
      <c r="B597" s="136"/>
      <c r="C597" s="136"/>
      <c r="D597" s="136"/>
      <c r="E597" s="137"/>
      <c r="F597" s="137"/>
      <c r="G597" s="136"/>
      <c r="H597" s="136"/>
      <c r="I597" s="136"/>
      <c r="J597" s="136"/>
      <c r="K597" s="136"/>
      <c r="L597" s="136"/>
      <c r="M597" s="136"/>
      <c r="N597" s="136"/>
      <c r="O597" s="123"/>
      <c r="P597" s="123"/>
      <c r="Q597" s="123"/>
      <c r="R597" s="123"/>
      <c r="S597" s="123"/>
      <c r="T597" s="123"/>
      <c r="U597" s="123"/>
      <c r="V597" s="123"/>
    </row>
    <row r="598" spans="1:22" ht="15.75" hidden="1" customHeight="1" x14ac:dyDescent="0.25">
      <c r="A598" s="136"/>
      <c r="B598" s="136"/>
      <c r="C598" s="136"/>
      <c r="D598" s="136"/>
      <c r="E598" s="137"/>
      <c r="F598" s="137"/>
      <c r="G598" s="136"/>
      <c r="H598" s="136"/>
      <c r="I598" s="136"/>
      <c r="J598" s="136"/>
      <c r="K598" s="136"/>
      <c r="L598" s="136"/>
      <c r="M598" s="136"/>
      <c r="N598" s="136"/>
      <c r="O598" s="123"/>
      <c r="P598" s="123"/>
      <c r="Q598" s="123"/>
      <c r="R598" s="123"/>
      <c r="S598" s="123"/>
      <c r="T598" s="123"/>
      <c r="U598" s="123"/>
      <c r="V598" s="123"/>
    </row>
    <row r="599" spans="1:22" ht="15.75" hidden="1" customHeight="1" x14ac:dyDescent="0.25">
      <c r="A599" s="136"/>
      <c r="B599" s="136"/>
      <c r="C599" s="136"/>
      <c r="D599" s="136"/>
      <c r="E599" s="137"/>
      <c r="F599" s="137"/>
      <c r="G599" s="136"/>
      <c r="H599" s="136"/>
      <c r="I599" s="136"/>
      <c r="J599" s="136"/>
      <c r="K599" s="136"/>
      <c r="L599" s="136"/>
      <c r="M599" s="136"/>
      <c r="N599" s="136"/>
      <c r="O599" s="123"/>
      <c r="P599" s="123"/>
      <c r="Q599" s="123"/>
      <c r="R599" s="123"/>
      <c r="S599" s="123"/>
      <c r="T599" s="123"/>
      <c r="U599" s="123"/>
      <c r="V599" s="123"/>
    </row>
    <row r="600" spans="1:22" ht="15.75" hidden="1" customHeight="1" x14ac:dyDescent="0.25">
      <c r="A600" s="136"/>
      <c r="B600" s="136"/>
      <c r="C600" s="136"/>
      <c r="D600" s="136"/>
      <c r="E600" s="137"/>
      <c r="F600" s="137"/>
      <c r="G600" s="136"/>
      <c r="H600" s="136"/>
      <c r="I600" s="136"/>
      <c r="J600" s="136"/>
      <c r="K600" s="136"/>
      <c r="L600" s="136"/>
      <c r="M600" s="136"/>
      <c r="N600" s="136"/>
      <c r="O600" s="123"/>
      <c r="P600" s="123"/>
      <c r="Q600" s="123"/>
      <c r="R600" s="123"/>
      <c r="S600" s="123"/>
      <c r="T600" s="123"/>
      <c r="U600" s="123"/>
      <c r="V600" s="123"/>
    </row>
    <row r="601" spans="1:22" ht="15.75" hidden="1" customHeight="1" x14ac:dyDescent="0.25">
      <c r="A601" s="136"/>
      <c r="B601" s="136"/>
      <c r="C601" s="136"/>
      <c r="D601" s="136"/>
      <c r="E601" s="137"/>
      <c r="F601" s="137"/>
      <c r="G601" s="136"/>
      <c r="H601" s="136"/>
      <c r="I601" s="136"/>
      <c r="J601" s="136"/>
      <c r="K601" s="136"/>
      <c r="L601" s="136"/>
      <c r="M601" s="136"/>
      <c r="N601" s="136"/>
      <c r="O601" s="123"/>
      <c r="P601" s="123"/>
      <c r="Q601" s="123"/>
      <c r="R601" s="123"/>
      <c r="S601" s="123"/>
      <c r="T601" s="123"/>
      <c r="U601" s="123"/>
      <c r="V601" s="123"/>
    </row>
    <row r="602" spans="1:22" ht="15.75" hidden="1" customHeight="1" x14ac:dyDescent="0.25">
      <c r="A602" s="136"/>
      <c r="B602" s="136"/>
      <c r="C602" s="136"/>
      <c r="D602" s="136"/>
      <c r="E602" s="137"/>
      <c r="F602" s="137"/>
      <c r="G602" s="136"/>
      <c r="H602" s="136"/>
      <c r="I602" s="136"/>
      <c r="J602" s="136"/>
      <c r="K602" s="136"/>
      <c r="L602" s="136"/>
      <c r="M602" s="136"/>
      <c r="N602" s="136"/>
      <c r="O602" s="123"/>
      <c r="P602" s="123"/>
      <c r="Q602" s="123"/>
      <c r="R602" s="123"/>
      <c r="S602" s="123"/>
      <c r="T602" s="123"/>
      <c r="U602" s="123"/>
      <c r="V602" s="123"/>
    </row>
    <row r="603" spans="1:22" ht="15.75" hidden="1" customHeight="1" x14ac:dyDescent="0.25">
      <c r="A603" s="136"/>
      <c r="B603" s="136"/>
      <c r="C603" s="136"/>
      <c r="D603" s="136"/>
      <c r="E603" s="137"/>
      <c r="F603" s="137"/>
      <c r="G603" s="136"/>
      <c r="H603" s="136"/>
      <c r="I603" s="136"/>
      <c r="J603" s="136"/>
      <c r="K603" s="136"/>
      <c r="L603" s="136"/>
      <c r="M603" s="136"/>
      <c r="N603" s="136"/>
      <c r="O603" s="123"/>
      <c r="P603" s="123"/>
      <c r="Q603" s="123"/>
      <c r="R603" s="123"/>
      <c r="S603" s="123"/>
      <c r="T603" s="123"/>
      <c r="U603" s="123"/>
      <c r="V603" s="123"/>
    </row>
    <row r="604" spans="1:22" ht="15.75" hidden="1" customHeight="1" x14ac:dyDescent="0.25">
      <c r="A604" s="136"/>
      <c r="B604" s="136"/>
      <c r="C604" s="136"/>
      <c r="D604" s="136"/>
      <c r="E604" s="137"/>
      <c r="F604" s="137"/>
      <c r="G604" s="136"/>
      <c r="H604" s="136"/>
      <c r="I604" s="136"/>
      <c r="J604" s="136"/>
      <c r="K604" s="136"/>
      <c r="L604" s="136"/>
      <c r="M604" s="136"/>
      <c r="N604" s="136"/>
      <c r="O604" s="123"/>
      <c r="P604" s="123"/>
      <c r="Q604" s="123"/>
      <c r="R604" s="123"/>
      <c r="S604" s="123"/>
      <c r="T604" s="123"/>
      <c r="U604" s="123"/>
      <c r="V604" s="123"/>
    </row>
    <row r="605" spans="1:22" ht="15.75" hidden="1" customHeight="1" x14ac:dyDescent="0.25">
      <c r="A605" s="136"/>
      <c r="B605" s="136"/>
      <c r="C605" s="136"/>
      <c r="D605" s="136"/>
      <c r="E605" s="137"/>
      <c r="F605" s="137"/>
      <c r="G605" s="136"/>
      <c r="H605" s="136"/>
      <c r="I605" s="136"/>
      <c r="J605" s="136"/>
      <c r="K605" s="136"/>
      <c r="L605" s="136"/>
      <c r="M605" s="136"/>
      <c r="N605" s="136"/>
      <c r="O605" s="123"/>
      <c r="P605" s="123"/>
      <c r="Q605" s="123"/>
      <c r="R605" s="123"/>
      <c r="S605" s="123"/>
      <c r="T605" s="123"/>
      <c r="U605" s="123"/>
      <c r="V605" s="123"/>
    </row>
    <row r="606" spans="1:22" ht="15.75" hidden="1" customHeight="1" x14ac:dyDescent="0.25">
      <c r="A606" s="136"/>
      <c r="B606" s="136"/>
      <c r="C606" s="136"/>
      <c r="D606" s="136"/>
      <c r="E606" s="137"/>
      <c r="F606" s="137"/>
      <c r="G606" s="136"/>
      <c r="H606" s="136"/>
      <c r="I606" s="136"/>
      <c r="J606" s="136"/>
      <c r="K606" s="136"/>
      <c r="L606" s="136"/>
      <c r="M606" s="136"/>
      <c r="N606" s="136"/>
      <c r="O606" s="123"/>
      <c r="P606" s="123"/>
      <c r="Q606" s="123"/>
      <c r="R606" s="123"/>
      <c r="S606" s="123"/>
      <c r="T606" s="123"/>
      <c r="U606" s="123"/>
      <c r="V606" s="123"/>
    </row>
    <row r="607" spans="1:22" ht="15.75" hidden="1" customHeight="1" x14ac:dyDescent="0.25">
      <c r="A607" s="136"/>
      <c r="B607" s="136"/>
      <c r="C607" s="136"/>
      <c r="D607" s="136"/>
      <c r="E607" s="137"/>
      <c r="F607" s="137"/>
      <c r="G607" s="136"/>
      <c r="H607" s="136"/>
      <c r="I607" s="136"/>
      <c r="J607" s="136"/>
      <c r="K607" s="136"/>
      <c r="L607" s="136"/>
      <c r="M607" s="136"/>
      <c r="N607" s="136"/>
      <c r="O607" s="123"/>
      <c r="P607" s="123"/>
      <c r="Q607" s="123"/>
      <c r="R607" s="123"/>
      <c r="S607" s="123"/>
      <c r="T607" s="123"/>
      <c r="U607" s="123"/>
      <c r="V607" s="123"/>
    </row>
    <row r="608" spans="1:22" ht="15.75" hidden="1" customHeight="1" x14ac:dyDescent="0.25">
      <c r="A608" s="136"/>
      <c r="B608" s="136"/>
      <c r="C608" s="136"/>
      <c r="D608" s="136"/>
      <c r="E608" s="137"/>
      <c r="F608" s="137"/>
      <c r="G608" s="136"/>
      <c r="H608" s="136"/>
      <c r="I608" s="136"/>
      <c r="J608" s="136"/>
      <c r="K608" s="136"/>
      <c r="L608" s="136"/>
      <c r="M608" s="136"/>
      <c r="N608" s="136"/>
      <c r="O608" s="123"/>
      <c r="P608" s="123"/>
      <c r="Q608" s="123"/>
      <c r="R608" s="123"/>
      <c r="S608" s="123"/>
      <c r="T608" s="123"/>
      <c r="U608" s="123"/>
      <c r="V608" s="123"/>
    </row>
    <row r="609" spans="1:22" ht="15.75" hidden="1" customHeight="1" x14ac:dyDescent="0.25">
      <c r="A609" s="136"/>
      <c r="B609" s="136"/>
      <c r="C609" s="136"/>
      <c r="D609" s="136"/>
      <c r="E609" s="137"/>
      <c r="F609" s="137"/>
      <c r="G609" s="136"/>
      <c r="H609" s="136"/>
      <c r="I609" s="136"/>
      <c r="J609" s="136"/>
      <c r="K609" s="136"/>
      <c r="L609" s="136"/>
      <c r="M609" s="136"/>
      <c r="N609" s="136"/>
      <c r="O609" s="123"/>
      <c r="P609" s="123"/>
      <c r="Q609" s="123"/>
      <c r="R609" s="123"/>
      <c r="S609" s="123"/>
      <c r="T609" s="123"/>
      <c r="U609" s="123"/>
      <c r="V609" s="123"/>
    </row>
    <row r="610" spans="1:22" ht="15.75" hidden="1" customHeight="1" x14ac:dyDescent="0.25">
      <c r="A610" s="136"/>
      <c r="B610" s="136"/>
      <c r="C610" s="136"/>
      <c r="D610" s="136"/>
      <c r="E610" s="137"/>
      <c r="F610" s="137"/>
      <c r="G610" s="136"/>
      <c r="H610" s="136"/>
      <c r="I610" s="136"/>
      <c r="J610" s="136"/>
      <c r="K610" s="136"/>
      <c r="L610" s="136"/>
      <c r="M610" s="136"/>
      <c r="N610" s="136"/>
      <c r="O610" s="123"/>
      <c r="P610" s="123"/>
      <c r="Q610" s="123"/>
      <c r="R610" s="123"/>
      <c r="S610" s="123"/>
      <c r="T610" s="123"/>
      <c r="U610" s="123"/>
      <c r="V610" s="123"/>
    </row>
    <row r="611" spans="1:22" ht="15.75" hidden="1" customHeight="1" x14ac:dyDescent="0.25">
      <c r="A611" s="136"/>
      <c r="B611" s="136"/>
      <c r="C611" s="136"/>
      <c r="D611" s="136"/>
      <c r="E611" s="137"/>
      <c r="F611" s="137"/>
      <c r="G611" s="136"/>
      <c r="H611" s="136"/>
      <c r="I611" s="136"/>
      <c r="J611" s="136"/>
      <c r="K611" s="136"/>
      <c r="L611" s="136"/>
      <c r="M611" s="136"/>
      <c r="N611" s="136"/>
      <c r="O611" s="123"/>
      <c r="P611" s="123"/>
      <c r="Q611" s="123"/>
      <c r="R611" s="123"/>
      <c r="S611" s="123"/>
      <c r="T611" s="123"/>
      <c r="U611" s="123"/>
      <c r="V611" s="123"/>
    </row>
    <row r="612" spans="1:22" ht="15.75" hidden="1" customHeight="1" x14ac:dyDescent="0.25">
      <c r="A612" s="136"/>
      <c r="B612" s="136"/>
      <c r="C612" s="136"/>
      <c r="D612" s="136"/>
      <c r="E612" s="137"/>
      <c r="F612" s="137"/>
      <c r="G612" s="136"/>
      <c r="H612" s="136"/>
      <c r="I612" s="136"/>
      <c r="J612" s="136"/>
      <c r="K612" s="136"/>
      <c r="L612" s="136"/>
      <c r="M612" s="136"/>
      <c r="N612" s="136"/>
      <c r="O612" s="123"/>
      <c r="P612" s="123"/>
      <c r="Q612" s="123"/>
      <c r="R612" s="123"/>
      <c r="S612" s="123"/>
      <c r="T612" s="123"/>
      <c r="U612" s="123"/>
      <c r="V612" s="123"/>
    </row>
    <row r="613" spans="1:22" ht="15.75" hidden="1" customHeight="1" x14ac:dyDescent="0.25">
      <c r="A613" s="136"/>
      <c r="B613" s="136"/>
      <c r="C613" s="136"/>
      <c r="D613" s="136"/>
      <c r="E613" s="137"/>
      <c r="F613" s="137"/>
      <c r="G613" s="136"/>
      <c r="H613" s="136"/>
      <c r="I613" s="136"/>
      <c r="J613" s="136"/>
      <c r="K613" s="136"/>
      <c r="L613" s="136"/>
      <c r="M613" s="136"/>
      <c r="N613" s="136"/>
      <c r="O613" s="123"/>
      <c r="P613" s="123"/>
      <c r="Q613" s="123"/>
      <c r="R613" s="123"/>
      <c r="S613" s="123"/>
      <c r="T613" s="123"/>
      <c r="U613" s="123"/>
      <c r="V613" s="123"/>
    </row>
    <row r="614" spans="1:22" ht="15.75" hidden="1" customHeight="1" x14ac:dyDescent="0.25">
      <c r="A614" s="136"/>
      <c r="B614" s="136"/>
      <c r="C614" s="136"/>
      <c r="D614" s="136"/>
      <c r="E614" s="137"/>
      <c r="F614" s="137"/>
      <c r="G614" s="136"/>
      <c r="H614" s="136"/>
      <c r="I614" s="136"/>
      <c r="J614" s="136"/>
      <c r="K614" s="136"/>
      <c r="L614" s="136"/>
      <c r="M614" s="136"/>
      <c r="N614" s="136"/>
      <c r="O614" s="123"/>
      <c r="P614" s="123"/>
      <c r="Q614" s="123"/>
      <c r="R614" s="123"/>
      <c r="S614" s="123"/>
      <c r="T614" s="123"/>
      <c r="U614" s="123"/>
      <c r="V614" s="123"/>
    </row>
    <row r="615" spans="1:22" ht="15.75" hidden="1" customHeight="1" x14ac:dyDescent="0.25">
      <c r="A615" s="136"/>
      <c r="B615" s="136"/>
      <c r="C615" s="136"/>
      <c r="D615" s="136"/>
      <c r="E615" s="137"/>
      <c r="F615" s="137"/>
      <c r="G615" s="136"/>
      <c r="H615" s="136"/>
      <c r="I615" s="136"/>
      <c r="J615" s="136"/>
      <c r="K615" s="136"/>
      <c r="L615" s="136"/>
      <c r="M615" s="136"/>
      <c r="N615" s="136"/>
      <c r="O615" s="123"/>
      <c r="P615" s="123"/>
      <c r="Q615" s="123"/>
      <c r="R615" s="123"/>
      <c r="S615" s="123"/>
      <c r="T615" s="123"/>
      <c r="U615" s="123"/>
      <c r="V615" s="123"/>
    </row>
    <row r="616" spans="1:22" ht="15.75" hidden="1" customHeight="1" x14ac:dyDescent="0.25">
      <c r="A616" s="136"/>
      <c r="B616" s="136"/>
      <c r="C616" s="136"/>
      <c r="D616" s="136"/>
      <c r="E616" s="137"/>
      <c r="F616" s="137"/>
      <c r="G616" s="136"/>
      <c r="H616" s="136"/>
      <c r="I616" s="136"/>
      <c r="J616" s="136"/>
      <c r="K616" s="136"/>
      <c r="L616" s="136"/>
      <c r="M616" s="136"/>
      <c r="N616" s="136"/>
      <c r="O616" s="123"/>
      <c r="P616" s="123"/>
      <c r="Q616" s="123"/>
      <c r="R616" s="123"/>
      <c r="S616" s="123"/>
      <c r="T616" s="123"/>
      <c r="U616" s="123"/>
      <c r="V616" s="123"/>
    </row>
    <row r="617" spans="1:22" ht="15.75" hidden="1" customHeight="1" x14ac:dyDescent="0.25">
      <c r="A617" s="136"/>
      <c r="B617" s="136"/>
      <c r="C617" s="136"/>
      <c r="D617" s="136"/>
      <c r="E617" s="137"/>
      <c r="F617" s="137"/>
      <c r="G617" s="136"/>
      <c r="H617" s="136"/>
      <c r="I617" s="136"/>
      <c r="J617" s="136"/>
      <c r="K617" s="136"/>
      <c r="L617" s="136"/>
      <c r="M617" s="136"/>
      <c r="N617" s="136"/>
      <c r="O617" s="123"/>
      <c r="P617" s="123"/>
      <c r="Q617" s="123"/>
      <c r="R617" s="123"/>
      <c r="S617" s="123"/>
      <c r="T617" s="123"/>
      <c r="U617" s="123"/>
      <c r="V617" s="123"/>
    </row>
    <row r="618" spans="1:22" ht="15.75" hidden="1" customHeight="1" x14ac:dyDescent="0.25">
      <c r="A618" s="136"/>
      <c r="B618" s="136"/>
      <c r="C618" s="136"/>
      <c r="D618" s="136"/>
      <c r="E618" s="137"/>
      <c r="F618" s="137"/>
      <c r="G618" s="136"/>
      <c r="H618" s="136"/>
      <c r="I618" s="136"/>
      <c r="J618" s="136"/>
      <c r="K618" s="136"/>
      <c r="L618" s="136"/>
      <c r="M618" s="136"/>
      <c r="N618" s="136"/>
      <c r="O618" s="123"/>
      <c r="P618" s="123"/>
      <c r="Q618" s="123"/>
      <c r="R618" s="123"/>
      <c r="S618" s="123"/>
      <c r="T618" s="123"/>
      <c r="U618" s="123"/>
      <c r="V618" s="123"/>
    </row>
    <row r="619" spans="1:22" ht="15.75" hidden="1" customHeight="1" x14ac:dyDescent="0.25">
      <c r="A619" s="136"/>
      <c r="B619" s="136"/>
      <c r="C619" s="136"/>
      <c r="D619" s="136"/>
      <c r="E619" s="137"/>
      <c r="F619" s="137"/>
      <c r="G619" s="136"/>
      <c r="H619" s="136"/>
      <c r="I619" s="136"/>
      <c r="J619" s="136"/>
      <c r="K619" s="136"/>
      <c r="L619" s="136"/>
      <c r="M619" s="136"/>
      <c r="N619" s="136"/>
      <c r="O619" s="123"/>
      <c r="P619" s="123"/>
      <c r="Q619" s="123"/>
      <c r="R619" s="123"/>
      <c r="S619" s="123"/>
      <c r="T619" s="123"/>
      <c r="U619" s="123"/>
      <c r="V619" s="123"/>
    </row>
    <row r="620" spans="1:22" ht="15.75" hidden="1" customHeight="1" x14ac:dyDescent="0.25">
      <c r="A620" s="136"/>
      <c r="B620" s="136"/>
      <c r="C620" s="136"/>
      <c r="D620" s="136"/>
      <c r="E620" s="137"/>
      <c r="F620" s="137"/>
      <c r="G620" s="136"/>
      <c r="H620" s="136"/>
      <c r="I620" s="136"/>
      <c r="J620" s="136"/>
      <c r="K620" s="136"/>
      <c r="L620" s="136"/>
      <c r="M620" s="136"/>
      <c r="N620" s="136"/>
      <c r="O620" s="123"/>
      <c r="P620" s="123"/>
      <c r="Q620" s="123"/>
      <c r="R620" s="123"/>
      <c r="S620" s="123"/>
      <c r="T620" s="123"/>
      <c r="U620" s="123"/>
      <c r="V620" s="123"/>
    </row>
    <row r="621" spans="1:22" ht="15.75" hidden="1" customHeight="1" x14ac:dyDescent="0.25">
      <c r="A621" s="136"/>
      <c r="B621" s="136"/>
      <c r="C621" s="136"/>
      <c r="D621" s="136"/>
      <c r="E621" s="137"/>
      <c r="F621" s="137"/>
      <c r="G621" s="136"/>
      <c r="H621" s="136"/>
      <c r="I621" s="136"/>
      <c r="J621" s="136"/>
      <c r="K621" s="136"/>
      <c r="L621" s="136"/>
      <c r="M621" s="136"/>
      <c r="N621" s="136"/>
      <c r="O621" s="123"/>
      <c r="P621" s="123"/>
      <c r="Q621" s="123"/>
      <c r="R621" s="123"/>
      <c r="S621" s="123"/>
      <c r="T621" s="123"/>
      <c r="U621" s="123"/>
      <c r="V621" s="123"/>
    </row>
    <row r="622" spans="1:22" ht="15.75" hidden="1" customHeight="1" x14ac:dyDescent="0.25">
      <c r="A622" s="136"/>
      <c r="B622" s="136"/>
      <c r="C622" s="136"/>
      <c r="D622" s="136"/>
      <c r="E622" s="137"/>
      <c r="F622" s="137"/>
      <c r="G622" s="136"/>
      <c r="H622" s="136"/>
      <c r="I622" s="136"/>
      <c r="J622" s="136"/>
      <c r="K622" s="136"/>
      <c r="L622" s="136"/>
      <c r="M622" s="136"/>
      <c r="N622" s="136"/>
      <c r="O622" s="123"/>
      <c r="P622" s="123"/>
      <c r="Q622" s="123"/>
      <c r="R622" s="123"/>
      <c r="S622" s="123"/>
      <c r="T622" s="123"/>
      <c r="U622" s="123"/>
      <c r="V622" s="123"/>
    </row>
    <row r="623" spans="1:22" ht="15.75" hidden="1" customHeight="1" x14ac:dyDescent="0.25">
      <c r="A623" s="136"/>
      <c r="B623" s="136"/>
      <c r="C623" s="136"/>
      <c r="D623" s="136"/>
      <c r="E623" s="137"/>
      <c r="F623" s="137"/>
      <c r="G623" s="136"/>
      <c r="H623" s="136"/>
      <c r="I623" s="136"/>
      <c r="J623" s="136"/>
      <c r="K623" s="136"/>
      <c r="L623" s="136"/>
      <c r="M623" s="136"/>
      <c r="N623" s="136"/>
      <c r="O623" s="123"/>
      <c r="P623" s="123"/>
      <c r="Q623" s="123"/>
      <c r="R623" s="123"/>
      <c r="S623" s="123"/>
      <c r="T623" s="123"/>
      <c r="U623" s="123"/>
      <c r="V623" s="123"/>
    </row>
    <row r="624" spans="1:22" ht="15.75" hidden="1" customHeight="1" x14ac:dyDescent="0.25">
      <c r="A624" s="136"/>
      <c r="B624" s="136"/>
      <c r="C624" s="136"/>
      <c r="D624" s="136"/>
      <c r="E624" s="137"/>
      <c r="F624" s="137"/>
      <c r="G624" s="136"/>
      <c r="H624" s="136"/>
      <c r="I624" s="136"/>
      <c r="J624" s="136"/>
      <c r="K624" s="136"/>
      <c r="L624" s="136"/>
      <c r="M624" s="136"/>
      <c r="N624" s="136"/>
      <c r="O624" s="123"/>
      <c r="P624" s="123"/>
      <c r="Q624" s="123"/>
      <c r="R624" s="123"/>
      <c r="S624" s="123"/>
      <c r="T624" s="123"/>
      <c r="U624" s="123"/>
      <c r="V624" s="123"/>
    </row>
    <row r="625" spans="1:22" ht="15.75" hidden="1" customHeight="1" x14ac:dyDescent="0.25">
      <c r="A625" s="136"/>
      <c r="B625" s="136"/>
      <c r="C625" s="136"/>
      <c r="D625" s="136"/>
      <c r="E625" s="137"/>
      <c r="F625" s="137"/>
      <c r="G625" s="136"/>
      <c r="H625" s="136"/>
      <c r="I625" s="136"/>
      <c r="J625" s="136"/>
      <c r="K625" s="136"/>
      <c r="L625" s="136"/>
      <c r="M625" s="136"/>
      <c r="N625" s="136"/>
      <c r="O625" s="123"/>
      <c r="P625" s="123"/>
      <c r="Q625" s="123"/>
      <c r="R625" s="123"/>
      <c r="S625" s="123"/>
      <c r="T625" s="123"/>
      <c r="U625" s="123"/>
      <c r="V625" s="123"/>
    </row>
    <row r="626" spans="1:22" ht="15.75" hidden="1" customHeight="1" x14ac:dyDescent="0.25">
      <c r="A626" s="136"/>
      <c r="B626" s="136"/>
      <c r="C626" s="136"/>
      <c r="D626" s="136"/>
      <c r="E626" s="137"/>
      <c r="F626" s="137"/>
      <c r="G626" s="136"/>
      <c r="H626" s="136"/>
      <c r="I626" s="136"/>
      <c r="J626" s="136"/>
      <c r="K626" s="136"/>
      <c r="L626" s="136"/>
      <c r="M626" s="136"/>
      <c r="N626" s="136"/>
      <c r="O626" s="123"/>
      <c r="P626" s="123"/>
      <c r="Q626" s="123"/>
      <c r="R626" s="123"/>
      <c r="S626" s="123"/>
      <c r="T626" s="123"/>
      <c r="U626" s="123"/>
      <c r="V626" s="123"/>
    </row>
    <row r="627" spans="1:22" ht="15.75" hidden="1" customHeight="1" x14ac:dyDescent="0.25">
      <c r="A627" s="136"/>
      <c r="B627" s="136"/>
      <c r="C627" s="136"/>
      <c r="D627" s="136"/>
      <c r="E627" s="137"/>
      <c r="F627" s="137"/>
      <c r="G627" s="136"/>
      <c r="H627" s="136"/>
      <c r="I627" s="136"/>
      <c r="J627" s="136"/>
      <c r="K627" s="136"/>
      <c r="L627" s="136"/>
      <c r="M627" s="136"/>
      <c r="N627" s="136"/>
      <c r="O627" s="123"/>
      <c r="P627" s="123"/>
      <c r="Q627" s="123"/>
      <c r="R627" s="123"/>
      <c r="S627" s="123"/>
      <c r="T627" s="123"/>
      <c r="U627" s="123"/>
      <c r="V627" s="123"/>
    </row>
    <row r="628" spans="1:22" ht="15.75" hidden="1" customHeight="1" x14ac:dyDescent="0.25">
      <c r="A628" s="136"/>
      <c r="B628" s="136"/>
      <c r="C628" s="136"/>
      <c r="D628" s="136"/>
      <c r="E628" s="137"/>
      <c r="F628" s="137"/>
      <c r="G628" s="136"/>
      <c r="H628" s="136"/>
      <c r="I628" s="136"/>
      <c r="J628" s="136"/>
      <c r="K628" s="136"/>
      <c r="L628" s="136"/>
      <c r="M628" s="136"/>
      <c r="N628" s="136"/>
      <c r="O628" s="123"/>
      <c r="P628" s="123"/>
      <c r="Q628" s="123"/>
      <c r="R628" s="123"/>
      <c r="S628" s="123"/>
      <c r="T628" s="123"/>
      <c r="U628" s="123"/>
      <c r="V628" s="123"/>
    </row>
    <row r="629" spans="1:22" ht="15.75" hidden="1" customHeight="1" x14ac:dyDescent="0.25">
      <c r="A629" s="136"/>
      <c r="B629" s="136"/>
      <c r="C629" s="136"/>
      <c r="D629" s="136"/>
      <c r="E629" s="137"/>
      <c r="F629" s="137"/>
      <c r="G629" s="136"/>
      <c r="H629" s="136"/>
      <c r="I629" s="136"/>
      <c r="J629" s="136"/>
      <c r="K629" s="136"/>
      <c r="L629" s="136"/>
      <c r="M629" s="136"/>
      <c r="N629" s="136"/>
      <c r="O629" s="123"/>
      <c r="P629" s="123"/>
      <c r="Q629" s="123"/>
      <c r="R629" s="123"/>
      <c r="S629" s="123"/>
      <c r="T629" s="123"/>
      <c r="U629" s="123"/>
      <c r="V629" s="123"/>
    </row>
    <row r="630" spans="1:22" ht="15.75" hidden="1" customHeight="1" x14ac:dyDescent="0.25">
      <c r="A630" s="136"/>
      <c r="B630" s="136"/>
      <c r="C630" s="136"/>
      <c r="D630" s="136"/>
      <c r="E630" s="137"/>
      <c r="F630" s="137"/>
      <c r="G630" s="136"/>
      <c r="H630" s="136"/>
      <c r="I630" s="136"/>
      <c r="J630" s="136"/>
      <c r="K630" s="136"/>
      <c r="L630" s="136"/>
      <c r="M630" s="136"/>
      <c r="N630" s="136"/>
      <c r="O630" s="123"/>
      <c r="P630" s="123"/>
      <c r="Q630" s="123"/>
      <c r="R630" s="123"/>
      <c r="S630" s="123"/>
      <c r="T630" s="123"/>
      <c r="U630" s="123"/>
      <c r="V630" s="123"/>
    </row>
    <row r="631" spans="1:22" ht="15.75" hidden="1" customHeight="1" x14ac:dyDescent="0.25">
      <c r="A631" s="136"/>
      <c r="B631" s="136"/>
      <c r="C631" s="136"/>
      <c r="D631" s="136"/>
      <c r="E631" s="137"/>
      <c r="F631" s="137"/>
      <c r="G631" s="136"/>
      <c r="H631" s="136"/>
      <c r="I631" s="136"/>
      <c r="J631" s="136"/>
      <c r="K631" s="136"/>
      <c r="L631" s="136"/>
      <c r="M631" s="136"/>
      <c r="N631" s="136"/>
      <c r="O631" s="123"/>
      <c r="P631" s="123"/>
      <c r="Q631" s="123"/>
      <c r="R631" s="123"/>
      <c r="S631" s="123"/>
      <c r="T631" s="123"/>
      <c r="U631" s="123"/>
      <c r="V631" s="123"/>
    </row>
    <row r="632" spans="1:22" ht="15.75" hidden="1" customHeight="1" x14ac:dyDescent="0.25">
      <c r="A632" s="136"/>
      <c r="B632" s="136"/>
      <c r="C632" s="136"/>
      <c r="D632" s="136"/>
      <c r="E632" s="137"/>
      <c r="F632" s="137"/>
      <c r="G632" s="136"/>
      <c r="H632" s="136"/>
      <c r="I632" s="136"/>
      <c r="J632" s="136"/>
      <c r="K632" s="136"/>
      <c r="L632" s="136"/>
      <c r="M632" s="136"/>
      <c r="N632" s="136"/>
      <c r="O632" s="123"/>
      <c r="P632" s="123"/>
      <c r="Q632" s="123"/>
      <c r="R632" s="123"/>
      <c r="S632" s="123"/>
      <c r="T632" s="123"/>
      <c r="U632" s="123"/>
      <c r="V632" s="123"/>
    </row>
    <row r="633" spans="1:22" ht="15.75" hidden="1" customHeight="1" x14ac:dyDescent="0.25">
      <c r="A633" s="136"/>
      <c r="B633" s="136"/>
      <c r="C633" s="136"/>
      <c r="D633" s="136"/>
      <c r="E633" s="137"/>
      <c r="F633" s="137"/>
      <c r="G633" s="136"/>
      <c r="H633" s="136"/>
      <c r="I633" s="136"/>
      <c r="J633" s="136"/>
      <c r="K633" s="136"/>
      <c r="L633" s="136"/>
      <c r="M633" s="136"/>
      <c r="N633" s="136"/>
      <c r="O633" s="123"/>
      <c r="P633" s="123"/>
      <c r="Q633" s="123"/>
      <c r="R633" s="123"/>
      <c r="S633" s="123"/>
      <c r="T633" s="123"/>
      <c r="U633" s="123"/>
      <c r="V633" s="123"/>
    </row>
    <row r="634" spans="1:22" ht="15.75" hidden="1" customHeight="1" x14ac:dyDescent="0.25">
      <c r="A634" s="136"/>
      <c r="B634" s="136"/>
      <c r="C634" s="136"/>
      <c r="D634" s="136"/>
      <c r="E634" s="137"/>
      <c r="F634" s="137"/>
      <c r="G634" s="136"/>
      <c r="H634" s="136"/>
      <c r="I634" s="136"/>
      <c r="J634" s="136"/>
      <c r="K634" s="136"/>
      <c r="L634" s="136"/>
      <c r="M634" s="136"/>
      <c r="N634" s="136"/>
      <c r="O634" s="123"/>
      <c r="P634" s="123"/>
      <c r="Q634" s="123"/>
      <c r="R634" s="123"/>
      <c r="S634" s="123"/>
      <c r="T634" s="123"/>
      <c r="U634" s="123"/>
      <c r="V634" s="123"/>
    </row>
    <row r="635" spans="1:22" ht="15.75" hidden="1" customHeight="1" x14ac:dyDescent="0.25">
      <c r="A635" s="136"/>
      <c r="B635" s="136"/>
      <c r="C635" s="136"/>
      <c r="D635" s="136"/>
      <c r="E635" s="137"/>
      <c r="F635" s="137"/>
      <c r="G635" s="136"/>
      <c r="H635" s="136"/>
      <c r="I635" s="136"/>
      <c r="J635" s="136"/>
      <c r="K635" s="136"/>
      <c r="L635" s="136"/>
      <c r="M635" s="136"/>
      <c r="N635" s="136"/>
      <c r="O635" s="123"/>
      <c r="P635" s="123"/>
      <c r="Q635" s="123"/>
      <c r="R635" s="123"/>
      <c r="S635" s="123"/>
      <c r="T635" s="123"/>
      <c r="U635" s="123"/>
      <c r="V635" s="123"/>
    </row>
    <row r="636" spans="1:22" ht="15.75" hidden="1" customHeight="1" x14ac:dyDescent="0.25">
      <c r="A636" s="136"/>
      <c r="B636" s="136"/>
      <c r="C636" s="136"/>
      <c r="D636" s="136"/>
      <c r="E636" s="137"/>
      <c r="F636" s="137"/>
      <c r="G636" s="136"/>
      <c r="H636" s="136"/>
      <c r="I636" s="136"/>
      <c r="J636" s="136"/>
      <c r="K636" s="136"/>
      <c r="L636" s="136"/>
      <c r="M636" s="136"/>
      <c r="N636" s="136"/>
      <c r="O636" s="123"/>
      <c r="P636" s="123"/>
      <c r="Q636" s="123"/>
      <c r="R636" s="123"/>
      <c r="S636" s="123"/>
      <c r="T636" s="123"/>
      <c r="U636" s="123"/>
      <c r="V636" s="123"/>
    </row>
    <row r="637" spans="1:22" ht="15.75" hidden="1" customHeight="1" x14ac:dyDescent="0.25">
      <c r="A637" s="136"/>
      <c r="B637" s="136"/>
      <c r="C637" s="136"/>
      <c r="D637" s="136"/>
      <c r="E637" s="137"/>
      <c r="F637" s="137"/>
      <c r="G637" s="136"/>
      <c r="H637" s="136"/>
      <c r="I637" s="136"/>
      <c r="J637" s="136"/>
      <c r="K637" s="136"/>
      <c r="L637" s="136"/>
      <c r="M637" s="136"/>
      <c r="N637" s="136"/>
      <c r="O637" s="123"/>
      <c r="P637" s="123"/>
      <c r="Q637" s="123"/>
      <c r="R637" s="123"/>
      <c r="S637" s="123"/>
      <c r="T637" s="123"/>
      <c r="U637" s="123"/>
      <c r="V637" s="123"/>
    </row>
    <row r="638" spans="1:22" ht="15.75" hidden="1" customHeight="1" x14ac:dyDescent="0.25">
      <c r="A638" s="136"/>
      <c r="B638" s="136"/>
      <c r="C638" s="136"/>
      <c r="D638" s="136"/>
      <c r="E638" s="137"/>
      <c r="F638" s="137"/>
      <c r="G638" s="136"/>
      <c r="H638" s="136"/>
      <c r="I638" s="136"/>
      <c r="J638" s="136"/>
      <c r="K638" s="136"/>
      <c r="L638" s="136"/>
      <c r="M638" s="136"/>
      <c r="N638" s="136"/>
      <c r="O638" s="123"/>
      <c r="P638" s="123"/>
      <c r="Q638" s="123"/>
      <c r="R638" s="123"/>
      <c r="S638" s="123"/>
      <c r="T638" s="123"/>
      <c r="U638" s="123"/>
      <c r="V638" s="123"/>
    </row>
    <row r="639" spans="1:22" ht="15.75" hidden="1" customHeight="1" x14ac:dyDescent="0.25">
      <c r="A639" s="136"/>
      <c r="B639" s="136"/>
      <c r="C639" s="136"/>
      <c r="D639" s="136"/>
      <c r="E639" s="137"/>
      <c r="F639" s="137"/>
      <c r="G639" s="136"/>
      <c r="H639" s="136"/>
      <c r="I639" s="136"/>
      <c r="J639" s="136"/>
      <c r="K639" s="136"/>
      <c r="L639" s="136"/>
      <c r="M639" s="136"/>
      <c r="N639" s="136"/>
      <c r="O639" s="123"/>
      <c r="P639" s="123"/>
      <c r="Q639" s="123"/>
      <c r="R639" s="123"/>
      <c r="S639" s="123"/>
      <c r="T639" s="123"/>
      <c r="U639" s="123"/>
      <c r="V639" s="123"/>
    </row>
    <row r="640" spans="1:22" ht="15.75" hidden="1" customHeight="1" x14ac:dyDescent="0.25">
      <c r="A640" s="136"/>
      <c r="B640" s="136"/>
      <c r="C640" s="136"/>
      <c r="D640" s="136"/>
      <c r="E640" s="137"/>
      <c r="F640" s="137"/>
      <c r="G640" s="136"/>
      <c r="H640" s="136"/>
      <c r="I640" s="136"/>
      <c r="J640" s="136"/>
      <c r="K640" s="136"/>
      <c r="L640" s="136"/>
      <c r="M640" s="136"/>
      <c r="N640" s="136"/>
      <c r="O640" s="123"/>
      <c r="P640" s="123"/>
      <c r="Q640" s="123"/>
      <c r="R640" s="123"/>
      <c r="S640" s="123"/>
      <c r="T640" s="123"/>
      <c r="U640" s="123"/>
      <c r="V640" s="123"/>
    </row>
    <row r="641" spans="1:22" ht="15.75" hidden="1" customHeight="1" x14ac:dyDescent="0.25">
      <c r="A641" s="136"/>
      <c r="B641" s="136"/>
      <c r="C641" s="136"/>
      <c r="D641" s="136"/>
      <c r="E641" s="137"/>
      <c r="F641" s="137"/>
      <c r="G641" s="136"/>
      <c r="H641" s="136"/>
      <c r="I641" s="136"/>
      <c r="J641" s="136"/>
      <c r="K641" s="136"/>
      <c r="L641" s="136"/>
      <c r="M641" s="136"/>
      <c r="N641" s="136"/>
      <c r="O641" s="123"/>
      <c r="P641" s="123"/>
      <c r="Q641" s="123"/>
      <c r="R641" s="123"/>
      <c r="S641" s="123"/>
      <c r="T641" s="123"/>
      <c r="U641" s="123"/>
      <c r="V641" s="123"/>
    </row>
    <row r="642" spans="1:22" ht="15.75" hidden="1" customHeight="1" x14ac:dyDescent="0.25">
      <c r="A642" s="136"/>
      <c r="B642" s="136"/>
      <c r="C642" s="136"/>
      <c r="D642" s="136"/>
      <c r="E642" s="137"/>
      <c r="F642" s="137"/>
      <c r="G642" s="136"/>
      <c r="H642" s="136"/>
      <c r="I642" s="136"/>
      <c r="J642" s="136"/>
      <c r="K642" s="136"/>
      <c r="L642" s="136"/>
      <c r="M642" s="136"/>
      <c r="N642" s="136"/>
      <c r="O642" s="123"/>
      <c r="P642" s="123"/>
      <c r="Q642" s="123"/>
      <c r="R642" s="123"/>
      <c r="S642" s="123"/>
      <c r="T642" s="123"/>
      <c r="U642" s="123"/>
      <c r="V642" s="123"/>
    </row>
    <row r="643" spans="1:22" ht="15.75" hidden="1" customHeight="1" x14ac:dyDescent="0.25">
      <c r="A643" s="136"/>
      <c r="B643" s="136"/>
      <c r="C643" s="136"/>
      <c r="D643" s="136"/>
      <c r="E643" s="137"/>
      <c r="F643" s="137"/>
      <c r="G643" s="136"/>
      <c r="H643" s="136"/>
      <c r="I643" s="136"/>
      <c r="J643" s="136"/>
      <c r="K643" s="136"/>
      <c r="L643" s="136"/>
      <c r="M643" s="136"/>
      <c r="N643" s="136"/>
      <c r="O643" s="123"/>
      <c r="P643" s="123"/>
      <c r="Q643" s="123"/>
      <c r="R643" s="123"/>
      <c r="S643" s="123"/>
      <c r="T643" s="123"/>
      <c r="U643" s="123"/>
      <c r="V643" s="123"/>
    </row>
    <row r="644" spans="1:22" ht="15.75" hidden="1" customHeight="1" x14ac:dyDescent="0.25">
      <c r="A644" s="136"/>
      <c r="B644" s="136"/>
      <c r="C644" s="136"/>
      <c r="D644" s="136"/>
      <c r="E644" s="137"/>
      <c r="F644" s="137"/>
      <c r="G644" s="136"/>
      <c r="H644" s="136"/>
      <c r="I644" s="136"/>
      <c r="J644" s="136"/>
      <c r="K644" s="136"/>
      <c r="L644" s="136"/>
      <c r="M644" s="136"/>
      <c r="N644" s="136"/>
      <c r="O644" s="123"/>
      <c r="P644" s="123"/>
      <c r="Q644" s="123"/>
      <c r="R644" s="123"/>
      <c r="S644" s="123"/>
      <c r="T644" s="123"/>
      <c r="U644" s="123"/>
      <c r="V644" s="123"/>
    </row>
    <row r="645" spans="1:22" ht="15.75" hidden="1" customHeight="1" x14ac:dyDescent="0.25">
      <c r="A645" s="136"/>
      <c r="B645" s="136"/>
      <c r="C645" s="136"/>
      <c r="D645" s="136"/>
      <c r="E645" s="137"/>
      <c r="F645" s="137"/>
      <c r="G645" s="136"/>
      <c r="H645" s="136"/>
      <c r="I645" s="136"/>
      <c r="J645" s="136"/>
      <c r="K645" s="136"/>
      <c r="L645" s="136"/>
      <c r="M645" s="136"/>
      <c r="N645" s="136"/>
      <c r="O645" s="123"/>
      <c r="P645" s="123"/>
      <c r="Q645" s="123"/>
      <c r="R645" s="123"/>
      <c r="S645" s="123"/>
      <c r="T645" s="123"/>
      <c r="U645" s="123"/>
      <c r="V645" s="123"/>
    </row>
    <row r="646" spans="1:22" ht="15.75" hidden="1" customHeight="1" x14ac:dyDescent="0.25">
      <c r="A646" s="136"/>
      <c r="B646" s="136"/>
      <c r="C646" s="136"/>
      <c r="D646" s="136"/>
      <c r="E646" s="137"/>
      <c r="F646" s="137"/>
      <c r="G646" s="136"/>
      <c r="H646" s="136"/>
      <c r="I646" s="136"/>
      <c r="J646" s="136"/>
      <c r="K646" s="136"/>
      <c r="L646" s="136"/>
      <c r="M646" s="136"/>
      <c r="N646" s="136"/>
      <c r="O646" s="123"/>
      <c r="P646" s="123"/>
      <c r="Q646" s="123"/>
      <c r="R646" s="123"/>
      <c r="S646" s="123"/>
      <c r="T646" s="123"/>
      <c r="U646" s="123"/>
      <c r="V646" s="123"/>
    </row>
    <row r="647" spans="1:22" ht="15.75" hidden="1" customHeight="1" x14ac:dyDescent="0.25">
      <c r="A647" s="136"/>
      <c r="B647" s="136"/>
      <c r="C647" s="136"/>
      <c r="D647" s="136"/>
      <c r="E647" s="137"/>
      <c r="F647" s="137"/>
      <c r="G647" s="136"/>
      <c r="H647" s="136"/>
      <c r="I647" s="136"/>
      <c r="J647" s="136"/>
      <c r="K647" s="136"/>
      <c r="L647" s="136"/>
      <c r="M647" s="136"/>
      <c r="N647" s="136"/>
      <c r="O647" s="123"/>
      <c r="P647" s="123"/>
      <c r="Q647" s="123"/>
      <c r="R647" s="123"/>
      <c r="S647" s="123"/>
      <c r="T647" s="123"/>
      <c r="U647" s="123"/>
      <c r="V647" s="123"/>
    </row>
    <row r="648" spans="1:22" ht="15.75" hidden="1" customHeight="1" x14ac:dyDescent="0.25">
      <c r="A648" s="136"/>
      <c r="B648" s="136"/>
      <c r="C648" s="136"/>
      <c r="D648" s="136"/>
      <c r="E648" s="137"/>
      <c r="F648" s="137"/>
      <c r="G648" s="136"/>
      <c r="H648" s="136"/>
      <c r="I648" s="136"/>
      <c r="J648" s="136"/>
      <c r="K648" s="136"/>
      <c r="L648" s="136"/>
      <c r="M648" s="136"/>
      <c r="N648" s="136"/>
      <c r="O648" s="123"/>
      <c r="P648" s="123"/>
      <c r="Q648" s="123"/>
      <c r="R648" s="123"/>
      <c r="S648" s="123"/>
      <c r="T648" s="123"/>
      <c r="U648" s="123"/>
      <c r="V648" s="123"/>
    </row>
    <row r="649" spans="1:22" ht="15.75" hidden="1" customHeight="1" x14ac:dyDescent="0.25">
      <c r="A649" s="136"/>
      <c r="B649" s="136"/>
      <c r="C649" s="136"/>
      <c r="D649" s="136"/>
      <c r="E649" s="137"/>
      <c r="F649" s="137"/>
      <c r="G649" s="136"/>
      <c r="H649" s="136"/>
      <c r="I649" s="136"/>
      <c r="J649" s="136"/>
      <c r="K649" s="136"/>
      <c r="L649" s="136"/>
      <c r="M649" s="136"/>
      <c r="N649" s="136"/>
      <c r="O649" s="123"/>
      <c r="P649" s="123"/>
      <c r="Q649" s="123"/>
      <c r="R649" s="123"/>
      <c r="S649" s="123"/>
      <c r="T649" s="123"/>
      <c r="U649" s="123"/>
      <c r="V649" s="123"/>
    </row>
    <row r="650" spans="1:22" ht="15.75" hidden="1" customHeight="1" x14ac:dyDescent="0.25">
      <c r="A650" s="136"/>
      <c r="B650" s="136"/>
      <c r="C650" s="136"/>
      <c r="D650" s="136"/>
      <c r="E650" s="137"/>
      <c r="F650" s="137"/>
      <c r="G650" s="136"/>
      <c r="H650" s="136"/>
      <c r="I650" s="136"/>
      <c r="J650" s="136"/>
      <c r="K650" s="136"/>
      <c r="L650" s="136"/>
      <c r="M650" s="136"/>
      <c r="N650" s="136"/>
      <c r="O650" s="123"/>
      <c r="P650" s="123"/>
      <c r="Q650" s="123"/>
      <c r="R650" s="123"/>
      <c r="S650" s="123"/>
      <c r="T650" s="123"/>
      <c r="U650" s="123"/>
      <c r="V650" s="123"/>
    </row>
    <row r="651" spans="1:22" ht="15.75" hidden="1" customHeight="1" x14ac:dyDescent="0.25">
      <c r="A651" s="136"/>
      <c r="B651" s="136"/>
      <c r="C651" s="136"/>
      <c r="D651" s="136"/>
      <c r="E651" s="137"/>
      <c r="F651" s="137"/>
      <c r="G651" s="136"/>
      <c r="H651" s="136"/>
      <c r="I651" s="136"/>
      <c r="J651" s="136"/>
      <c r="K651" s="136"/>
      <c r="L651" s="136"/>
      <c r="M651" s="136"/>
      <c r="N651" s="136"/>
      <c r="O651" s="123"/>
      <c r="P651" s="123"/>
      <c r="Q651" s="123"/>
      <c r="R651" s="123"/>
      <c r="S651" s="123"/>
      <c r="T651" s="123"/>
      <c r="U651" s="123"/>
      <c r="V651" s="123"/>
    </row>
    <row r="652" spans="1:22" ht="15.75" hidden="1" customHeight="1" x14ac:dyDescent="0.25">
      <c r="A652" s="136"/>
      <c r="B652" s="136"/>
      <c r="C652" s="136"/>
      <c r="D652" s="136"/>
      <c r="E652" s="137"/>
      <c r="F652" s="137"/>
      <c r="G652" s="136"/>
      <c r="H652" s="136"/>
      <c r="I652" s="136"/>
      <c r="J652" s="136"/>
      <c r="K652" s="136"/>
      <c r="L652" s="136"/>
      <c r="M652" s="136"/>
      <c r="N652" s="136"/>
      <c r="O652" s="123"/>
      <c r="P652" s="123"/>
      <c r="Q652" s="123"/>
      <c r="R652" s="123"/>
      <c r="S652" s="123"/>
      <c r="T652" s="123"/>
      <c r="U652" s="123"/>
      <c r="V652" s="123"/>
    </row>
    <row r="653" spans="1:22" ht="15.75" hidden="1" customHeight="1" x14ac:dyDescent="0.25">
      <c r="A653" s="136"/>
      <c r="B653" s="136"/>
      <c r="C653" s="136"/>
      <c r="D653" s="136"/>
      <c r="E653" s="137"/>
      <c r="F653" s="137"/>
      <c r="G653" s="136"/>
      <c r="H653" s="136"/>
      <c r="I653" s="136"/>
      <c r="J653" s="136"/>
      <c r="K653" s="136"/>
      <c r="L653" s="136"/>
      <c r="M653" s="136"/>
      <c r="N653" s="136"/>
      <c r="O653" s="123"/>
      <c r="P653" s="123"/>
      <c r="Q653" s="123"/>
      <c r="R653" s="123"/>
      <c r="S653" s="123"/>
      <c r="T653" s="123"/>
      <c r="U653" s="123"/>
      <c r="V653" s="123"/>
    </row>
    <row r="654" spans="1:22" ht="15.75" hidden="1" customHeight="1" x14ac:dyDescent="0.25">
      <c r="A654" s="123"/>
      <c r="B654" s="123"/>
      <c r="C654" s="123"/>
      <c r="D654" s="123"/>
      <c r="E654" s="138"/>
      <c r="F654" s="138"/>
      <c r="G654" s="123"/>
      <c r="H654" s="123"/>
      <c r="I654" s="123"/>
      <c r="J654" s="123"/>
      <c r="K654" s="123"/>
      <c r="L654" s="123"/>
      <c r="M654" s="123"/>
      <c r="N654" s="123"/>
      <c r="O654" s="123"/>
      <c r="P654" s="123"/>
      <c r="Q654" s="123"/>
      <c r="R654" s="123"/>
      <c r="S654" s="123"/>
      <c r="T654" s="123"/>
      <c r="U654" s="123"/>
      <c r="V654" s="123"/>
    </row>
    <row r="655" spans="1:22" ht="15.75" hidden="1" customHeight="1" x14ac:dyDescent="0.25">
      <c r="A655" s="123"/>
      <c r="B655" s="123"/>
      <c r="C655" s="123"/>
      <c r="D655" s="123"/>
      <c r="E655" s="138"/>
      <c r="F655" s="138"/>
      <c r="G655" s="123"/>
      <c r="H655" s="123"/>
      <c r="I655" s="123"/>
      <c r="J655" s="123"/>
      <c r="K655" s="123"/>
      <c r="L655" s="123"/>
      <c r="M655" s="123"/>
      <c r="N655" s="123"/>
      <c r="O655" s="123"/>
      <c r="P655" s="123"/>
      <c r="Q655" s="123"/>
      <c r="R655" s="123"/>
      <c r="S655" s="123"/>
      <c r="T655" s="123"/>
      <c r="U655" s="123"/>
      <c r="V655" s="123"/>
    </row>
    <row r="656" spans="1:22" ht="15.75" hidden="1" customHeight="1" x14ac:dyDescent="0.25">
      <c r="A656" s="123"/>
      <c r="B656" s="123"/>
      <c r="C656" s="123"/>
      <c r="D656" s="123"/>
      <c r="E656" s="138"/>
      <c r="F656" s="138"/>
      <c r="G656" s="123"/>
      <c r="H656" s="123"/>
      <c r="I656" s="123"/>
      <c r="J656" s="123"/>
      <c r="K656" s="123"/>
      <c r="L656" s="123"/>
      <c r="M656" s="123"/>
      <c r="N656" s="123"/>
      <c r="O656" s="123"/>
      <c r="P656" s="123"/>
      <c r="Q656" s="123"/>
      <c r="R656" s="123"/>
      <c r="S656" s="123"/>
      <c r="T656" s="123"/>
      <c r="U656" s="123"/>
      <c r="V656" s="123"/>
    </row>
    <row r="657" spans="1:22" ht="15.75" hidden="1" customHeight="1" x14ac:dyDescent="0.25">
      <c r="A657" s="123"/>
      <c r="B657" s="123"/>
      <c r="C657" s="123"/>
      <c r="D657" s="123"/>
      <c r="E657" s="138"/>
      <c r="F657" s="138"/>
      <c r="G657" s="123"/>
      <c r="H657" s="123"/>
      <c r="I657" s="123"/>
      <c r="J657" s="123"/>
      <c r="K657" s="123"/>
      <c r="L657" s="123"/>
      <c r="M657" s="123"/>
      <c r="N657" s="123"/>
      <c r="O657" s="123"/>
      <c r="P657" s="123"/>
      <c r="Q657" s="123"/>
      <c r="R657" s="123"/>
      <c r="S657" s="123"/>
      <c r="T657" s="123"/>
      <c r="U657" s="123"/>
      <c r="V657" s="123"/>
    </row>
    <row r="658" spans="1:22" ht="15.75" hidden="1" customHeight="1" x14ac:dyDescent="0.25">
      <c r="A658" s="123"/>
      <c r="B658" s="123"/>
      <c r="C658" s="123"/>
      <c r="D658" s="123"/>
      <c r="E658" s="138"/>
      <c r="F658" s="138"/>
      <c r="G658" s="123"/>
      <c r="H658" s="123"/>
      <c r="I658" s="123"/>
      <c r="J658" s="123"/>
      <c r="K658" s="123"/>
      <c r="L658" s="123"/>
      <c r="M658" s="123"/>
      <c r="N658" s="123"/>
      <c r="O658" s="123"/>
      <c r="P658" s="123"/>
      <c r="Q658" s="123"/>
      <c r="R658" s="123"/>
      <c r="S658" s="123"/>
      <c r="T658" s="123"/>
      <c r="U658" s="123"/>
      <c r="V658" s="123"/>
    </row>
    <row r="659" spans="1:22" ht="15.75" hidden="1" customHeight="1" x14ac:dyDescent="0.25">
      <c r="A659" s="123"/>
      <c r="B659" s="123"/>
      <c r="C659" s="123"/>
      <c r="D659" s="123"/>
      <c r="E659" s="138"/>
      <c r="F659" s="138"/>
      <c r="G659" s="123"/>
      <c r="H659" s="123"/>
      <c r="I659" s="123"/>
      <c r="J659" s="123"/>
      <c r="K659" s="123"/>
      <c r="L659" s="123"/>
      <c r="M659" s="123"/>
      <c r="N659" s="123"/>
      <c r="O659" s="123"/>
      <c r="P659" s="123"/>
      <c r="Q659" s="123"/>
      <c r="R659" s="123"/>
      <c r="S659" s="123"/>
      <c r="T659" s="123"/>
      <c r="U659" s="123"/>
      <c r="V659" s="123"/>
    </row>
    <row r="660" spans="1:22" ht="15.75" hidden="1" customHeight="1" x14ac:dyDescent="0.25">
      <c r="A660" s="123"/>
      <c r="B660" s="123"/>
      <c r="C660" s="123"/>
      <c r="D660" s="123"/>
      <c r="E660" s="138"/>
      <c r="F660" s="138"/>
      <c r="G660" s="123"/>
      <c r="H660" s="123"/>
      <c r="I660" s="123"/>
      <c r="J660" s="123"/>
      <c r="K660" s="123"/>
      <c r="L660" s="123"/>
      <c r="M660" s="123"/>
      <c r="N660" s="123"/>
      <c r="O660" s="123"/>
      <c r="P660" s="123"/>
      <c r="Q660" s="123"/>
      <c r="R660" s="123"/>
      <c r="S660" s="123"/>
      <c r="T660" s="123"/>
      <c r="U660" s="123"/>
      <c r="V660" s="123"/>
    </row>
    <row r="661" spans="1:22" ht="15.75" hidden="1" customHeight="1" x14ac:dyDescent="0.25">
      <c r="A661" s="123"/>
      <c r="B661" s="123"/>
      <c r="C661" s="123"/>
      <c r="D661" s="123"/>
      <c r="E661" s="138"/>
      <c r="F661" s="138"/>
      <c r="G661" s="123"/>
      <c r="H661" s="123"/>
      <c r="I661" s="123"/>
      <c r="J661" s="123"/>
      <c r="K661" s="123"/>
      <c r="L661" s="123"/>
      <c r="M661" s="123"/>
      <c r="N661" s="123"/>
      <c r="O661" s="123"/>
      <c r="P661" s="123"/>
      <c r="Q661" s="123"/>
      <c r="R661" s="123"/>
      <c r="S661" s="123"/>
      <c r="T661" s="123"/>
      <c r="U661" s="123"/>
      <c r="V661" s="123"/>
    </row>
    <row r="662" spans="1:22" ht="15.75" hidden="1" customHeight="1" x14ac:dyDescent="0.25">
      <c r="A662" s="123"/>
      <c r="B662" s="123"/>
      <c r="C662" s="123"/>
      <c r="D662" s="123"/>
      <c r="E662" s="138"/>
      <c r="F662" s="138"/>
      <c r="G662" s="123"/>
      <c r="H662" s="123"/>
      <c r="I662" s="123"/>
      <c r="J662" s="123"/>
      <c r="K662" s="123"/>
      <c r="L662" s="123"/>
      <c r="M662" s="123"/>
      <c r="N662" s="123"/>
      <c r="O662" s="123"/>
      <c r="P662" s="123"/>
      <c r="Q662" s="123"/>
      <c r="R662" s="123"/>
      <c r="S662" s="123"/>
      <c r="T662" s="123"/>
      <c r="U662" s="123"/>
      <c r="V662" s="123"/>
    </row>
    <row r="663" spans="1:22" ht="15.75" hidden="1" customHeight="1" x14ac:dyDescent="0.25">
      <c r="A663" s="123"/>
      <c r="B663" s="123"/>
      <c r="C663" s="123"/>
      <c r="D663" s="123"/>
      <c r="E663" s="138"/>
      <c r="F663" s="138"/>
      <c r="G663" s="123"/>
      <c r="H663" s="123"/>
      <c r="I663" s="123"/>
      <c r="J663" s="123"/>
      <c r="K663" s="123"/>
      <c r="L663" s="123"/>
      <c r="M663" s="123"/>
      <c r="N663" s="123"/>
      <c r="O663" s="123"/>
      <c r="P663" s="123"/>
      <c r="Q663" s="123"/>
      <c r="R663" s="123"/>
      <c r="S663" s="123"/>
      <c r="T663" s="123"/>
      <c r="U663" s="123"/>
      <c r="V663" s="123"/>
    </row>
    <row r="664" spans="1:22" ht="15.75" hidden="1" customHeight="1" x14ac:dyDescent="0.25">
      <c r="A664" s="123"/>
      <c r="B664" s="123"/>
      <c r="C664" s="123"/>
      <c r="D664" s="123"/>
      <c r="E664" s="138"/>
      <c r="F664" s="138"/>
      <c r="G664" s="123"/>
      <c r="H664" s="123"/>
      <c r="I664" s="123"/>
      <c r="J664" s="123"/>
      <c r="K664" s="123"/>
      <c r="L664" s="123"/>
      <c r="M664" s="123"/>
      <c r="N664" s="123"/>
      <c r="O664" s="123"/>
      <c r="P664" s="123"/>
      <c r="Q664" s="123"/>
      <c r="R664" s="123"/>
      <c r="S664" s="123"/>
      <c r="T664" s="123"/>
      <c r="U664" s="123"/>
      <c r="V664" s="123"/>
    </row>
    <row r="665" spans="1:22" ht="15.75" hidden="1" customHeight="1" x14ac:dyDescent="0.25">
      <c r="A665" s="123"/>
      <c r="B665" s="123"/>
      <c r="C665" s="123"/>
      <c r="D665" s="123"/>
      <c r="E665" s="138"/>
      <c r="F665" s="138"/>
      <c r="G665" s="123"/>
      <c r="H665" s="123"/>
      <c r="I665" s="123"/>
      <c r="J665" s="123"/>
      <c r="K665" s="123"/>
      <c r="L665" s="123"/>
      <c r="M665" s="123"/>
      <c r="N665" s="123"/>
      <c r="O665" s="123"/>
      <c r="P665" s="123"/>
      <c r="Q665" s="123"/>
      <c r="R665" s="123"/>
      <c r="S665" s="123"/>
      <c r="T665" s="123"/>
      <c r="U665" s="123"/>
      <c r="V665" s="123"/>
    </row>
    <row r="666" spans="1:22" ht="15.75" hidden="1" customHeight="1" x14ac:dyDescent="0.25">
      <c r="A666" s="123"/>
      <c r="B666" s="123"/>
      <c r="C666" s="123"/>
      <c r="D666" s="123"/>
      <c r="E666" s="138"/>
      <c r="F666" s="138"/>
      <c r="G666" s="123"/>
      <c r="H666" s="123"/>
      <c r="I666" s="123"/>
      <c r="J666" s="123"/>
      <c r="K666" s="123"/>
      <c r="L666" s="123"/>
      <c r="M666" s="123"/>
      <c r="N666" s="123"/>
      <c r="O666" s="123"/>
      <c r="P666" s="123"/>
      <c r="Q666" s="123"/>
      <c r="R666" s="123"/>
      <c r="S666" s="123"/>
      <c r="T666" s="123"/>
      <c r="U666" s="123"/>
      <c r="V666" s="123"/>
    </row>
    <row r="667" spans="1:22" ht="15.75" hidden="1" customHeight="1" x14ac:dyDescent="0.25">
      <c r="A667" s="123"/>
      <c r="B667" s="123"/>
      <c r="C667" s="123"/>
      <c r="D667" s="123"/>
      <c r="E667" s="138"/>
      <c r="F667" s="138"/>
      <c r="G667" s="123"/>
      <c r="H667" s="123"/>
      <c r="I667" s="123"/>
      <c r="J667" s="123"/>
      <c r="K667" s="123"/>
      <c r="L667" s="123"/>
      <c r="M667" s="123"/>
      <c r="N667" s="123"/>
      <c r="O667" s="123"/>
      <c r="P667" s="123"/>
      <c r="Q667" s="123"/>
      <c r="R667" s="123"/>
      <c r="S667" s="123"/>
      <c r="T667" s="123"/>
      <c r="U667" s="123"/>
      <c r="V667" s="123"/>
    </row>
    <row r="668" spans="1:22" ht="15.75" hidden="1" customHeight="1" x14ac:dyDescent="0.25">
      <c r="A668" s="123"/>
      <c r="B668" s="123"/>
      <c r="C668" s="123"/>
      <c r="D668" s="123"/>
      <c r="E668" s="138"/>
      <c r="F668" s="138"/>
      <c r="G668" s="123"/>
      <c r="H668" s="123"/>
      <c r="I668" s="123"/>
      <c r="J668" s="123"/>
      <c r="K668" s="123"/>
      <c r="L668" s="123"/>
      <c r="M668" s="123"/>
      <c r="N668" s="123"/>
      <c r="O668" s="123"/>
      <c r="P668" s="123"/>
      <c r="Q668" s="123"/>
      <c r="R668" s="123"/>
      <c r="S668" s="123"/>
      <c r="T668" s="123"/>
      <c r="U668" s="123"/>
      <c r="V668" s="123"/>
    </row>
    <row r="669" spans="1:22" ht="15.75" hidden="1" customHeight="1" x14ac:dyDescent="0.25">
      <c r="A669" s="123"/>
      <c r="B669" s="123"/>
      <c r="C669" s="123"/>
      <c r="D669" s="123"/>
      <c r="E669" s="138"/>
      <c r="F669" s="138"/>
      <c r="G669" s="123"/>
      <c r="H669" s="123"/>
      <c r="I669" s="123"/>
      <c r="J669" s="123"/>
      <c r="K669" s="123"/>
      <c r="L669" s="123"/>
      <c r="M669" s="123"/>
      <c r="N669" s="123"/>
      <c r="O669" s="123"/>
      <c r="P669" s="123"/>
      <c r="Q669" s="123"/>
      <c r="R669" s="123"/>
      <c r="S669" s="123"/>
      <c r="T669" s="123"/>
      <c r="U669" s="123"/>
      <c r="V669" s="123"/>
    </row>
    <row r="670" spans="1:22" ht="15.75" hidden="1" customHeight="1" x14ac:dyDescent="0.25">
      <c r="A670" s="123"/>
      <c r="B670" s="123"/>
      <c r="C670" s="123"/>
      <c r="D670" s="123"/>
      <c r="E670" s="138"/>
      <c r="F670" s="138"/>
      <c r="G670" s="123"/>
      <c r="H670" s="123"/>
      <c r="I670" s="123"/>
      <c r="J670" s="123"/>
      <c r="K670" s="123"/>
      <c r="L670" s="123"/>
      <c r="M670" s="123"/>
      <c r="N670" s="123"/>
      <c r="O670" s="123"/>
      <c r="P670" s="123"/>
      <c r="Q670" s="123"/>
      <c r="R670" s="123"/>
      <c r="S670" s="123"/>
      <c r="T670" s="123"/>
      <c r="U670" s="123"/>
      <c r="V670" s="123"/>
    </row>
    <row r="671" spans="1:22" ht="15.75" hidden="1" customHeight="1" x14ac:dyDescent="0.25">
      <c r="A671" s="123"/>
      <c r="B671" s="123"/>
      <c r="C671" s="123"/>
      <c r="D671" s="123"/>
      <c r="E671" s="138"/>
      <c r="F671" s="138"/>
      <c r="G671" s="123"/>
      <c r="H671" s="123"/>
      <c r="I671" s="123"/>
      <c r="J671" s="123"/>
      <c r="K671" s="123"/>
      <c r="L671" s="123"/>
      <c r="M671" s="123"/>
      <c r="N671" s="123"/>
      <c r="O671" s="123"/>
      <c r="P671" s="123"/>
      <c r="Q671" s="123"/>
      <c r="R671" s="123"/>
      <c r="S671" s="123"/>
      <c r="T671" s="123"/>
      <c r="U671" s="123"/>
      <c r="V671" s="123"/>
    </row>
    <row r="672" spans="1:22" ht="15.75" hidden="1" customHeight="1" x14ac:dyDescent="0.25">
      <c r="A672" s="123"/>
      <c r="B672" s="123"/>
      <c r="C672" s="123"/>
      <c r="D672" s="123"/>
      <c r="E672" s="138"/>
      <c r="F672" s="138"/>
      <c r="G672" s="123"/>
      <c r="H672" s="123"/>
      <c r="I672" s="123"/>
      <c r="J672" s="123"/>
      <c r="K672" s="123"/>
      <c r="L672" s="123"/>
      <c r="M672" s="123"/>
      <c r="N672" s="123"/>
      <c r="O672" s="123"/>
      <c r="P672" s="123"/>
      <c r="Q672" s="123"/>
      <c r="R672" s="123"/>
      <c r="S672" s="123"/>
      <c r="T672" s="123"/>
      <c r="U672" s="123"/>
      <c r="V672" s="123"/>
    </row>
    <row r="673" spans="1:22" ht="15.75" hidden="1" customHeight="1" x14ac:dyDescent="0.25">
      <c r="A673" s="123"/>
      <c r="B673" s="123"/>
      <c r="C673" s="123"/>
      <c r="D673" s="123"/>
      <c r="E673" s="138"/>
      <c r="F673" s="138"/>
      <c r="G673" s="123"/>
      <c r="H673" s="123"/>
      <c r="I673" s="123"/>
      <c r="J673" s="123"/>
      <c r="K673" s="123"/>
      <c r="L673" s="123"/>
      <c r="M673" s="123"/>
      <c r="N673" s="123"/>
      <c r="O673" s="123"/>
      <c r="P673" s="123"/>
      <c r="Q673" s="123"/>
      <c r="R673" s="123"/>
      <c r="S673" s="123"/>
      <c r="T673" s="123"/>
      <c r="U673" s="123"/>
      <c r="V673" s="123"/>
    </row>
    <row r="674" spans="1:22" ht="15.75" hidden="1" customHeight="1" x14ac:dyDescent="0.25">
      <c r="A674" s="123"/>
      <c r="B674" s="123"/>
      <c r="C674" s="123"/>
      <c r="D674" s="123"/>
      <c r="E674" s="138"/>
      <c r="F674" s="138"/>
      <c r="G674" s="123"/>
      <c r="H674" s="123"/>
      <c r="I674" s="123"/>
      <c r="J674" s="123"/>
      <c r="K674" s="123"/>
      <c r="L674" s="123"/>
      <c r="M674" s="123"/>
      <c r="N674" s="123"/>
      <c r="O674" s="123"/>
      <c r="P674" s="123"/>
      <c r="Q674" s="123"/>
      <c r="R674" s="123"/>
      <c r="S674" s="123"/>
      <c r="T674" s="123"/>
      <c r="U674" s="123"/>
      <c r="V674" s="123"/>
    </row>
    <row r="675" spans="1:22" ht="15.75" hidden="1" customHeight="1" x14ac:dyDescent="0.25">
      <c r="A675" s="123"/>
      <c r="B675" s="123"/>
      <c r="C675" s="123"/>
      <c r="D675" s="123"/>
      <c r="E675" s="138"/>
      <c r="F675" s="138"/>
      <c r="G675" s="123"/>
      <c r="H675" s="123"/>
      <c r="I675" s="123"/>
      <c r="J675" s="123"/>
      <c r="K675" s="123"/>
      <c r="L675" s="123"/>
      <c r="M675" s="123"/>
      <c r="N675" s="123"/>
      <c r="O675" s="123"/>
      <c r="P675" s="123"/>
      <c r="Q675" s="123"/>
      <c r="R675" s="123"/>
      <c r="S675" s="123"/>
      <c r="T675" s="123"/>
      <c r="U675" s="123"/>
      <c r="V675" s="123"/>
    </row>
    <row r="676" spans="1:22" ht="15.75" hidden="1" customHeight="1" x14ac:dyDescent="0.25">
      <c r="A676" s="123"/>
      <c r="B676" s="123"/>
      <c r="C676" s="123"/>
      <c r="D676" s="123"/>
      <c r="E676" s="138"/>
      <c r="F676" s="138"/>
      <c r="G676" s="123"/>
      <c r="H676" s="123"/>
      <c r="I676" s="123"/>
      <c r="J676" s="123"/>
      <c r="K676" s="123"/>
      <c r="L676" s="123"/>
      <c r="M676" s="123"/>
      <c r="N676" s="123"/>
      <c r="O676" s="123"/>
      <c r="P676" s="123"/>
      <c r="Q676" s="123"/>
      <c r="R676" s="123"/>
      <c r="S676" s="123"/>
      <c r="T676" s="123"/>
      <c r="U676" s="123"/>
      <c r="V676" s="123"/>
    </row>
    <row r="677" spans="1:22" ht="15.75" hidden="1" customHeight="1" x14ac:dyDescent="0.25">
      <c r="A677" s="123"/>
      <c r="B677" s="123"/>
      <c r="C677" s="123"/>
      <c r="D677" s="123"/>
      <c r="E677" s="138"/>
      <c r="F677" s="138"/>
      <c r="G677" s="123"/>
      <c r="H677" s="123"/>
      <c r="I677" s="123"/>
      <c r="J677" s="123"/>
      <c r="K677" s="123"/>
      <c r="L677" s="123"/>
      <c r="M677" s="123"/>
      <c r="N677" s="123"/>
      <c r="O677" s="123"/>
      <c r="P677" s="123"/>
      <c r="Q677" s="123"/>
      <c r="R677" s="123"/>
      <c r="S677" s="123"/>
      <c r="T677" s="123"/>
      <c r="U677" s="123"/>
      <c r="V677" s="123"/>
    </row>
    <row r="678" spans="1:22" ht="15.75" hidden="1" customHeight="1" x14ac:dyDescent="0.25">
      <c r="A678" s="123"/>
      <c r="B678" s="123"/>
      <c r="C678" s="123"/>
      <c r="D678" s="123"/>
      <c r="E678" s="138"/>
      <c r="F678" s="138"/>
      <c r="G678" s="123"/>
      <c r="H678" s="123"/>
      <c r="I678" s="123"/>
      <c r="J678" s="123"/>
      <c r="K678" s="123"/>
      <c r="L678" s="123"/>
      <c r="M678" s="123"/>
      <c r="N678" s="123"/>
      <c r="O678" s="123"/>
      <c r="P678" s="123"/>
      <c r="Q678" s="123"/>
      <c r="R678" s="123"/>
      <c r="S678" s="123"/>
      <c r="T678" s="123"/>
      <c r="U678" s="123"/>
      <c r="V678" s="123"/>
    </row>
    <row r="679" spans="1:22" ht="15.75" hidden="1" customHeight="1" x14ac:dyDescent="0.25">
      <c r="A679" s="123"/>
      <c r="B679" s="123"/>
      <c r="C679" s="123"/>
      <c r="D679" s="123"/>
      <c r="E679" s="138"/>
      <c r="F679" s="138"/>
      <c r="G679" s="123"/>
      <c r="H679" s="123"/>
      <c r="I679" s="123"/>
      <c r="J679" s="123"/>
      <c r="K679" s="123"/>
      <c r="L679" s="123"/>
      <c r="M679" s="123"/>
      <c r="N679" s="123"/>
      <c r="O679" s="123"/>
      <c r="P679" s="123"/>
      <c r="Q679" s="123"/>
      <c r="R679" s="123"/>
      <c r="S679" s="123"/>
      <c r="T679" s="123"/>
      <c r="U679" s="123"/>
      <c r="V679" s="123"/>
    </row>
    <row r="680" spans="1:22" ht="15.75" hidden="1" customHeight="1" x14ac:dyDescent="0.25">
      <c r="A680" s="123"/>
      <c r="B680" s="123"/>
      <c r="C680" s="123"/>
      <c r="D680" s="123"/>
      <c r="E680" s="138"/>
      <c r="F680" s="138"/>
      <c r="G680" s="123"/>
      <c r="H680" s="123"/>
      <c r="I680" s="123"/>
      <c r="J680" s="123"/>
      <c r="K680" s="123"/>
      <c r="L680" s="123"/>
      <c r="M680" s="123"/>
      <c r="N680" s="123"/>
      <c r="O680" s="123"/>
      <c r="P680" s="123"/>
      <c r="Q680" s="123"/>
      <c r="R680" s="123"/>
      <c r="S680" s="123"/>
      <c r="T680" s="123"/>
      <c r="U680" s="123"/>
      <c r="V680" s="123"/>
    </row>
    <row r="681" spans="1:22" ht="15.75" hidden="1" customHeight="1" x14ac:dyDescent="0.25">
      <c r="A681" s="123"/>
      <c r="B681" s="123"/>
      <c r="C681" s="123"/>
      <c r="D681" s="123"/>
      <c r="E681" s="138"/>
      <c r="F681" s="138"/>
      <c r="G681" s="123"/>
      <c r="H681" s="123"/>
      <c r="I681" s="123"/>
      <c r="J681" s="123"/>
      <c r="K681" s="123"/>
      <c r="L681" s="123"/>
      <c r="M681" s="123"/>
      <c r="N681" s="123"/>
      <c r="O681" s="123"/>
      <c r="P681" s="123"/>
      <c r="Q681" s="123"/>
      <c r="R681" s="123"/>
      <c r="S681" s="123"/>
      <c r="T681" s="123"/>
      <c r="U681" s="123"/>
      <c r="V681" s="123"/>
    </row>
    <row r="682" spans="1:22" ht="15.75" hidden="1" customHeight="1" x14ac:dyDescent="0.25">
      <c r="A682" s="123"/>
      <c r="B682" s="123"/>
      <c r="C682" s="123"/>
      <c r="D682" s="123"/>
      <c r="E682" s="138"/>
      <c r="F682" s="138"/>
      <c r="G682" s="123"/>
      <c r="H682" s="123"/>
      <c r="I682" s="123"/>
      <c r="J682" s="123"/>
      <c r="K682" s="123"/>
      <c r="L682" s="123"/>
      <c r="M682" s="123"/>
      <c r="N682" s="123"/>
      <c r="O682" s="123"/>
      <c r="P682" s="123"/>
      <c r="Q682" s="123"/>
      <c r="R682" s="123"/>
      <c r="S682" s="123"/>
      <c r="T682" s="123"/>
      <c r="U682" s="123"/>
      <c r="V682" s="123"/>
    </row>
    <row r="683" spans="1:22" ht="15.75" hidden="1" customHeight="1" x14ac:dyDescent="0.25">
      <c r="A683" s="123"/>
      <c r="B683" s="123"/>
      <c r="C683" s="123"/>
      <c r="D683" s="123"/>
      <c r="E683" s="138"/>
      <c r="F683" s="138"/>
      <c r="G683" s="123"/>
      <c r="H683" s="123"/>
      <c r="I683" s="123"/>
      <c r="J683" s="123"/>
      <c r="K683" s="123"/>
      <c r="L683" s="123"/>
      <c r="M683" s="123"/>
      <c r="N683" s="123"/>
      <c r="O683" s="123"/>
      <c r="P683" s="123"/>
      <c r="Q683" s="123"/>
      <c r="R683" s="123"/>
      <c r="S683" s="123"/>
      <c r="T683" s="123"/>
      <c r="U683" s="123"/>
      <c r="V683" s="123"/>
    </row>
    <row r="684" spans="1:22" ht="15.75" hidden="1" customHeight="1" x14ac:dyDescent="0.25">
      <c r="A684" s="123"/>
      <c r="B684" s="123"/>
      <c r="C684" s="123"/>
      <c r="D684" s="123"/>
      <c r="E684" s="138"/>
      <c r="F684" s="138"/>
      <c r="G684" s="123"/>
      <c r="H684" s="123"/>
      <c r="I684" s="123"/>
      <c r="J684" s="123"/>
      <c r="K684" s="123"/>
      <c r="L684" s="123"/>
      <c r="M684" s="123"/>
      <c r="N684" s="123"/>
      <c r="O684" s="123"/>
      <c r="P684" s="123"/>
      <c r="Q684" s="123"/>
      <c r="R684" s="123"/>
      <c r="S684" s="123"/>
      <c r="T684" s="123"/>
      <c r="U684" s="123"/>
      <c r="V684" s="123"/>
    </row>
    <row r="685" spans="1:22" ht="15.75" hidden="1" customHeight="1" x14ac:dyDescent="0.25">
      <c r="A685" s="123"/>
      <c r="B685" s="123"/>
      <c r="C685" s="123"/>
      <c r="D685" s="123"/>
      <c r="E685" s="138"/>
      <c r="F685" s="138"/>
      <c r="G685" s="123"/>
      <c r="H685" s="123"/>
      <c r="I685" s="123"/>
      <c r="J685" s="123"/>
      <c r="K685" s="123"/>
      <c r="L685" s="123"/>
      <c r="M685" s="123"/>
      <c r="N685" s="123"/>
      <c r="O685" s="123"/>
      <c r="P685" s="123"/>
      <c r="Q685" s="123"/>
      <c r="R685" s="123"/>
      <c r="S685" s="123"/>
      <c r="T685" s="123"/>
      <c r="U685" s="123"/>
      <c r="V685" s="123"/>
    </row>
    <row r="686" spans="1:22" ht="15.75" hidden="1" customHeight="1" x14ac:dyDescent="0.25">
      <c r="A686" s="123"/>
      <c r="B686" s="123"/>
      <c r="C686" s="123"/>
      <c r="D686" s="123"/>
      <c r="E686" s="138"/>
      <c r="F686" s="138"/>
      <c r="G686" s="123"/>
      <c r="H686" s="123"/>
      <c r="I686" s="123"/>
      <c r="J686" s="123"/>
      <c r="K686" s="123"/>
      <c r="L686" s="123"/>
      <c r="M686" s="123"/>
      <c r="N686" s="123"/>
      <c r="O686" s="123"/>
      <c r="P686" s="123"/>
      <c r="Q686" s="123"/>
      <c r="R686" s="123"/>
      <c r="S686" s="123"/>
      <c r="T686" s="123"/>
      <c r="U686" s="123"/>
      <c r="V686" s="123"/>
    </row>
    <row r="687" spans="1:22" ht="15.75" hidden="1" customHeight="1" x14ac:dyDescent="0.25">
      <c r="A687" s="123"/>
      <c r="B687" s="123"/>
      <c r="C687" s="123"/>
      <c r="D687" s="123"/>
      <c r="E687" s="138"/>
      <c r="F687" s="138"/>
      <c r="G687" s="123"/>
      <c r="H687" s="123"/>
      <c r="I687" s="123"/>
      <c r="J687" s="123"/>
      <c r="K687" s="123"/>
      <c r="L687" s="123"/>
      <c r="M687" s="123"/>
      <c r="N687" s="123"/>
      <c r="O687" s="123"/>
      <c r="P687" s="123"/>
      <c r="Q687" s="123"/>
      <c r="R687" s="123"/>
      <c r="S687" s="123"/>
      <c r="T687" s="123"/>
      <c r="U687" s="123"/>
      <c r="V687" s="123"/>
    </row>
    <row r="688" spans="1:22" ht="15.75" hidden="1" customHeight="1" x14ac:dyDescent="0.25">
      <c r="A688" s="123"/>
      <c r="B688" s="123"/>
      <c r="C688" s="123"/>
      <c r="D688" s="123"/>
      <c r="E688" s="138"/>
      <c r="F688" s="138"/>
      <c r="G688" s="123"/>
      <c r="H688" s="123"/>
      <c r="I688" s="123"/>
      <c r="J688" s="123"/>
      <c r="K688" s="123"/>
      <c r="L688" s="123"/>
      <c r="M688" s="123"/>
      <c r="N688" s="123"/>
      <c r="O688" s="123"/>
      <c r="P688" s="123"/>
      <c r="Q688" s="123"/>
      <c r="R688" s="123"/>
      <c r="S688" s="123"/>
      <c r="T688" s="123"/>
      <c r="U688" s="123"/>
      <c r="V688" s="123"/>
    </row>
    <row r="689" spans="1:22" ht="15.75" hidden="1" customHeight="1" x14ac:dyDescent="0.25">
      <c r="A689" s="123"/>
      <c r="B689" s="123"/>
      <c r="C689" s="123"/>
      <c r="D689" s="123"/>
      <c r="E689" s="138"/>
      <c r="F689" s="138"/>
      <c r="G689" s="123"/>
      <c r="H689" s="123"/>
      <c r="I689" s="123"/>
      <c r="J689" s="123"/>
      <c r="K689" s="123"/>
      <c r="L689" s="123"/>
      <c r="M689" s="123"/>
      <c r="N689" s="123"/>
      <c r="O689" s="123"/>
      <c r="P689" s="123"/>
      <c r="Q689" s="123"/>
      <c r="R689" s="123"/>
      <c r="S689" s="123"/>
      <c r="T689" s="123"/>
      <c r="U689" s="123"/>
      <c r="V689" s="123"/>
    </row>
    <row r="690" spans="1:22" ht="15.75" hidden="1" customHeight="1" x14ac:dyDescent="0.25">
      <c r="A690" s="123"/>
      <c r="B690" s="123"/>
      <c r="C690" s="123"/>
      <c r="D690" s="123"/>
      <c r="E690" s="138"/>
      <c r="F690" s="138"/>
      <c r="G690" s="123"/>
      <c r="H690" s="123"/>
      <c r="I690" s="123"/>
      <c r="J690" s="123"/>
      <c r="K690" s="123"/>
      <c r="L690" s="123"/>
      <c r="M690" s="123"/>
      <c r="N690" s="123"/>
      <c r="O690" s="123"/>
      <c r="P690" s="123"/>
      <c r="Q690" s="123"/>
      <c r="R690" s="123"/>
      <c r="S690" s="123"/>
      <c r="T690" s="123"/>
      <c r="U690" s="123"/>
      <c r="V690" s="123"/>
    </row>
    <row r="691" spans="1:22" ht="15.75" hidden="1" customHeight="1" x14ac:dyDescent="0.25">
      <c r="A691" s="123"/>
      <c r="B691" s="123"/>
      <c r="C691" s="123"/>
      <c r="D691" s="123"/>
      <c r="E691" s="138"/>
      <c r="F691" s="138"/>
      <c r="G691" s="123"/>
      <c r="H691" s="123"/>
      <c r="I691" s="123"/>
      <c r="J691" s="123"/>
      <c r="K691" s="123"/>
      <c r="L691" s="123"/>
      <c r="M691" s="123"/>
      <c r="N691" s="123"/>
      <c r="O691" s="123"/>
      <c r="P691" s="123"/>
      <c r="Q691" s="123"/>
      <c r="R691" s="123"/>
      <c r="S691" s="123"/>
      <c r="T691" s="123"/>
      <c r="U691" s="123"/>
      <c r="V691" s="123"/>
    </row>
    <row r="692" spans="1:22" ht="15.75" hidden="1" customHeight="1" x14ac:dyDescent="0.25">
      <c r="A692" s="123"/>
      <c r="B692" s="123"/>
      <c r="C692" s="123"/>
      <c r="D692" s="123"/>
      <c r="E692" s="138"/>
      <c r="F692" s="138"/>
      <c r="G692" s="123"/>
      <c r="H692" s="123"/>
      <c r="I692" s="123"/>
      <c r="J692" s="123"/>
      <c r="K692" s="123"/>
      <c r="L692" s="123"/>
      <c r="M692" s="123"/>
      <c r="N692" s="123"/>
      <c r="O692" s="123"/>
      <c r="P692" s="123"/>
      <c r="Q692" s="123"/>
      <c r="R692" s="123"/>
      <c r="S692" s="123"/>
      <c r="T692" s="123"/>
      <c r="U692" s="123"/>
      <c r="V692" s="123"/>
    </row>
    <row r="693" spans="1:22" ht="15.75" hidden="1" customHeight="1" x14ac:dyDescent="0.25">
      <c r="A693" s="123"/>
      <c r="B693" s="123"/>
      <c r="C693" s="123"/>
      <c r="D693" s="123"/>
      <c r="E693" s="138"/>
      <c r="F693" s="138"/>
      <c r="G693" s="123"/>
      <c r="H693" s="123"/>
      <c r="I693" s="123"/>
      <c r="J693" s="123"/>
      <c r="K693" s="123"/>
      <c r="L693" s="123"/>
      <c r="M693" s="123"/>
      <c r="N693" s="123"/>
      <c r="O693" s="123"/>
      <c r="P693" s="123"/>
      <c r="Q693" s="123"/>
      <c r="R693" s="123"/>
      <c r="S693" s="123"/>
      <c r="T693" s="123"/>
      <c r="U693" s="123"/>
      <c r="V693" s="123"/>
    </row>
    <row r="694" spans="1:22" ht="15.75" hidden="1" customHeight="1" x14ac:dyDescent="0.25">
      <c r="A694" s="123"/>
      <c r="B694" s="123"/>
      <c r="C694" s="123"/>
      <c r="D694" s="123"/>
      <c r="E694" s="138"/>
      <c r="F694" s="138"/>
      <c r="G694" s="123"/>
      <c r="H694" s="123"/>
      <c r="I694" s="123"/>
      <c r="J694" s="123"/>
      <c r="K694" s="123"/>
      <c r="L694" s="123"/>
      <c r="M694" s="123"/>
      <c r="N694" s="123"/>
      <c r="O694" s="123"/>
      <c r="P694" s="123"/>
      <c r="Q694" s="123"/>
      <c r="R694" s="123"/>
      <c r="S694" s="123"/>
      <c r="T694" s="123"/>
      <c r="U694" s="123"/>
      <c r="V694" s="123"/>
    </row>
    <row r="695" spans="1:22" ht="15.75" hidden="1" customHeight="1" x14ac:dyDescent="0.25">
      <c r="A695" s="123"/>
      <c r="B695" s="123"/>
      <c r="C695" s="123"/>
      <c r="D695" s="123"/>
      <c r="E695" s="138"/>
      <c r="F695" s="138"/>
      <c r="G695" s="123"/>
      <c r="H695" s="123"/>
      <c r="I695" s="123"/>
      <c r="J695" s="123"/>
      <c r="K695" s="123"/>
      <c r="L695" s="123"/>
      <c r="M695" s="123"/>
      <c r="N695" s="123"/>
      <c r="O695" s="123"/>
      <c r="P695" s="123"/>
      <c r="Q695" s="123"/>
      <c r="R695" s="123"/>
      <c r="S695" s="123"/>
      <c r="T695" s="123"/>
      <c r="U695" s="123"/>
      <c r="V695" s="123"/>
    </row>
    <row r="696" spans="1:22" ht="15.75" hidden="1" customHeight="1" x14ac:dyDescent="0.25">
      <c r="A696" s="123"/>
      <c r="B696" s="123"/>
      <c r="C696" s="123"/>
      <c r="D696" s="123"/>
      <c r="E696" s="138"/>
      <c r="F696" s="138"/>
      <c r="G696" s="123"/>
      <c r="H696" s="123"/>
      <c r="I696" s="123"/>
      <c r="J696" s="123"/>
      <c r="K696" s="123"/>
      <c r="L696" s="123"/>
      <c r="M696" s="123"/>
      <c r="N696" s="123"/>
      <c r="O696" s="123"/>
      <c r="P696" s="123"/>
      <c r="Q696" s="123"/>
      <c r="R696" s="123"/>
      <c r="S696" s="123"/>
      <c r="T696" s="123"/>
      <c r="U696" s="123"/>
      <c r="V696" s="123"/>
    </row>
    <row r="697" spans="1:22" ht="15.75" hidden="1" customHeight="1" x14ac:dyDescent="0.25">
      <c r="A697" s="123"/>
      <c r="B697" s="123"/>
      <c r="C697" s="123"/>
      <c r="D697" s="123"/>
      <c r="E697" s="138"/>
      <c r="F697" s="138"/>
      <c r="G697" s="123"/>
      <c r="H697" s="123"/>
      <c r="I697" s="123"/>
      <c r="J697" s="123"/>
      <c r="K697" s="123"/>
      <c r="L697" s="123"/>
      <c r="M697" s="123"/>
      <c r="N697" s="123"/>
      <c r="O697" s="123"/>
      <c r="P697" s="123"/>
      <c r="Q697" s="123"/>
      <c r="R697" s="123"/>
      <c r="S697" s="123"/>
      <c r="T697" s="123"/>
      <c r="U697" s="123"/>
      <c r="V697" s="123"/>
    </row>
    <row r="698" spans="1:22" ht="15.75" hidden="1" customHeight="1" x14ac:dyDescent="0.25">
      <c r="A698" s="123"/>
      <c r="B698" s="123"/>
      <c r="C698" s="123"/>
      <c r="D698" s="123"/>
      <c r="E698" s="138"/>
      <c r="F698" s="138"/>
      <c r="G698" s="123"/>
      <c r="H698" s="123"/>
      <c r="I698" s="123"/>
      <c r="J698" s="123"/>
      <c r="K698" s="123"/>
      <c r="L698" s="123"/>
      <c r="M698" s="123"/>
      <c r="N698" s="123"/>
      <c r="O698" s="123"/>
      <c r="P698" s="123"/>
      <c r="Q698" s="123"/>
      <c r="R698" s="123"/>
      <c r="S698" s="123"/>
      <c r="T698" s="123"/>
      <c r="U698" s="123"/>
      <c r="V698" s="123"/>
    </row>
    <row r="699" spans="1:22" ht="15.75" hidden="1" customHeight="1" x14ac:dyDescent="0.25">
      <c r="A699" s="123"/>
      <c r="B699" s="123"/>
      <c r="C699" s="123"/>
      <c r="D699" s="123"/>
      <c r="E699" s="138"/>
      <c r="F699" s="138"/>
      <c r="G699" s="123"/>
      <c r="H699" s="123"/>
      <c r="I699" s="123"/>
      <c r="J699" s="123"/>
      <c r="K699" s="123"/>
      <c r="L699" s="123"/>
      <c r="M699" s="123"/>
      <c r="N699" s="123"/>
      <c r="O699" s="123"/>
      <c r="P699" s="123"/>
      <c r="Q699" s="123"/>
      <c r="R699" s="123"/>
      <c r="S699" s="123"/>
      <c r="T699" s="123"/>
      <c r="U699" s="123"/>
      <c r="V699" s="123"/>
    </row>
    <row r="700" spans="1:22" ht="15.75" hidden="1" customHeight="1" x14ac:dyDescent="0.25">
      <c r="A700" s="123"/>
      <c r="B700" s="123"/>
      <c r="C700" s="123"/>
      <c r="D700" s="123"/>
      <c r="E700" s="138"/>
      <c r="F700" s="138"/>
      <c r="G700" s="123"/>
      <c r="H700" s="123"/>
      <c r="I700" s="123"/>
      <c r="J700" s="123"/>
      <c r="K700" s="123"/>
      <c r="L700" s="123"/>
      <c r="M700" s="123"/>
      <c r="N700" s="123"/>
      <c r="O700" s="123"/>
      <c r="P700" s="123"/>
      <c r="Q700" s="123"/>
      <c r="R700" s="123"/>
      <c r="S700" s="123"/>
      <c r="T700" s="123"/>
      <c r="U700" s="123"/>
      <c r="V700" s="123"/>
    </row>
    <row r="701" spans="1:22" ht="15.75" hidden="1" customHeight="1" x14ac:dyDescent="0.25">
      <c r="A701" s="123"/>
      <c r="B701" s="123"/>
      <c r="C701" s="123"/>
      <c r="D701" s="123"/>
      <c r="E701" s="138"/>
      <c r="F701" s="138"/>
      <c r="G701" s="123"/>
      <c r="H701" s="123"/>
      <c r="I701" s="123"/>
      <c r="J701" s="123"/>
      <c r="K701" s="123"/>
      <c r="L701" s="123"/>
      <c r="M701" s="123"/>
      <c r="N701" s="123"/>
      <c r="O701" s="123"/>
      <c r="P701" s="123"/>
      <c r="Q701" s="123"/>
      <c r="R701" s="123"/>
      <c r="S701" s="123"/>
      <c r="T701" s="123"/>
      <c r="U701" s="123"/>
      <c r="V701" s="123"/>
    </row>
    <row r="702" spans="1:22" ht="15.75" hidden="1" customHeight="1" x14ac:dyDescent="0.25">
      <c r="A702" s="123"/>
      <c r="B702" s="123"/>
      <c r="C702" s="123"/>
      <c r="D702" s="123"/>
      <c r="E702" s="138"/>
      <c r="F702" s="138"/>
      <c r="G702" s="123"/>
      <c r="H702" s="123"/>
      <c r="I702" s="123"/>
      <c r="J702" s="123"/>
      <c r="K702" s="123"/>
      <c r="L702" s="123"/>
      <c r="M702" s="123"/>
      <c r="N702" s="123"/>
      <c r="O702" s="123"/>
      <c r="P702" s="123"/>
      <c r="Q702" s="123"/>
      <c r="R702" s="123"/>
      <c r="S702" s="123"/>
      <c r="T702" s="123"/>
      <c r="U702" s="123"/>
      <c r="V702" s="123"/>
    </row>
    <row r="703" spans="1:22" ht="15.75" hidden="1" customHeight="1" x14ac:dyDescent="0.25">
      <c r="A703" s="123"/>
      <c r="B703" s="123"/>
      <c r="C703" s="123"/>
      <c r="D703" s="123"/>
      <c r="E703" s="138"/>
      <c r="F703" s="138"/>
      <c r="G703" s="123"/>
      <c r="H703" s="123"/>
      <c r="I703" s="123"/>
      <c r="J703" s="123"/>
      <c r="K703" s="123"/>
      <c r="L703" s="123"/>
      <c r="M703" s="123"/>
      <c r="N703" s="123"/>
      <c r="O703" s="123"/>
      <c r="P703" s="123"/>
      <c r="Q703" s="123"/>
      <c r="R703" s="123"/>
      <c r="S703" s="123"/>
      <c r="T703" s="123"/>
      <c r="U703" s="123"/>
      <c r="V703" s="123"/>
    </row>
    <row r="704" spans="1:22" ht="15.75" hidden="1" customHeight="1" x14ac:dyDescent="0.25">
      <c r="A704" s="123"/>
      <c r="B704" s="123"/>
      <c r="C704" s="123"/>
      <c r="D704" s="123"/>
      <c r="E704" s="138"/>
      <c r="F704" s="138"/>
      <c r="G704" s="123"/>
      <c r="H704" s="123"/>
      <c r="I704" s="123"/>
      <c r="J704" s="123"/>
      <c r="K704" s="123"/>
      <c r="L704" s="123"/>
      <c r="M704" s="123"/>
      <c r="N704" s="123"/>
      <c r="O704" s="123"/>
      <c r="P704" s="123"/>
      <c r="Q704" s="123"/>
      <c r="R704" s="123"/>
      <c r="S704" s="123"/>
      <c r="T704" s="123"/>
      <c r="U704" s="123"/>
      <c r="V704" s="123"/>
    </row>
    <row r="705" spans="1:22" ht="15.75" hidden="1" customHeight="1" x14ac:dyDescent="0.25">
      <c r="A705" s="123"/>
      <c r="B705" s="123"/>
      <c r="C705" s="123"/>
      <c r="D705" s="123"/>
      <c r="E705" s="138"/>
      <c r="F705" s="138"/>
      <c r="G705" s="123"/>
      <c r="H705" s="123"/>
      <c r="I705" s="123"/>
      <c r="J705" s="123"/>
      <c r="K705" s="123"/>
      <c r="L705" s="123"/>
      <c r="M705" s="123"/>
      <c r="N705" s="123"/>
      <c r="O705" s="123"/>
      <c r="P705" s="123"/>
      <c r="Q705" s="123"/>
      <c r="R705" s="123"/>
      <c r="S705" s="123"/>
      <c r="T705" s="123"/>
      <c r="U705" s="123"/>
      <c r="V705" s="123"/>
    </row>
    <row r="706" spans="1:22" ht="15.75" hidden="1" customHeight="1" x14ac:dyDescent="0.25">
      <c r="A706" s="123"/>
      <c r="B706" s="123"/>
      <c r="C706" s="123"/>
      <c r="D706" s="123"/>
      <c r="E706" s="138"/>
      <c r="F706" s="138"/>
      <c r="G706" s="123"/>
      <c r="H706" s="123"/>
      <c r="I706" s="123"/>
      <c r="J706" s="123"/>
      <c r="K706" s="123"/>
      <c r="L706" s="123"/>
      <c r="M706" s="123"/>
      <c r="N706" s="123"/>
      <c r="O706" s="123"/>
      <c r="P706" s="123"/>
      <c r="Q706" s="123"/>
      <c r="R706" s="123"/>
      <c r="S706" s="123"/>
      <c r="T706" s="123"/>
      <c r="U706" s="123"/>
      <c r="V706" s="123"/>
    </row>
    <row r="707" spans="1:22" ht="15.75" hidden="1" customHeight="1" x14ac:dyDescent="0.25">
      <c r="A707" s="123"/>
      <c r="B707" s="123"/>
      <c r="C707" s="123"/>
      <c r="D707" s="123"/>
      <c r="E707" s="138"/>
      <c r="F707" s="138"/>
      <c r="G707" s="123"/>
      <c r="H707" s="123"/>
      <c r="I707" s="123"/>
      <c r="J707" s="123"/>
      <c r="K707" s="123"/>
      <c r="L707" s="123"/>
      <c r="M707" s="123"/>
      <c r="N707" s="123"/>
      <c r="O707" s="123"/>
      <c r="P707" s="123"/>
      <c r="Q707" s="123"/>
      <c r="R707" s="123"/>
      <c r="S707" s="123"/>
      <c r="T707" s="123"/>
      <c r="U707" s="123"/>
      <c r="V707" s="123"/>
    </row>
    <row r="708" spans="1:22" ht="15.75" hidden="1" customHeight="1" x14ac:dyDescent="0.25">
      <c r="A708" s="123"/>
      <c r="B708" s="123"/>
      <c r="C708" s="123"/>
      <c r="D708" s="123"/>
      <c r="E708" s="138"/>
      <c r="F708" s="138"/>
      <c r="G708" s="123"/>
      <c r="H708" s="123"/>
      <c r="I708" s="123"/>
      <c r="J708" s="123"/>
      <c r="K708" s="123"/>
      <c r="L708" s="123"/>
      <c r="M708" s="123"/>
      <c r="N708" s="123"/>
      <c r="O708" s="123"/>
      <c r="P708" s="123"/>
      <c r="Q708" s="123"/>
      <c r="R708" s="123"/>
      <c r="S708" s="123"/>
      <c r="T708" s="123"/>
      <c r="U708" s="123"/>
      <c r="V708" s="123"/>
    </row>
    <row r="709" spans="1:22" ht="15.75" hidden="1" customHeight="1" x14ac:dyDescent="0.25">
      <c r="A709" s="123"/>
      <c r="B709" s="123"/>
      <c r="C709" s="123"/>
      <c r="D709" s="123"/>
      <c r="E709" s="138"/>
      <c r="F709" s="138"/>
      <c r="G709" s="123"/>
      <c r="H709" s="123"/>
      <c r="I709" s="123"/>
      <c r="J709" s="123"/>
      <c r="K709" s="123"/>
      <c r="L709" s="123"/>
      <c r="M709" s="123"/>
      <c r="N709" s="123"/>
      <c r="O709" s="123"/>
      <c r="P709" s="123"/>
      <c r="Q709" s="123"/>
      <c r="R709" s="123"/>
      <c r="S709" s="123"/>
      <c r="T709" s="123"/>
      <c r="U709" s="123"/>
      <c r="V709" s="123"/>
    </row>
    <row r="710" spans="1:22" ht="15.75" hidden="1" customHeight="1" x14ac:dyDescent="0.25">
      <c r="A710" s="123"/>
      <c r="B710" s="123"/>
      <c r="C710" s="123"/>
      <c r="D710" s="123"/>
      <c r="E710" s="138"/>
      <c r="F710" s="138"/>
      <c r="G710" s="123"/>
      <c r="H710" s="123"/>
      <c r="I710" s="123"/>
      <c r="J710" s="123"/>
      <c r="K710" s="123"/>
      <c r="L710" s="123"/>
      <c r="M710" s="123"/>
      <c r="N710" s="123"/>
      <c r="O710" s="123"/>
      <c r="P710" s="123"/>
      <c r="Q710" s="123"/>
      <c r="R710" s="123"/>
      <c r="S710" s="123"/>
      <c r="T710" s="123"/>
      <c r="U710" s="123"/>
      <c r="V710" s="123"/>
    </row>
    <row r="711" spans="1:22" ht="15.75" hidden="1" customHeight="1" x14ac:dyDescent="0.25">
      <c r="A711" s="123"/>
      <c r="B711" s="123"/>
      <c r="C711" s="123"/>
      <c r="D711" s="123"/>
      <c r="E711" s="138"/>
      <c r="F711" s="138"/>
      <c r="G711" s="123"/>
      <c r="H711" s="123"/>
      <c r="I711" s="123"/>
      <c r="J711" s="123"/>
      <c r="K711" s="123"/>
      <c r="L711" s="123"/>
      <c r="M711" s="123"/>
      <c r="N711" s="123"/>
      <c r="O711" s="123"/>
      <c r="P711" s="123"/>
      <c r="Q711" s="123"/>
      <c r="R711" s="123"/>
      <c r="S711" s="123"/>
      <c r="T711" s="123"/>
      <c r="U711" s="123"/>
      <c r="V711" s="123"/>
    </row>
    <row r="712" spans="1:22" ht="15.75" hidden="1" customHeight="1" x14ac:dyDescent="0.25">
      <c r="A712" s="123"/>
      <c r="B712" s="123"/>
      <c r="C712" s="123"/>
      <c r="D712" s="123"/>
      <c r="E712" s="138"/>
      <c r="F712" s="138"/>
      <c r="G712" s="123"/>
      <c r="H712" s="123"/>
      <c r="I712" s="123"/>
      <c r="J712" s="123"/>
      <c r="K712" s="123"/>
      <c r="L712" s="123"/>
      <c r="M712" s="123"/>
      <c r="N712" s="123"/>
      <c r="O712" s="123"/>
      <c r="P712" s="123"/>
      <c r="Q712" s="123"/>
      <c r="R712" s="123"/>
      <c r="S712" s="123"/>
      <c r="T712" s="123"/>
      <c r="U712" s="123"/>
      <c r="V712" s="123"/>
    </row>
    <row r="713" spans="1:22" ht="15.75" hidden="1" customHeight="1" x14ac:dyDescent="0.25">
      <c r="A713" s="123"/>
      <c r="B713" s="123"/>
      <c r="C713" s="123"/>
      <c r="D713" s="123"/>
      <c r="E713" s="138"/>
      <c r="F713" s="138"/>
      <c r="G713" s="123"/>
      <c r="H713" s="123"/>
      <c r="I713" s="123"/>
      <c r="J713" s="123"/>
      <c r="K713" s="123"/>
      <c r="L713" s="123"/>
      <c r="M713" s="123"/>
      <c r="N713" s="123"/>
      <c r="O713" s="123"/>
      <c r="P713" s="123"/>
      <c r="Q713" s="123"/>
      <c r="R713" s="123"/>
      <c r="S713" s="123"/>
      <c r="T713" s="123"/>
      <c r="U713" s="123"/>
      <c r="V713" s="123"/>
    </row>
    <row r="714" spans="1:22" ht="15.75" hidden="1" customHeight="1" x14ac:dyDescent="0.25">
      <c r="A714" s="123"/>
      <c r="B714" s="123"/>
      <c r="C714" s="123"/>
      <c r="D714" s="123"/>
      <c r="E714" s="138"/>
      <c r="F714" s="138"/>
      <c r="G714" s="123"/>
      <c r="H714" s="123"/>
      <c r="I714" s="123"/>
      <c r="J714" s="123"/>
      <c r="K714" s="123"/>
      <c r="L714" s="123"/>
      <c r="M714" s="123"/>
      <c r="N714" s="123"/>
      <c r="O714" s="123"/>
      <c r="P714" s="123"/>
      <c r="Q714" s="123"/>
      <c r="R714" s="123"/>
      <c r="S714" s="123"/>
      <c r="T714" s="123"/>
      <c r="U714" s="123"/>
      <c r="V714" s="123"/>
    </row>
    <row r="715" spans="1:22" ht="15.75" hidden="1" customHeight="1" x14ac:dyDescent="0.25">
      <c r="A715" s="123"/>
      <c r="B715" s="123"/>
      <c r="C715" s="123"/>
      <c r="D715" s="123"/>
      <c r="E715" s="138"/>
      <c r="F715" s="138"/>
      <c r="G715" s="123"/>
      <c r="H715" s="123"/>
      <c r="I715" s="123"/>
      <c r="J715" s="123"/>
      <c r="K715" s="123"/>
      <c r="L715" s="123"/>
      <c r="M715" s="123"/>
      <c r="N715" s="123"/>
      <c r="O715" s="123"/>
      <c r="P715" s="123"/>
      <c r="Q715" s="123"/>
      <c r="R715" s="123"/>
      <c r="S715" s="123"/>
      <c r="T715" s="123"/>
      <c r="U715" s="123"/>
      <c r="V715" s="123"/>
    </row>
    <row r="716" spans="1:22" ht="15.75" hidden="1" customHeight="1" x14ac:dyDescent="0.25">
      <c r="A716" s="123"/>
      <c r="B716" s="123"/>
      <c r="C716" s="123"/>
      <c r="D716" s="123"/>
      <c r="E716" s="138"/>
      <c r="F716" s="138"/>
      <c r="G716" s="123"/>
      <c r="H716" s="123"/>
      <c r="I716" s="123"/>
      <c r="J716" s="123"/>
      <c r="K716" s="123"/>
      <c r="L716" s="123"/>
      <c r="M716" s="123"/>
      <c r="N716" s="123"/>
      <c r="O716" s="123"/>
      <c r="P716" s="123"/>
      <c r="Q716" s="123"/>
      <c r="R716" s="123"/>
      <c r="S716" s="123"/>
      <c r="T716" s="123"/>
      <c r="U716" s="123"/>
      <c r="V716" s="123"/>
    </row>
    <row r="717" spans="1:22" ht="15.75" hidden="1" customHeight="1" x14ac:dyDescent="0.25">
      <c r="A717" s="123"/>
      <c r="B717" s="123"/>
      <c r="C717" s="123"/>
      <c r="D717" s="123"/>
      <c r="E717" s="138"/>
      <c r="F717" s="138"/>
      <c r="G717" s="123"/>
      <c r="H717" s="123"/>
      <c r="I717" s="123"/>
      <c r="J717" s="123"/>
      <c r="K717" s="123"/>
      <c r="L717" s="123"/>
      <c r="M717" s="123"/>
      <c r="N717" s="123"/>
      <c r="O717" s="123"/>
      <c r="P717" s="123"/>
      <c r="Q717" s="123"/>
      <c r="R717" s="123"/>
      <c r="S717" s="123"/>
      <c r="T717" s="123"/>
      <c r="U717" s="123"/>
      <c r="V717" s="123"/>
    </row>
    <row r="718" spans="1:22" ht="15.75" hidden="1" customHeight="1" x14ac:dyDescent="0.25">
      <c r="A718" s="123"/>
      <c r="B718" s="123"/>
      <c r="C718" s="123"/>
      <c r="D718" s="123"/>
      <c r="E718" s="138"/>
      <c r="F718" s="138"/>
      <c r="G718" s="123"/>
      <c r="H718" s="123"/>
      <c r="I718" s="123"/>
      <c r="J718" s="123"/>
      <c r="K718" s="123"/>
      <c r="L718" s="123"/>
      <c r="M718" s="123"/>
      <c r="N718" s="123"/>
      <c r="O718" s="123"/>
      <c r="P718" s="123"/>
      <c r="Q718" s="123"/>
      <c r="R718" s="123"/>
      <c r="S718" s="123"/>
      <c r="T718" s="123"/>
      <c r="U718" s="123"/>
      <c r="V718" s="123"/>
    </row>
    <row r="719" spans="1:22" ht="15.75" hidden="1" customHeight="1" x14ac:dyDescent="0.25">
      <c r="A719" s="123"/>
      <c r="B719" s="123"/>
      <c r="C719" s="123"/>
      <c r="D719" s="123"/>
      <c r="E719" s="138"/>
      <c r="F719" s="138"/>
      <c r="G719" s="123"/>
      <c r="H719" s="123"/>
      <c r="I719" s="123"/>
      <c r="J719" s="123"/>
      <c r="K719" s="123"/>
      <c r="L719" s="123"/>
      <c r="M719" s="123"/>
      <c r="N719" s="123"/>
      <c r="O719" s="123"/>
      <c r="P719" s="123"/>
      <c r="Q719" s="123"/>
      <c r="R719" s="123"/>
      <c r="S719" s="123"/>
      <c r="T719" s="123"/>
      <c r="U719" s="123"/>
      <c r="V719" s="123"/>
    </row>
    <row r="720" spans="1:22" ht="15.75" hidden="1" customHeight="1" x14ac:dyDescent="0.25">
      <c r="A720" s="123"/>
      <c r="B720" s="123"/>
      <c r="C720" s="123"/>
      <c r="D720" s="123"/>
      <c r="E720" s="138"/>
      <c r="F720" s="138"/>
      <c r="G720" s="123"/>
      <c r="H720" s="123"/>
      <c r="I720" s="123"/>
      <c r="J720" s="123"/>
      <c r="K720" s="123"/>
      <c r="L720" s="123"/>
      <c r="M720" s="123"/>
      <c r="N720" s="123"/>
      <c r="O720" s="123"/>
      <c r="P720" s="123"/>
      <c r="Q720" s="123"/>
      <c r="R720" s="123"/>
      <c r="S720" s="123"/>
      <c r="T720" s="123"/>
      <c r="U720" s="123"/>
      <c r="V720" s="123"/>
    </row>
    <row r="721" spans="1:22" ht="15.75" hidden="1" customHeight="1" x14ac:dyDescent="0.25">
      <c r="A721" s="123"/>
      <c r="B721" s="123"/>
      <c r="C721" s="123"/>
      <c r="D721" s="123"/>
      <c r="E721" s="138"/>
      <c r="F721" s="138"/>
      <c r="G721" s="123"/>
      <c r="H721" s="123"/>
      <c r="I721" s="123"/>
      <c r="J721" s="123"/>
      <c r="K721" s="123"/>
      <c r="L721" s="123"/>
      <c r="M721" s="123"/>
      <c r="N721" s="123"/>
      <c r="O721" s="123"/>
      <c r="P721" s="123"/>
      <c r="Q721" s="123"/>
      <c r="R721" s="123"/>
      <c r="S721" s="123"/>
      <c r="T721" s="123"/>
      <c r="U721" s="123"/>
      <c r="V721" s="123"/>
    </row>
    <row r="722" spans="1:22" ht="15.75" hidden="1" customHeight="1" x14ac:dyDescent="0.25">
      <c r="A722" s="123"/>
      <c r="B722" s="123"/>
      <c r="C722" s="123"/>
      <c r="D722" s="123"/>
      <c r="E722" s="138"/>
      <c r="F722" s="138"/>
      <c r="G722" s="123"/>
      <c r="H722" s="123"/>
      <c r="I722" s="123"/>
      <c r="J722" s="123"/>
      <c r="K722" s="123"/>
      <c r="L722" s="123"/>
      <c r="M722" s="123"/>
      <c r="N722" s="123"/>
      <c r="O722" s="123"/>
      <c r="P722" s="123"/>
      <c r="Q722" s="123"/>
      <c r="R722" s="123"/>
      <c r="S722" s="123"/>
      <c r="T722" s="123"/>
      <c r="U722" s="123"/>
      <c r="V722" s="123"/>
    </row>
    <row r="723" spans="1:22" ht="15.75" hidden="1" customHeight="1" x14ac:dyDescent="0.25">
      <c r="A723" s="123"/>
      <c r="B723" s="123"/>
      <c r="C723" s="123"/>
      <c r="D723" s="123"/>
      <c r="E723" s="138"/>
      <c r="F723" s="138"/>
      <c r="G723" s="123"/>
      <c r="H723" s="123"/>
      <c r="I723" s="123"/>
      <c r="J723" s="123"/>
      <c r="K723" s="123"/>
      <c r="L723" s="123"/>
      <c r="M723" s="123"/>
      <c r="N723" s="123"/>
      <c r="O723" s="123"/>
      <c r="P723" s="123"/>
      <c r="Q723" s="123"/>
      <c r="R723" s="123"/>
      <c r="S723" s="123"/>
      <c r="T723" s="123"/>
      <c r="U723" s="123"/>
      <c r="V723" s="123"/>
    </row>
    <row r="724" spans="1:22" ht="15.75" hidden="1" customHeight="1" x14ac:dyDescent="0.25">
      <c r="A724" s="123"/>
      <c r="B724" s="123"/>
      <c r="C724" s="123"/>
      <c r="D724" s="123"/>
      <c r="E724" s="138"/>
      <c r="F724" s="138"/>
      <c r="G724" s="123"/>
      <c r="H724" s="123"/>
      <c r="I724" s="123"/>
      <c r="J724" s="123"/>
      <c r="K724" s="123"/>
      <c r="L724" s="123"/>
      <c r="M724" s="123"/>
      <c r="N724" s="123"/>
      <c r="O724" s="123"/>
      <c r="P724" s="123"/>
      <c r="Q724" s="123"/>
      <c r="R724" s="123"/>
      <c r="S724" s="123"/>
      <c r="T724" s="123"/>
      <c r="U724" s="123"/>
      <c r="V724" s="123"/>
    </row>
    <row r="725" spans="1:22" ht="15.75" hidden="1" customHeight="1" x14ac:dyDescent="0.25">
      <c r="A725" s="123"/>
      <c r="B725" s="123"/>
      <c r="C725" s="123"/>
      <c r="D725" s="123"/>
      <c r="E725" s="138"/>
      <c r="F725" s="138"/>
      <c r="G725" s="123"/>
      <c r="H725" s="123"/>
      <c r="I725" s="123"/>
      <c r="J725" s="123"/>
      <c r="K725" s="123"/>
      <c r="L725" s="123"/>
      <c r="M725" s="123"/>
      <c r="N725" s="123"/>
      <c r="O725" s="123"/>
      <c r="P725" s="123"/>
      <c r="Q725" s="123"/>
      <c r="R725" s="123"/>
      <c r="S725" s="123"/>
      <c r="T725" s="123"/>
      <c r="U725" s="123"/>
      <c r="V725" s="123"/>
    </row>
    <row r="726" spans="1:22" ht="15.75" hidden="1" customHeight="1" x14ac:dyDescent="0.25">
      <c r="A726" s="123"/>
      <c r="B726" s="123"/>
      <c r="C726" s="123"/>
      <c r="D726" s="123"/>
      <c r="E726" s="138"/>
      <c r="F726" s="138"/>
      <c r="G726" s="123"/>
      <c r="H726" s="123"/>
      <c r="I726" s="123"/>
      <c r="J726" s="123"/>
      <c r="K726" s="123"/>
      <c r="L726" s="123"/>
      <c r="M726" s="123"/>
      <c r="N726" s="123"/>
      <c r="O726" s="123"/>
      <c r="P726" s="123"/>
      <c r="Q726" s="123"/>
      <c r="R726" s="123"/>
      <c r="S726" s="123"/>
      <c r="T726" s="123"/>
      <c r="U726" s="123"/>
      <c r="V726" s="123"/>
    </row>
    <row r="727" spans="1:22" ht="15.75" hidden="1" customHeight="1" x14ac:dyDescent="0.25">
      <c r="A727" s="123"/>
      <c r="B727" s="123"/>
      <c r="C727" s="123"/>
      <c r="D727" s="123"/>
      <c r="E727" s="138"/>
      <c r="F727" s="138"/>
      <c r="G727" s="123"/>
      <c r="H727" s="123"/>
      <c r="I727" s="123"/>
      <c r="J727" s="123"/>
      <c r="K727" s="123"/>
      <c r="L727" s="123"/>
      <c r="M727" s="123"/>
      <c r="N727" s="123"/>
      <c r="O727" s="123"/>
      <c r="P727" s="123"/>
      <c r="Q727" s="123"/>
      <c r="R727" s="123"/>
      <c r="S727" s="123"/>
      <c r="T727" s="123"/>
      <c r="U727" s="123"/>
      <c r="V727" s="123"/>
    </row>
    <row r="728" spans="1:22" ht="15.75" hidden="1" customHeight="1" x14ac:dyDescent="0.25">
      <c r="A728" s="123"/>
      <c r="B728" s="123"/>
      <c r="C728" s="123"/>
      <c r="D728" s="123"/>
      <c r="E728" s="138"/>
      <c r="F728" s="138"/>
      <c r="G728" s="123"/>
      <c r="H728" s="123"/>
      <c r="I728" s="123"/>
      <c r="J728" s="123"/>
      <c r="K728" s="123"/>
      <c r="L728" s="123"/>
      <c r="M728" s="123"/>
      <c r="N728" s="123"/>
      <c r="O728" s="123"/>
      <c r="P728" s="123"/>
      <c r="Q728" s="123"/>
      <c r="R728" s="123"/>
      <c r="S728" s="123"/>
      <c r="T728" s="123"/>
      <c r="U728" s="123"/>
      <c r="V728" s="123"/>
    </row>
    <row r="729" spans="1:22" ht="15.75" hidden="1" customHeight="1" x14ac:dyDescent="0.25">
      <c r="A729" s="123"/>
      <c r="B729" s="123"/>
      <c r="C729" s="123"/>
      <c r="D729" s="123"/>
      <c r="E729" s="138"/>
      <c r="F729" s="138"/>
      <c r="G729" s="123"/>
      <c r="H729" s="123"/>
      <c r="I729" s="123"/>
      <c r="J729" s="123"/>
      <c r="K729" s="123"/>
      <c r="L729" s="123"/>
      <c r="M729" s="123"/>
      <c r="N729" s="123"/>
      <c r="O729" s="123"/>
      <c r="P729" s="123"/>
      <c r="Q729" s="123"/>
      <c r="R729" s="123"/>
      <c r="S729" s="123"/>
      <c r="T729" s="123"/>
      <c r="U729" s="123"/>
      <c r="V729" s="123"/>
    </row>
    <row r="730" spans="1:22" ht="15.75" hidden="1" customHeight="1" x14ac:dyDescent="0.25">
      <c r="A730" s="123"/>
      <c r="B730" s="123"/>
      <c r="C730" s="123"/>
      <c r="D730" s="123"/>
      <c r="E730" s="138"/>
      <c r="F730" s="138"/>
      <c r="G730" s="123"/>
      <c r="H730" s="123"/>
      <c r="I730" s="123"/>
      <c r="J730" s="123"/>
      <c r="K730" s="123"/>
      <c r="L730" s="123"/>
      <c r="M730" s="123"/>
      <c r="N730" s="123"/>
      <c r="O730" s="123"/>
      <c r="P730" s="123"/>
      <c r="Q730" s="123"/>
      <c r="R730" s="123"/>
      <c r="S730" s="123"/>
      <c r="T730" s="123"/>
      <c r="U730" s="123"/>
      <c r="V730" s="123"/>
    </row>
    <row r="731" spans="1:22" ht="15.75" hidden="1" customHeight="1" x14ac:dyDescent="0.25">
      <c r="A731" s="123"/>
      <c r="B731" s="123"/>
      <c r="C731" s="123"/>
      <c r="D731" s="123"/>
      <c r="E731" s="138"/>
      <c r="F731" s="138"/>
      <c r="G731" s="123"/>
      <c r="H731" s="123"/>
      <c r="I731" s="123"/>
      <c r="J731" s="123"/>
      <c r="K731" s="123"/>
      <c r="L731" s="123"/>
      <c r="M731" s="123"/>
      <c r="N731" s="123"/>
      <c r="O731" s="123"/>
      <c r="P731" s="123"/>
      <c r="Q731" s="123"/>
      <c r="R731" s="123"/>
      <c r="S731" s="123"/>
      <c r="T731" s="123"/>
      <c r="U731" s="123"/>
      <c r="V731" s="123"/>
    </row>
    <row r="732" spans="1:22" ht="15.75" hidden="1" customHeight="1" x14ac:dyDescent="0.25">
      <c r="A732" s="123"/>
      <c r="B732" s="123"/>
      <c r="C732" s="123"/>
      <c r="D732" s="123"/>
      <c r="E732" s="138"/>
      <c r="F732" s="138"/>
      <c r="G732" s="123"/>
      <c r="H732" s="123"/>
      <c r="I732" s="123"/>
      <c r="J732" s="123"/>
      <c r="K732" s="123"/>
      <c r="L732" s="123"/>
      <c r="M732" s="123"/>
      <c r="N732" s="123"/>
      <c r="O732" s="123"/>
      <c r="P732" s="123"/>
      <c r="Q732" s="123"/>
      <c r="R732" s="123"/>
      <c r="S732" s="123"/>
      <c r="T732" s="123"/>
      <c r="U732" s="123"/>
      <c r="V732" s="123"/>
    </row>
    <row r="733" spans="1:22" ht="15.75" hidden="1" customHeight="1" x14ac:dyDescent="0.25">
      <c r="A733" s="123"/>
      <c r="B733" s="123"/>
      <c r="C733" s="123"/>
      <c r="D733" s="123"/>
      <c r="E733" s="138"/>
      <c r="F733" s="138"/>
      <c r="G733" s="123"/>
      <c r="H733" s="123"/>
      <c r="I733" s="123"/>
      <c r="J733" s="123"/>
      <c r="K733" s="123"/>
      <c r="L733" s="123"/>
      <c r="M733" s="123"/>
      <c r="N733" s="123"/>
      <c r="O733" s="123"/>
      <c r="P733" s="123"/>
      <c r="Q733" s="123"/>
      <c r="R733" s="123"/>
      <c r="S733" s="123"/>
      <c r="T733" s="123"/>
      <c r="U733" s="123"/>
      <c r="V733" s="123"/>
    </row>
    <row r="734" spans="1:22" ht="15.75" hidden="1" customHeight="1" x14ac:dyDescent="0.25">
      <c r="A734" s="123"/>
      <c r="B734" s="123"/>
      <c r="C734" s="123"/>
      <c r="D734" s="123"/>
      <c r="E734" s="138"/>
      <c r="F734" s="138"/>
      <c r="G734" s="123"/>
      <c r="H734" s="123"/>
      <c r="I734" s="123"/>
      <c r="J734" s="123"/>
      <c r="K734" s="123"/>
      <c r="L734" s="123"/>
      <c r="M734" s="123"/>
      <c r="N734" s="123"/>
      <c r="O734" s="123"/>
      <c r="P734" s="123"/>
      <c r="Q734" s="123"/>
      <c r="R734" s="123"/>
      <c r="S734" s="123"/>
      <c r="T734" s="123"/>
      <c r="U734" s="123"/>
      <c r="V734" s="123"/>
    </row>
    <row r="735" spans="1:22" ht="15.75" hidden="1" customHeight="1" x14ac:dyDescent="0.25">
      <c r="A735" s="123"/>
      <c r="B735" s="123"/>
      <c r="C735" s="123"/>
      <c r="D735" s="123"/>
      <c r="E735" s="138"/>
      <c r="F735" s="138"/>
      <c r="G735" s="123"/>
      <c r="H735" s="123"/>
      <c r="I735" s="123"/>
      <c r="J735" s="123"/>
      <c r="K735" s="123"/>
      <c r="L735" s="123"/>
      <c r="M735" s="123"/>
      <c r="N735" s="123"/>
      <c r="O735" s="123"/>
      <c r="P735" s="123"/>
      <c r="Q735" s="123"/>
      <c r="R735" s="123"/>
      <c r="S735" s="123"/>
      <c r="T735" s="123"/>
      <c r="U735" s="123"/>
      <c r="V735" s="123"/>
    </row>
    <row r="736" spans="1:22" ht="15.75" hidden="1" customHeight="1" x14ac:dyDescent="0.25">
      <c r="A736" s="123"/>
      <c r="B736" s="123"/>
      <c r="C736" s="123"/>
      <c r="D736" s="123"/>
      <c r="E736" s="138"/>
      <c r="F736" s="138"/>
      <c r="G736" s="123"/>
      <c r="H736" s="123"/>
      <c r="I736" s="123"/>
      <c r="J736" s="123"/>
      <c r="K736" s="123"/>
      <c r="L736" s="123"/>
      <c r="M736" s="123"/>
      <c r="N736" s="123"/>
      <c r="O736" s="123"/>
      <c r="P736" s="123"/>
      <c r="Q736" s="123"/>
      <c r="R736" s="123"/>
      <c r="S736" s="123"/>
      <c r="T736" s="123"/>
      <c r="U736" s="123"/>
      <c r="V736" s="123"/>
    </row>
    <row r="737" spans="1:22" ht="15.75" hidden="1" customHeight="1" x14ac:dyDescent="0.25">
      <c r="A737" s="123"/>
      <c r="B737" s="123"/>
      <c r="C737" s="123"/>
      <c r="D737" s="123"/>
      <c r="E737" s="138"/>
      <c r="F737" s="138"/>
      <c r="G737" s="123"/>
      <c r="H737" s="123"/>
      <c r="I737" s="123"/>
      <c r="J737" s="123"/>
      <c r="K737" s="123"/>
      <c r="L737" s="123"/>
      <c r="M737" s="123"/>
      <c r="N737" s="123"/>
      <c r="O737" s="123"/>
      <c r="P737" s="123"/>
      <c r="Q737" s="123"/>
      <c r="R737" s="123"/>
      <c r="S737" s="123"/>
      <c r="T737" s="123"/>
      <c r="U737" s="123"/>
      <c r="V737" s="123"/>
    </row>
    <row r="738" spans="1:22" ht="15.75" hidden="1" customHeight="1" x14ac:dyDescent="0.25">
      <c r="A738" s="123"/>
      <c r="B738" s="123"/>
      <c r="C738" s="123"/>
      <c r="D738" s="123"/>
      <c r="E738" s="138"/>
      <c r="F738" s="138"/>
      <c r="G738" s="123"/>
      <c r="H738" s="123"/>
      <c r="I738" s="123"/>
      <c r="J738" s="123"/>
      <c r="K738" s="123"/>
      <c r="L738" s="123"/>
      <c r="M738" s="123"/>
      <c r="N738" s="123"/>
      <c r="O738" s="123"/>
      <c r="P738" s="123"/>
      <c r="Q738" s="123"/>
      <c r="R738" s="123"/>
      <c r="S738" s="123"/>
      <c r="T738" s="123"/>
      <c r="U738" s="123"/>
      <c r="V738" s="123"/>
    </row>
    <row r="739" spans="1:22" ht="15.75" hidden="1" customHeight="1" x14ac:dyDescent="0.25">
      <c r="A739" s="123"/>
      <c r="B739" s="123"/>
      <c r="C739" s="123"/>
      <c r="D739" s="123"/>
      <c r="E739" s="138"/>
      <c r="F739" s="138"/>
      <c r="G739" s="123"/>
      <c r="H739" s="123"/>
      <c r="I739" s="123"/>
      <c r="J739" s="123"/>
      <c r="K739" s="123"/>
      <c r="L739" s="123"/>
      <c r="M739" s="123"/>
      <c r="N739" s="123"/>
      <c r="O739" s="123"/>
      <c r="P739" s="123"/>
      <c r="Q739" s="123"/>
      <c r="R739" s="123"/>
      <c r="S739" s="123"/>
      <c r="T739" s="123"/>
      <c r="U739" s="123"/>
      <c r="V739" s="123"/>
    </row>
    <row r="740" spans="1:22" ht="15.75" hidden="1" customHeight="1" x14ac:dyDescent="0.25">
      <c r="A740" s="123"/>
      <c r="B740" s="123"/>
      <c r="C740" s="123"/>
      <c r="D740" s="123"/>
      <c r="E740" s="138"/>
      <c r="F740" s="138"/>
      <c r="G740" s="123"/>
      <c r="H740" s="123"/>
      <c r="I740" s="123"/>
      <c r="J740" s="123"/>
      <c r="K740" s="123"/>
      <c r="L740" s="123"/>
      <c r="M740" s="123"/>
      <c r="N740" s="123"/>
      <c r="O740" s="123"/>
      <c r="P740" s="123"/>
      <c r="Q740" s="123"/>
      <c r="R740" s="123"/>
      <c r="S740" s="123"/>
      <c r="T740" s="123"/>
      <c r="U740" s="123"/>
      <c r="V740" s="123"/>
    </row>
    <row r="741" spans="1:22" ht="15.75" hidden="1" customHeight="1" x14ac:dyDescent="0.25">
      <c r="A741" s="123"/>
      <c r="B741" s="123"/>
      <c r="C741" s="123"/>
      <c r="D741" s="123"/>
      <c r="E741" s="138"/>
      <c r="F741" s="138"/>
      <c r="G741" s="123"/>
      <c r="H741" s="123"/>
      <c r="I741" s="123"/>
      <c r="J741" s="123"/>
      <c r="K741" s="123"/>
      <c r="L741" s="123"/>
      <c r="M741" s="123"/>
      <c r="N741" s="123"/>
      <c r="O741" s="123"/>
      <c r="P741" s="123"/>
      <c r="Q741" s="123"/>
      <c r="R741" s="123"/>
      <c r="S741" s="123"/>
      <c r="T741" s="123"/>
      <c r="U741" s="123"/>
      <c r="V741" s="123"/>
    </row>
    <row r="742" spans="1:22" ht="15.75" hidden="1" customHeight="1" x14ac:dyDescent="0.25">
      <c r="A742" s="123"/>
      <c r="B742" s="123"/>
      <c r="C742" s="123"/>
      <c r="D742" s="123"/>
      <c r="E742" s="138"/>
      <c r="F742" s="138"/>
      <c r="G742" s="123"/>
      <c r="H742" s="123"/>
      <c r="I742" s="123"/>
      <c r="J742" s="123"/>
      <c r="K742" s="123"/>
      <c r="L742" s="123"/>
      <c r="M742" s="123"/>
      <c r="N742" s="123"/>
      <c r="O742" s="123"/>
      <c r="P742" s="123"/>
      <c r="Q742" s="123"/>
      <c r="R742" s="123"/>
      <c r="S742" s="123"/>
      <c r="T742" s="123"/>
      <c r="U742" s="123"/>
      <c r="V742" s="123"/>
    </row>
    <row r="743" spans="1:22" ht="15.75" hidden="1" customHeight="1" x14ac:dyDescent="0.25">
      <c r="A743" s="123"/>
      <c r="B743" s="123"/>
      <c r="C743" s="123"/>
      <c r="D743" s="123"/>
      <c r="E743" s="138"/>
      <c r="F743" s="138"/>
      <c r="G743" s="123"/>
      <c r="H743" s="123"/>
      <c r="I743" s="123"/>
      <c r="J743" s="123"/>
      <c r="K743" s="123"/>
      <c r="L743" s="123"/>
      <c r="M743" s="123"/>
      <c r="N743" s="123"/>
      <c r="O743" s="123"/>
      <c r="P743" s="123"/>
      <c r="Q743" s="123"/>
      <c r="R743" s="123"/>
      <c r="S743" s="123"/>
      <c r="T743" s="123"/>
      <c r="U743" s="123"/>
      <c r="V743" s="123"/>
    </row>
    <row r="744" spans="1:22" ht="15.75" hidden="1" customHeight="1" x14ac:dyDescent="0.25">
      <c r="A744" s="123"/>
      <c r="B744" s="123"/>
      <c r="C744" s="123"/>
      <c r="D744" s="123"/>
      <c r="E744" s="138"/>
      <c r="F744" s="138"/>
      <c r="G744" s="123"/>
      <c r="H744" s="123"/>
      <c r="I744" s="123"/>
      <c r="J744" s="123"/>
      <c r="K744" s="123"/>
      <c r="L744" s="123"/>
      <c r="M744" s="123"/>
      <c r="N744" s="123"/>
      <c r="O744" s="123"/>
      <c r="P744" s="123"/>
      <c r="Q744" s="123"/>
      <c r="R744" s="123"/>
      <c r="S744" s="123"/>
      <c r="T744" s="123"/>
      <c r="U744" s="123"/>
      <c r="V744" s="123"/>
    </row>
    <row r="745" spans="1:22" ht="15.75" hidden="1" customHeight="1" x14ac:dyDescent="0.25">
      <c r="A745" s="123"/>
      <c r="B745" s="123"/>
      <c r="C745" s="123"/>
      <c r="D745" s="123"/>
      <c r="E745" s="138"/>
      <c r="F745" s="138"/>
      <c r="G745" s="123"/>
      <c r="H745" s="123"/>
      <c r="I745" s="123"/>
      <c r="J745" s="123"/>
      <c r="K745" s="123"/>
      <c r="L745" s="123"/>
      <c r="M745" s="123"/>
      <c r="N745" s="123"/>
      <c r="O745" s="123"/>
      <c r="P745" s="123"/>
      <c r="Q745" s="123"/>
      <c r="R745" s="123"/>
      <c r="S745" s="123"/>
      <c r="T745" s="123"/>
      <c r="U745" s="123"/>
      <c r="V745" s="123"/>
    </row>
    <row r="746" spans="1:22" ht="15.75" hidden="1" customHeight="1" x14ac:dyDescent="0.25">
      <c r="A746" s="123"/>
      <c r="B746" s="123"/>
      <c r="C746" s="123"/>
      <c r="D746" s="123"/>
      <c r="E746" s="138"/>
      <c r="F746" s="138"/>
      <c r="G746" s="123"/>
      <c r="H746" s="123"/>
      <c r="I746" s="123"/>
      <c r="J746" s="123"/>
      <c r="K746" s="123"/>
      <c r="L746" s="123"/>
      <c r="M746" s="123"/>
      <c r="N746" s="123"/>
      <c r="O746" s="123"/>
      <c r="P746" s="123"/>
      <c r="Q746" s="123"/>
      <c r="R746" s="123"/>
      <c r="S746" s="123"/>
      <c r="T746" s="123"/>
      <c r="U746" s="123"/>
      <c r="V746" s="123"/>
    </row>
    <row r="747" spans="1:22" ht="15.75" hidden="1" customHeight="1" x14ac:dyDescent="0.25">
      <c r="A747" s="123"/>
      <c r="B747" s="123"/>
      <c r="C747" s="123"/>
      <c r="D747" s="123"/>
      <c r="E747" s="138"/>
      <c r="F747" s="138"/>
      <c r="G747" s="123"/>
      <c r="H747" s="123"/>
      <c r="I747" s="123"/>
      <c r="J747" s="123"/>
      <c r="K747" s="123"/>
      <c r="L747" s="123"/>
      <c r="M747" s="123"/>
      <c r="N747" s="123"/>
      <c r="O747" s="123"/>
      <c r="P747" s="123"/>
      <c r="Q747" s="123"/>
      <c r="R747" s="123"/>
      <c r="S747" s="123"/>
      <c r="T747" s="123"/>
      <c r="U747" s="123"/>
      <c r="V747" s="123"/>
    </row>
    <row r="748" spans="1:22" ht="15.75" hidden="1" customHeight="1" x14ac:dyDescent="0.25">
      <c r="A748" s="123"/>
      <c r="B748" s="123"/>
      <c r="C748" s="123"/>
      <c r="D748" s="123"/>
      <c r="E748" s="138"/>
      <c r="F748" s="138"/>
      <c r="G748" s="123"/>
      <c r="H748" s="123"/>
      <c r="I748" s="123"/>
      <c r="J748" s="123"/>
      <c r="K748" s="123"/>
      <c r="L748" s="123"/>
      <c r="M748" s="123"/>
      <c r="N748" s="123"/>
      <c r="O748" s="123"/>
      <c r="P748" s="123"/>
      <c r="Q748" s="123"/>
      <c r="R748" s="123"/>
      <c r="S748" s="123"/>
      <c r="T748" s="123"/>
      <c r="U748" s="123"/>
      <c r="V748" s="123"/>
    </row>
    <row r="749" spans="1:22" ht="15.75" hidden="1" customHeight="1" x14ac:dyDescent="0.25">
      <c r="A749" s="123"/>
      <c r="B749" s="123"/>
      <c r="C749" s="123"/>
      <c r="D749" s="123"/>
      <c r="E749" s="138"/>
      <c r="F749" s="138"/>
      <c r="G749" s="123"/>
      <c r="H749" s="123"/>
      <c r="I749" s="123"/>
      <c r="J749" s="123"/>
      <c r="K749" s="123"/>
      <c r="L749" s="123"/>
      <c r="M749" s="123"/>
      <c r="N749" s="123"/>
      <c r="O749" s="123"/>
      <c r="P749" s="123"/>
      <c r="Q749" s="123"/>
      <c r="R749" s="123"/>
      <c r="S749" s="123"/>
      <c r="T749" s="123"/>
      <c r="U749" s="123"/>
      <c r="V749" s="123"/>
    </row>
    <row r="750" spans="1:22" ht="15.75" hidden="1" customHeight="1" x14ac:dyDescent="0.25">
      <c r="A750" s="123"/>
      <c r="B750" s="123"/>
      <c r="C750" s="123"/>
      <c r="D750" s="123"/>
      <c r="E750" s="138"/>
      <c r="F750" s="138"/>
      <c r="G750" s="123"/>
      <c r="H750" s="123"/>
      <c r="I750" s="123"/>
      <c r="J750" s="123"/>
      <c r="K750" s="123"/>
      <c r="L750" s="123"/>
      <c r="M750" s="123"/>
      <c r="N750" s="123"/>
      <c r="O750" s="123"/>
      <c r="P750" s="123"/>
      <c r="Q750" s="123"/>
      <c r="R750" s="123"/>
      <c r="S750" s="123"/>
      <c r="T750" s="123"/>
      <c r="U750" s="123"/>
      <c r="V750" s="123"/>
    </row>
    <row r="751" spans="1:22" ht="15.75" hidden="1" customHeight="1" x14ac:dyDescent="0.25">
      <c r="A751" s="123"/>
      <c r="B751" s="123"/>
      <c r="C751" s="123"/>
      <c r="D751" s="123"/>
      <c r="E751" s="138"/>
      <c r="F751" s="138"/>
      <c r="G751" s="123"/>
      <c r="H751" s="123"/>
      <c r="I751" s="123"/>
      <c r="J751" s="123"/>
      <c r="K751" s="123"/>
      <c r="L751" s="123"/>
      <c r="M751" s="123"/>
      <c r="N751" s="123"/>
      <c r="O751" s="123"/>
      <c r="P751" s="123"/>
      <c r="Q751" s="123"/>
      <c r="R751" s="123"/>
      <c r="S751" s="123"/>
      <c r="T751" s="123"/>
      <c r="U751" s="123"/>
      <c r="V751" s="123"/>
    </row>
    <row r="752" spans="1:22" ht="15.75" hidden="1" customHeight="1" x14ac:dyDescent="0.25">
      <c r="A752" s="123"/>
      <c r="B752" s="123"/>
      <c r="C752" s="123"/>
      <c r="D752" s="123"/>
      <c r="E752" s="138"/>
      <c r="F752" s="138"/>
      <c r="G752" s="123"/>
      <c r="H752" s="123"/>
      <c r="I752" s="123"/>
      <c r="J752" s="123"/>
      <c r="K752" s="123"/>
      <c r="L752" s="123"/>
      <c r="M752" s="123"/>
      <c r="N752" s="123"/>
      <c r="O752" s="123"/>
      <c r="P752" s="123"/>
      <c r="Q752" s="123"/>
      <c r="R752" s="123"/>
      <c r="S752" s="123"/>
      <c r="T752" s="123"/>
      <c r="U752" s="123"/>
      <c r="V752" s="123"/>
    </row>
    <row r="753" spans="1:22" ht="15.75" hidden="1" customHeight="1" x14ac:dyDescent="0.25">
      <c r="A753" s="123"/>
      <c r="B753" s="123"/>
      <c r="C753" s="123"/>
      <c r="D753" s="123"/>
      <c r="E753" s="138"/>
      <c r="F753" s="138"/>
      <c r="G753" s="123"/>
      <c r="H753" s="123"/>
      <c r="I753" s="123"/>
      <c r="J753" s="123"/>
      <c r="K753" s="123"/>
      <c r="L753" s="123"/>
      <c r="M753" s="123"/>
      <c r="N753" s="123"/>
      <c r="O753" s="123"/>
      <c r="P753" s="123"/>
      <c r="Q753" s="123"/>
      <c r="R753" s="123"/>
      <c r="S753" s="123"/>
      <c r="T753" s="123"/>
      <c r="U753" s="123"/>
      <c r="V753" s="123"/>
    </row>
    <row r="754" spans="1:22" ht="15.75" hidden="1" customHeight="1" x14ac:dyDescent="0.25">
      <c r="A754" s="123"/>
      <c r="B754" s="123"/>
      <c r="C754" s="123"/>
      <c r="D754" s="123"/>
      <c r="E754" s="138"/>
      <c r="F754" s="138"/>
      <c r="G754" s="123"/>
      <c r="H754" s="123"/>
      <c r="I754" s="123"/>
      <c r="J754" s="123"/>
      <c r="K754" s="123"/>
      <c r="L754" s="123"/>
      <c r="M754" s="123"/>
      <c r="N754" s="123"/>
      <c r="O754" s="123"/>
      <c r="P754" s="123"/>
      <c r="Q754" s="123"/>
      <c r="R754" s="123"/>
      <c r="S754" s="123"/>
      <c r="T754" s="123"/>
      <c r="U754" s="123"/>
      <c r="V754" s="123"/>
    </row>
    <row r="755" spans="1:22" ht="15.75" hidden="1" customHeight="1" x14ac:dyDescent="0.25">
      <c r="A755" s="123"/>
      <c r="B755" s="123"/>
      <c r="C755" s="123"/>
      <c r="D755" s="123"/>
      <c r="E755" s="138"/>
      <c r="F755" s="138"/>
      <c r="G755" s="123"/>
      <c r="H755" s="123"/>
      <c r="I755" s="123"/>
      <c r="J755" s="123"/>
      <c r="K755" s="123"/>
      <c r="L755" s="123"/>
      <c r="M755" s="123"/>
      <c r="N755" s="123"/>
      <c r="O755" s="123"/>
      <c r="P755" s="123"/>
      <c r="Q755" s="123"/>
      <c r="R755" s="123"/>
      <c r="S755" s="123"/>
      <c r="T755" s="123"/>
      <c r="U755" s="123"/>
      <c r="V755" s="123"/>
    </row>
    <row r="756" spans="1:22" ht="15.75" hidden="1" customHeight="1" x14ac:dyDescent="0.25">
      <c r="A756" s="123"/>
      <c r="B756" s="123"/>
      <c r="C756" s="123"/>
      <c r="D756" s="123"/>
      <c r="E756" s="138"/>
      <c r="F756" s="138"/>
      <c r="G756" s="123"/>
      <c r="H756" s="123"/>
      <c r="I756" s="123"/>
      <c r="J756" s="123"/>
      <c r="K756" s="123"/>
      <c r="L756" s="123"/>
      <c r="M756" s="123"/>
      <c r="N756" s="123"/>
      <c r="O756" s="123"/>
      <c r="P756" s="123"/>
      <c r="Q756" s="123"/>
      <c r="R756" s="123"/>
      <c r="S756" s="123"/>
      <c r="T756" s="123"/>
      <c r="U756" s="123"/>
      <c r="V756" s="123"/>
    </row>
    <row r="757" spans="1:22" ht="15.75" hidden="1" customHeight="1" x14ac:dyDescent="0.25">
      <c r="A757" s="123"/>
      <c r="B757" s="123"/>
      <c r="C757" s="123"/>
      <c r="D757" s="123"/>
      <c r="E757" s="138"/>
      <c r="F757" s="138"/>
      <c r="G757" s="123"/>
      <c r="H757" s="123"/>
      <c r="I757" s="123"/>
      <c r="J757" s="123"/>
      <c r="K757" s="123"/>
      <c r="L757" s="123"/>
      <c r="M757" s="123"/>
      <c r="N757" s="123"/>
      <c r="O757" s="123"/>
      <c r="P757" s="123"/>
      <c r="Q757" s="123"/>
      <c r="R757" s="123"/>
      <c r="S757" s="123"/>
      <c r="T757" s="123"/>
      <c r="U757" s="123"/>
      <c r="V757" s="123"/>
    </row>
    <row r="758" spans="1:22" ht="15.75" hidden="1" customHeight="1" x14ac:dyDescent="0.25">
      <c r="A758" s="123"/>
      <c r="B758" s="123"/>
      <c r="C758" s="123"/>
      <c r="D758" s="123"/>
      <c r="E758" s="138"/>
      <c r="F758" s="138"/>
      <c r="G758" s="123"/>
      <c r="H758" s="123"/>
      <c r="I758" s="123"/>
      <c r="J758" s="123"/>
      <c r="K758" s="123"/>
      <c r="L758" s="123"/>
      <c r="M758" s="123"/>
      <c r="N758" s="123"/>
      <c r="O758" s="123"/>
      <c r="P758" s="123"/>
      <c r="Q758" s="123"/>
      <c r="R758" s="123"/>
      <c r="S758" s="123"/>
      <c r="T758" s="123"/>
      <c r="U758" s="123"/>
      <c r="V758" s="123"/>
    </row>
    <row r="759" spans="1:22" ht="15.75" hidden="1" customHeight="1" x14ac:dyDescent="0.25">
      <c r="A759" s="123"/>
      <c r="B759" s="123"/>
      <c r="C759" s="123"/>
      <c r="D759" s="123"/>
      <c r="E759" s="138"/>
      <c r="F759" s="138"/>
      <c r="G759" s="123"/>
      <c r="H759" s="123"/>
      <c r="I759" s="123"/>
      <c r="J759" s="123"/>
      <c r="K759" s="123"/>
      <c r="L759" s="123"/>
      <c r="M759" s="123"/>
      <c r="N759" s="123"/>
      <c r="O759" s="123"/>
      <c r="P759" s="123"/>
      <c r="Q759" s="123"/>
      <c r="R759" s="123"/>
      <c r="S759" s="123"/>
      <c r="T759" s="123"/>
      <c r="U759" s="123"/>
      <c r="V759" s="123"/>
    </row>
    <row r="760" spans="1:22" ht="15.75" hidden="1" customHeight="1" x14ac:dyDescent="0.25">
      <c r="A760" s="123"/>
      <c r="B760" s="123"/>
      <c r="C760" s="123"/>
      <c r="D760" s="123"/>
      <c r="E760" s="138"/>
      <c r="F760" s="138"/>
      <c r="G760" s="123"/>
      <c r="H760" s="123"/>
      <c r="I760" s="123"/>
      <c r="J760" s="123"/>
      <c r="K760" s="123"/>
      <c r="L760" s="123"/>
      <c r="M760" s="123"/>
      <c r="N760" s="123"/>
      <c r="O760" s="123"/>
      <c r="P760" s="123"/>
      <c r="Q760" s="123"/>
      <c r="R760" s="123"/>
      <c r="S760" s="123"/>
      <c r="T760" s="123"/>
      <c r="U760" s="123"/>
      <c r="V760" s="123"/>
    </row>
    <row r="761" spans="1:22" ht="15.75" hidden="1" customHeight="1" x14ac:dyDescent="0.25">
      <c r="A761" s="123"/>
      <c r="B761" s="123"/>
      <c r="C761" s="123"/>
      <c r="D761" s="123"/>
      <c r="E761" s="138"/>
      <c r="F761" s="138"/>
      <c r="G761" s="123"/>
      <c r="H761" s="123"/>
      <c r="I761" s="123"/>
      <c r="J761" s="123"/>
      <c r="K761" s="123"/>
      <c r="L761" s="123"/>
      <c r="M761" s="123"/>
      <c r="N761" s="123"/>
      <c r="O761" s="123"/>
      <c r="P761" s="123"/>
      <c r="Q761" s="123"/>
      <c r="R761" s="123"/>
      <c r="S761" s="123"/>
      <c r="T761" s="123"/>
      <c r="U761" s="123"/>
      <c r="V761" s="123"/>
    </row>
    <row r="762" spans="1:22" ht="15.75" hidden="1" customHeight="1" x14ac:dyDescent="0.25">
      <c r="A762" s="123"/>
      <c r="B762" s="123"/>
      <c r="C762" s="123"/>
      <c r="D762" s="123"/>
      <c r="E762" s="138"/>
      <c r="F762" s="138"/>
      <c r="G762" s="123"/>
      <c r="H762" s="123"/>
      <c r="I762" s="123"/>
      <c r="J762" s="123"/>
      <c r="K762" s="123"/>
      <c r="L762" s="123"/>
      <c r="M762" s="123"/>
      <c r="N762" s="123"/>
      <c r="O762" s="123"/>
      <c r="P762" s="123"/>
      <c r="Q762" s="123"/>
      <c r="R762" s="123"/>
      <c r="S762" s="123"/>
      <c r="T762" s="123"/>
      <c r="U762" s="123"/>
      <c r="V762" s="123"/>
    </row>
    <row r="763" spans="1:22" ht="15.75" hidden="1" customHeight="1" x14ac:dyDescent="0.25">
      <c r="A763" s="123"/>
      <c r="B763" s="123"/>
      <c r="C763" s="123"/>
      <c r="D763" s="123"/>
      <c r="E763" s="138"/>
      <c r="F763" s="138"/>
      <c r="G763" s="123"/>
      <c r="H763" s="123"/>
      <c r="I763" s="123"/>
      <c r="J763" s="123"/>
      <c r="K763" s="123"/>
      <c r="L763" s="123"/>
      <c r="M763" s="123"/>
      <c r="N763" s="123"/>
      <c r="O763" s="123"/>
      <c r="P763" s="123"/>
      <c r="Q763" s="123"/>
      <c r="R763" s="123"/>
      <c r="S763" s="123"/>
      <c r="T763" s="123"/>
      <c r="U763" s="123"/>
      <c r="V763" s="123"/>
    </row>
    <row r="764" spans="1:22" ht="15.75" hidden="1" customHeight="1" x14ac:dyDescent="0.25">
      <c r="A764" s="123"/>
      <c r="B764" s="123"/>
      <c r="C764" s="123"/>
      <c r="D764" s="123"/>
      <c r="E764" s="138"/>
      <c r="F764" s="138"/>
      <c r="G764" s="123"/>
      <c r="H764" s="123"/>
      <c r="I764" s="123"/>
      <c r="J764" s="123"/>
      <c r="K764" s="123"/>
      <c r="L764" s="123"/>
      <c r="M764" s="123"/>
      <c r="N764" s="123"/>
      <c r="O764" s="123"/>
      <c r="P764" s="123"/>
      <c r="Q764" s="123"/>
      <c r="R764" s="123"/>
      <c r="S764" s="123"/>
      <c r="T764" s="123"/>
      <c r="U764" s="123"/>
      <c r="V764" s="123"/>
    </row>
    <row r="765" spans="1:22" ht="15.75" hidden="1" customHeight="1" x14ac:dyDescent="0.25">
      <c r="A765" s="123"/>
      <c r="B765" s="123"/>
      <c r="C765" s="123"/>
      <c r="D765" s="123"/>
      <c r="E765" s="138"/>
      <c r="F765" s="138"/>
      <c r="G765" s="123"/>
      <c r="H765" s="123"/>
      <c r="I765" s="123"/>
      <c r="J765" s="123"/>
      <c r="K765" s="123"/>
      <c r="L765" s="123"/>
      <c r="M765" s="123"/>
      <c r="N765" s="123"/>
      <c r="O765" s="123"/>
      <c r="P765" s="123"/>
      <c r="Q765" s="123"/>
      <c r="R765" s="123"/>
      <c r="S765" s="123"/>
      <c r="T765" s="123"/>
      <c r="U765" s="123"/>
      <c r="V765" s="123"/>
    </row>
    <row r="766" spans="1:22" ht="15.75" hidden="1" customHeight="1" x14ac:dyDescent="0.25">
      <c r="A766" s="123"/>
      <c r="B766" s="123"/>
      <c r="C766" s="123"/>
      <c r="D766" s="123"/>
      <c r="E766" s="138"/>
      <c r="F766" s="138"/>
      <c r="G766" s="123"/>
      <c r="H766" s="123"/>
      <c r="I766" s="123"/>
      <c r="J766" s="123"/>
      <c r="K766" s="123"/>
      <c r="L766" s="123"/>
      <c r="M766" s="123"/>
      <c r="N766" s="123"/>
      <c r="O766" s="123"/>
      <c r="P766" s="123"/>
      <c r="Q766" s="123"/>
      <c r="R766" s="123"/>
      <c r="S766" s="123"/>
      <c r="T766" s="123"/>
      <c r="U766" s="123"/>
      <c r="V766" s="123"/>
    </row>
    <row r="767" spans="1:22" ht="15.75" hidden="1" customHeight="1" x14ac:dyDescent="0.25">
      <c r="A767" s="123"/>
      <c r="B767" s="123"/>
      <c r="C767" s="123"/>
      <c r="D767" s="123"/>
      <c r="E767" s="138"/>
      <c r="F767" s="138"/>
      <c r="G767" s="123"/>
      <c r="H767" s="123"/>
      <c r="I767" s="123"/>
      <c r="J767" s="123"/>
      <c r="K767" s="123"/>
      <c r="L767" s="123"/>
      <c r="M767" s="123"/>
      <c r="N767" s="123"/>
      <c r="O767" s="123"/>
      <c r="P767" s="123"/>
      <c r="Q767" s="123"/>
      <c r="R767" s="123"/>
      <c r="S767" s="123"/>
      <c r="T767" s="123"/>
      <c r="U767" s="123"/>
      <c r="V767" s="123"/>
    </row>
    <row r="768" spans="1:22" ht="15.75" hidden="1" customHeight="1" x14ac:dyDescent="0.25">
      <c r="A768" s="123"/>
      <c r="B768" s="123"/>
      <c r="C768" s="123"/>
      <c r="D768" s="123"/>
      <c r="E768" s="138"/>
      <c r="F768" s="138"/>
      <c r="G768" s="123"/>
      <c r="H768" s="123"/>
      <c r="I768" s="123"/>
      <c r="J768" s="123"/>
      <c r="K768" s="123"/>
      <c r="L768" s="123"/>
      <c r="M768" s="123"/>
      <c r="N768" s="123"/>
      <c r="O768" s="123"/>
      <c r="P768" s="123"/>
      <c r="Q768" s="123"/>
      <c r="R768" s="123"/>
      <c r="S768" s="123"/>
      <c r="T768" s="123"/>
      <c r="U768" s="123"/>
      <c r="V768" s="123"/>
    </row>
    <row r="769" spans="1:22" ht="15.75" hidden="1" customHeight="1" x14ac:dyDescent="0.25">
      <c r="A769" s="123"/>
      <c r="B769" s="123"/>
      <c r="C769" s="123"/>
      <c r="D769" s="123"/>
      <c r="E769" s="138"/>
      <c r="F769" s="138"/>
      <c r="G769" s="123"/>
      <c r="H769" s="123"/>
      <c r="I769" s="123"/>
      <c r="J769" s="123"/>
      <c r="K769" s="123"/>
      <c r="L769" s="123"/>
      <c r="M769" s="123"/>
      <c r="N769" s="123"/>
      <c r="O769" s="123"/>
      <c r="P769" s="123"/>
      <c r="Q769" s="123"/>
      <c r="R769" s="123"/>
      <c r="S769" s="123"/>
      <c r="T769" s="123"/>
      <c r="U769" s="123"/>
      <c r="V769" s="123"/>
    </row>
    <row r="770" spans="1:22" ht="15.75" hidden="1" customHeight="1" x14ac:dyDescent="0.25">
      <c r="A770" s="123"/>
      <c r="B770" s="123"/>
      <c r="C770" s="123"/>
      <c r="D770" s="123"/>
      <c r="E770" s="138"/>
      <c r="F770" s="138"/>
      <c r="G770" s="123"/>
      <c r="H770" s="123"/>
      <c r="I770" s="123"/>
      <c r="J770" s="123"/>
      <c r="K770" s="123"/>
      <c r="L770" s="123"/>
      <c r="M770" s="123"/>
      <c r="N770" s="123"/>
      <c r="O770" s="123"/>
      <c r="P770" s="123"/>
      <c r="Q770" s="123"/>
      <c r="R770" s="123"/>
      <c r="S770" s="123"/>
      <c r="T770" s="123"/>
      <c r="U770" s="123"/>
      <c r="V770" s="123"/>
    </row>
    <row r="771" spans="1:22" ht="15.75" hidden="1" customHeight="1" x14ac:dyDescent="0.25">
      <c r="A771" s="123"/>
      <c r="B771" s="123"/>
      <c r="C771" s="123"/>
      <c r="D771" s="123"/>
      <c r="E771" s="138"/>
      <c r="F771" s="138"/>
      <c r="G771" s="123"/>
      <c r="H771" s="123"/>
      <c r="I771" s="123"/>
      <c r="J771" s="123"/>
      <c r="K771" s="123"/>
      <c r="L771" s="123"/>
      <c r="M771" s="123"/>
      <c r="N771" s="123"/>
      <c r="O771" s="123"/>
      <c r="P771" s="123"/>
      <c r="Q771" s="123"/>
      <c r="R771" s="123"/>
      <c r="S771" s="123"/>
      <c r="T771" s="123"/>
      <c r="U771" s="123"/>
      <c r="V771" s="123"/>
    </row>
    <row r="772" spans="1:22" ht="15.75" hidden="1" customHeight="1" x14ac:dyDescent="0.25">
      <c r="A772" s="123"/>
      <c r="B772" s="123"/>
      <c r="C772" s="123"/>
      <c r="D772" s="123"/>
      <c r="E772" s="138"/>
      <c r="F772" s="138"/>
      <c r="G772" s="123"/>
      <c r="H772" s="123"/>
      <c r="I772" s="123"/>
      <c r="J772" s="123"/>
      <c r="K772" s="123"/>
      <c r="L772" s="123"/>
      <c r="M772" s="123"/>
      <c r="N772" s="123"/>
      <c r="O772" s="123"/>
      <c r="P772" s="123"/>
      <c r="Q772" s="123"/>
      <c r="R772" s="123"/>
      <c r="S772" s="123"/>
      <c r="T772" s="123"/>
      <c r="U772" s="123"/>
      <c r="V772" s="123"/>
    </row>
    <row r="773" spans="1:22" ht="15.75" hidden="1" customHeight="1" x14ac:dyDescent="0.25">
      <c r="A773" s="123"/>
      <c r="B773" s="123"/>
      <c r="C773" s="123"/>
      <c r="D773" s="123"/>
      <c r="E773" s="138"/>
      <c r="F773" s="138"/>
      <c r="G773" s="123"/>
      <c r="H773" s="123"/>
      <c r="I773" s="123"/>
      <c r="J773" s="123"/>
      <c r="K773" s="123"/>
      <c r="L773" s="123"/>
      <c r="M773" s="123"/>
      <c r="N773" s="123"/>
      <c r="O773" s="123"/>
      <c r="P773" s="123"/>
      <c r="Q773" s="123"/>
      <c r="R773" s="123"/>
      <c r="S773" s="123"/>
      <c r="T773" s="123"/>
      <c r="U773" s="123"/>
      <c r="V773" s="123"/>
    </row>
    <row r="774" spans="1:22" ht="15.75" hidden="1" customHeight="1" x14ac:dyDescent="0.25">
      <c r="A774" s="123"/>
      <c r="B774" s="123"/>
      <c r="C774" s="123"/>
      <c r="D774" s="123"/>
      <c r="E774" s="138"/>
      <c r="F774" s="138"/>
      <c r="G774" s="123"/>
      <c r="H774" s="123"/>
      <c r="I774" s="123"/>
      <c r="J774" s="123"/>
      <c r="K774" s="123"/>
      <c r="L774" s="123"/>
      <c r="M774" s="123"/>
      <c r="N774" s="123"/>
      <c r="O774" s="123"/>
      <c r="P774" s="123"/>
      <c r="Q774" s="123"/>
      <c r="R774" s="123"/>
      <c r="S774" s="123"/>
      <c r="T774" s="123"/>
      <c r="U774" s="123"/>
      <c r="V774" s="123"/>
    </row>
    <row r="775" spans="1:22" ht="15.75" hidden="1" customHeight="1" x14ac:dyDescent="0.25">
      <c r="A775" s="123"/>
      <c r="B775" s="123"/>
      <c r="C775" s="123"/>
      <c r="D775" s="123"/>
      <c r="E775" s="138"/>
      <c r="F775" s="138"/>
      <c r="G775" s="123"/>
      <c r="H775" s="123"/>
      <c r="I775" s="123"/>
      <c r="J775" s="123"/>
      <c r="K775" s="123"/>
      <c r="L775" s="123"/>
      <c r="M775" s="123"/>
      <c r="N775" s="123"/>
      <c r="O775" s="123"/>
      <c r="P775" s="123"/>
      <c r="Q775" s="123"/>
      <c r="R775" s="123"/>
      <c r="S775" s="123"/>
      <c r="T775" s="123"/>
      <c r="U775" s="123"/>
      <c r="V775" s="123"/>
    </row>
    <row r="776" spans="1:22" ht="15.75" hidden="1" customHeight="1" x14ac:dyDescent="0.25">
      <c r="A776" s="123"/>
      <c r="B776" s="123"/>
      <c r="C776" s="123"/>
      <c r="D776" s="123"/>
      <c r="E776" s="138"/>
      <c r="F776" s="138"/>
      <c r="G776" s="123"/>
      <c r="H776" s="123"/>
      <c r="I776" s="123"/>
      <c r="J776" s="123"/>
      <c r="K776" s="123"/>
      <c r="L776" s="123"/>
      <c r="M776" s="123"/>
      <c r="N776" s="123"/>
      <c r="O776" s="123"/>
      <c r="P776" s="123"/>
      <c r="Q776" s="123"/>
      <c r="R776" s="123"/>
      <c r="S776" s="123"/>
      <c r="T776" s="123"/>
      <c r="U776" s="123"/>
      <c r="V776" s="123"/>
    </row>
    <row r="777" spans="1:22" ht="15.75" hidden="1" customHeight="1" x14ac:dyDescent="0.25">
      <c r="A777" s="123"/>
      <c r="B777" s="123"/>
      <c r="C777" s="123"/>
      <c r="D777" s="123"/>
      <c r="E777" s="138"/>
      <c r="F777" s="138"/>
      <c r="G777" s="123"/>
      <c r="H777" s="123"/>
      <c r="I777" s="123"/>
      <c r="J777" s="123"/>
      <c r="K777" s="123"/>
      <c r="L777" s="123"/>
      <c r="M777" s="123"/>
      <c r="N777" s="123"/>
      <c r="O777" s="123"/>
      <c r="P777" s="123"/>
      <c r="Q777" s="123"/>
      <c r="R777" s="123"/>
      <c r="S777" s="123"/>
      <c r="T777" s="123"/>
      <c r="U777" s="123"/>
      <c r="V777" s="123"/>
    </row>
    <row r="778" spans="1:22" ht="15.75" hidden="1" customHeight="1" x14ac:dyDescent="0.25">
      <c r="A778" s="123"/>
      <c r="B778" s="123"/>
      <c r="C778" s="123"/>
      <c r="D778" s="123"/>
      <c r="E778" s="138"/>
      <c r="F778" s="138"/>
      <c r="G778" s="123"/>
      <c r="H778" s="123"/>
      <c r="I778" s="123"/>
      <c r="J778" s="123"/>
      <c r="K778" s="123"/>
      <c r="L778" s="123"/>
      <c r="M778" s="123"/>
      <c r="N778" s="123"/>
      <c r="O778" s="123"/>
      <c r="P778" s="123"/>
      <c r="Q778" s="123"/>
      <c r="R778" s="123"/>
      <c r="S778" s="123"/>
      <c r="T778" s="123"/>
      <c r="U778" s="123"/>
      <c r="V778" s="123"/>
    </row>
    <row r="779" spans="1:22" ht="15.75" hidden="1" customHeight="1" x14ac:dyDescent="0.25">
      <c r="A779" s="123"/>
      <c r="B779" s="123"/>
      <c r="C779" s="123"/>
      <c r="D779" s="123"/>
      <c r="E779" s="138"/>
      <c r="F779" s="138"/>
      <c r="G779" s="123"/>
      <c r="H779" s="123"/>
      <c r="I779" s="123"/>
      <c r="J779" s="123"/>
      <c r="K779" s="123"/>
      <c r="L779" s="123"/>
      <c r="M779" s="123"/>
      <c r="N779" s="123"/>
      <c r="O779" s="123"/>
      <c r="P779" s="123"/>
      <c r="Q779" s="123"/>
      <c r="R779" s="123"/>
      <c r="S779" s="123"/>
      <c r="T779" s="123"/>
      <c r="U779" s="123"/>
      <c r="V779" s="123"/>
    </row>
    <row r="780" spans="1:22" ht="15.75" hidden="1" customHeight="1" x14ac:dyDescent="0.25">
      <c r="A780" s="123"/>
      <c r="B780" s="123"/>
      <c r="C780" s="123"/>
      <c r="D780" s="123"/>
      <c r="E780" s="138"/>
      <c r="F780" s="138"/>
      <c r="G780" s="123"/>
      <c r="H780" s="123"/>
      <c r="I780" s="123"/>
      <c r="J780" s="123"/>
      <c r="K780" s="123"/>
      <c r="L780" s="123"/>
      <c r="M780" s="123"/>
      <c r="N780" s="123"/>
      <c r="O780" s="123"/>
      <c r="P780" s="123"/>
      <c r="Q780" s="123"/>
      <c r="R780" s="123"/>
      <c r="S780" s="123"/>
      <c r="T780" s="123"/>
      <c r="U780" s="123"/>
      <c r="V780" s="123"/>
    </row>
    <row r="781" spans="1:22" ht="15.75" hidden="1" customHeight="1" x14ac:dyDescent="0.25">
      <c r="A781" s="123"/>
      <c r="B781" s="123"/>
      <c r="C781" s="123"/>
      <c r="D781" s="123"/>
      <c r="E781" s="138"/>
      <c r="F781" s="138"/>
      <c r="G781" s="123"/>
      <c r="H781" s="123"/>
      <c r="I781" s="123"/>
      <c r="J781" s="123"/>
      <c r="K781" s="123"/>
      <c r="L781" s="123"/>
      <c r="M781" s="123"/>
      <c r="N781" s="123"/>
      <c r="O781" s="123"/>
      <c r="P781" s="123"/>
      <c r="Q781" s="123"/>
      <c r="R781" s="123"/>
      <c r="S781" s="123"/>
      <c r="T781" s="123"/>
      <c r="U781" s="123"/>
      <c r="V781" s="123"/>
    </row>
    <row r="782" spans="1:22" ht="15.75" hidden="1" customHeight="1" x14ac:dyDescent="0.25">
      <c r="A782" s="123"/>
      <c r="B782" s="123"/>
      <c r="C782" s="123"/>
      <c r="D782" s="123"/>
      <c r="E782" s="138"/>
      <c r="F782" s="138"/>
      <c r="G782" s="123"/>
      <c r="H782" s="123"/>
      <c r="I782" s="123"/>
      <c r="J782" s="123"/>
      <c r="K782" s="123"/>
      <c r="L782" s="123"/>
      <c r="M782" s="123"/>
      <c r="N782" s="123"/>
      <c r="O782" s="123"/>
      <c r="P782" s="123"/>
      <c r="Q782" s="123"/>
      <c r="R782" s="123"/>
      <c r="S782" s="123"/>
      <c r="T782" s="123"/>
      <c r="U782" s="123"/>
      <c r="V782" s="123"/>
    </row>
    <row r="783" spans="1:22" ht="15.75" hidden="1" customHeight="1" x14ac:dyDescent="0.25">
      <c r="A783" s="123"/>
      <c r="B783" s="123"/>
      <c r="C783" s="123"/>
      <c r="D783" s="123"/>
      <c r="E783" s="138"/>
      <c r="F783" s="138"/>
      <c r="G783" s="123"/>
      <c r="H783" s="123"/>
      <c r="I783" s="123"/>
      <c r="J783" s="123"/>
      <c r="K783" s="123"/>
      <c r="L783" s="123"/>
      <c r="M783" s="123"/>
      <c r="N783" s="123"/>
      <c r="O783" s="123"/>
      <c r="P783" s="123"/>
      <c r="Q783" s="123"/>
      <c r="R783" s="123"/>
      <c r="S783" s="123"/>
      <c r="T783" s="123"/>
      <c r="U783" s="123"/>
      <c r="V783" s="123"/>
    </row>
    <row r="784" spans="1:22" ht="15.75" hidden="1" customHeight="1" x14ac:dyDescent="0.25">
      <c r="A784" s="123"/>
      <c r="B784" s="123"/>
      <c r="C784" s="123"/>
      <c r="D784" s="123"/>
      <c r="E784" s="138"/>
      <c r="F784" s="138"/>
      <c r="G784" s="123"/>
      <c r="H784" s="123"/>
      <c r="I784" s="123"/>
      <c r="J784" s="123"/>
      <c r="K784" s="123"/>
      <c r="L784" s="123"/>
      <c r="M784" s="123"/>
      <c r="N784" s="123"/>
      <c r="O784" s="123"/>
      <c r="P784" s="123"/>
      <c r="Q784" s="123"/>
      <c r="R784" s="123"/>
      <c r="S784" s="123"/>
      <c r="T784" s="123"/>
      <c r="U784" s="123"/>
      <c r="V784" s="123"/>
    </row>
    <row r="785" spans="1:22" ht="15.75" hidden="1" customHeight="1" x14ac:dyDescent="0.25">
      <c r="A785" s="123"/>
      <c r="B785" s="123"/>
      <c r="C785" s="123"/>
      <c r="D785" s="123"/>
      <c r="E785" s="138"/>
      <c r="F785" s="138"/>
      <c r="G785" s="123"/>
      <c r="H785" s="123"/>
      <c r="I785" s="123"/>
      <c r="J785" s="123"/>
      <c r="K785" s="123"/>
      <c r="L785" s="123"/>
      <c r="M785" s="123"/>
      <c r="N785" s="123"/>
      <c r="O785" s="123"/>
      <c r="P785" s="123"/>
      <c r="Q785" s="123"/>
      <c r="R785" s="123"/>
      <c r="S785" s="123"/>
      <c r="T785" s="123"/>
      <c r="U785" s="123"/>
      <c r="V785" s="123"/>
    </row>
    <row r="786" spans="1:22" ht="15.75" hidden="1" customHeight="1" x14ac:dyDescent="0.25">
      <c r="A786" s="123"/>
      <c r="B786" s="123"/>
      <c r="C786" s="123"/>
      <c r="D786" s="123"/>
      <c r="E786" s="138"/>
      <c r="F786" s="138"/>
      <c r="G786" s="123"/>
      <c r="H786" s="123"/>
      <c r="I786" s="123"/>
      <c r="J786" s="123"/>
      <c r="K786" s="123"/>
      <c r="L786" s="123"/>
      <c r="M786" s="123"/>
      <c r="N786" s="123"/>
      <c r="O786" s="123"/>
      <c r="P786" s="123"/>
      <c r="Q786" s="123"/>
      <c r="R786" s="123"/>
      <c r="S786" s="123"/>
      <c r="T786" s="123"/>
      <c r="U786" s="123"/>
      <c r="V786" s="123"/>
    </row>
    <row r="787" spans="1:22" ht="15.75" hidden="1" customHeight="1" x14ac:dyDescent="0.25">
      <c r="A787" s="123"/>
      <c r="B787" s="123"/>
      <c r="C787" s="123"/>
      <c r="D787" s="123"/>
      <c r="E787" s="138"/>
      <c r="F787" s="138"/>
      <c r="G787" s="123"/>
      <c r="H787" s="123"/>
      <c r="I787" s="123"/>
      <c r="J787" s="123"/>
      <c r="K787" s="123"/>
      <c r="L787" s="123"/>
      <c r="M787" s="123"/>
      <c r="N787" s="123"/>
      <c r="O787" s="123"/>
      <c r="P787" s="123"/>
      <c r="Q787" s="123"/>
      <c r="R787" s="123"/>
      <c r="S787" s="123"/>
      <c r="T787" s="123"/>
      <c r="U787" s="123"/>
      <c r="V787" s="123"/>
    </row>
    <row r="788" spans="1:22" ht="15.75" hidden="1" customHeight="1" x14ac:dyDescent="0.25">
      <c r="A788" s="123"/>
      <c r="B788" s="123"/>
      <c r="C788" s="123"/>
      <c r="D788" s="123"/>
      <c r="E788" s="138"/>
      <c r="F788" s="138"/>
      <c r="G788" s="123"/>
      <c r="H788" s="123"/>
      <c r="I788" s="123"/>
      <c r="J788" s="123"/>
      <c r="K788" s="123"/>
      <c r="L788" s="123"/>
      <c r="M788" s="123"/>
      <c r="N788" s="123"/>
      <c r="O788" s="123"/>
      <c r="P788" s="123"/>
      <c r="Q788" s="123"/>
      <c r="R788" s="123"/>
      <c r="S788" s="123"/>
      <c r="T788" s="123"/>
      <c r="U788" s="123"/>
      <c r="V788" s="123"/>
    </row>
    <row r="789" spans="1:22" ht="15.75" hidden="1" customHeight="1" x14ac:dyDescent="0.25">
      <c r="A789" s="123"/>
      <c r="B789" s="123"/>
      <c r="C789" s="123"/>
      <c r="D789" s="123"/>
      <c r="E789" s="138"/>
      <c r="F789" s="138"/>
      <c r="G789" s="123"/>
      <c r="H789" s="123"/>
      <c r="I789" s="123"/>
      <c r="J789" s="123"/>
      <c r="K789" s="123"/>
      <c r="L789" s="123"/>
      <c r="M789" s="123"/>
      <c r="N789" s="123"/>
      <c r="O789" s="123"/>
      <c r="P789" s="123"/>
      <c r="Q789" s="123"/>
      <c r="R789" s="123"/>
      <c r="S789" s="123"/>
      <c r="T789" s="123"/>
      <c r="U789" s="123"/>
      <c r="V789" s="123"/>
    </row>
    <row r="790" spans="1:22" ht="15.75" hidden="1" customHeight="1" x14ac:dyDescent="0.25">
      <c r="A790" s="123"/>
      <c r="B790" s="123"/>
      <c r="C790" s="123"/>
      <c r="D790" s="123"/>
      <c r="E790" s="138"/>
      <c r="F790" s="138"/>
      <c r="G790" s="123"/>
      <c r="H790" s="123"/>
      <c r="I790" s="123"/>
      <c r="J790" s="123"/>
      <c r="K790" s="123"/>
      <c r="L790" s="123"/>
      <c r="M790" s="123"/>
      <c r="N790" s="123"/>
      <c r="O790" s="123"/>
      <c r="P790" s="123"/>
      <c r="Q790" s="123"/>
      <c r="R790" s="123"/>
      <c r="S790" s="123"/>
      <c r="T790" s="123"/>
      <c r="U790" s="123"/>
      <c r="V790" s="123"/>
    </row>
    <row r="791" spans="1:22" ht="15.75" hidden="1" customHeight="1" x14ac:dyDescent="0.25">
      <c r="A791" s="123"/>
      <c r="B791" s="123"/>
      <c r="C791" s="123"/>
      <c r="D791" s="123"/>
      <c r="E791" s="138"/>
      <c r="F791" s="138"/>
      <c r="G791" s="123"/>
      <c r="H791" s="123"/>
      <c r="I791" s="123"/>
      <c r="J791" s="123"/>
      <c r="K791" s="123"/>
      <c r="L791" s="123"/>
      <c r="M791" s="123"/>
      <c r="N791" s="123"/>
      <c r="O791" s="123"/>
      <c r="P791" s="123"/>
      <c r="Q791" s="123"/>
      <c r="R791" s="123"/>
      <c r="S791" s="123"/>
      <c r="T791" s="123"/>
      <c r="U791" s="123"/>
      <c r="V791" s="123"/>
    </row>
    <row r="792" spans="1:22" ht="15.75" hidden="1" customHeight="1" x14ac:dyDescent="0.25">
      <c r="A792" s="123"/>
      <c r="B792" s="123"/>
      <c r="C792" s="123"/>
      <c r="D792" s="123"/>
      <c r="E792" s="138"/>
      <c r="F792" s="138"/>
      <c r="G792" s="123"/>
      <c r="H792" s="123"/>
      <c r="I792" s="123"/>
      <c r="J792" s="123"/>
      <c r="K792" s="123"/>
      <c r="L792" s="123"/>
      <c r="M792" s="123"/>
      <c r="N792" s="123"/>
      <c r="O792" s="123"/>
      <c r="P792" s="123"/>
      <c r="Q792" s="123"/>
      <c r="R792" s="123"/>
      <c r="S792" s="123"/>
      <c r="T792" s="123"/>
      <c r="U792" s="123"/>
      <c r="V792" s="123"/>
    </row>
    <row r="793" spans="1:22" ht="15.75" hidden="1" customHeight="1" x14ac:dyDescent="0.25">
      <c r="A793" s="123"/>
      <c r="B793" s="123"/>
      <c r="C793" s="123"/>
      <c r="D793" s="123"/>
      <c r="E793" s="138"/>
      <c r="F793" s="138"/>
      <c r="G793" s="123"/>
      <c r="H793" s="123"/>
      <c r="I793" s="123"/>
      <c r="J793" s="123"/>
      <c r="K793" s="123"/>
      <c r="L793" s="123"/>
      <c r="M793" s="123"/>
      <c r="N793" s="123"/>
      <c r="O793" s="123"/>
      <c r="P793" s="123"/>
      <c r="Q793" s="123"/>
      <c r="R793" s="123"/>
      <c r="S793" s="123"/>
      <c r="T793" s="123"/>
      <c r="U793" s="123"/>
      <c r="V793" s="123"/>
    </row>
    <row r="794" spans="1:22" ht="15.75" hidden="1" customHeight="1" x14ac:dyDescent="0.25">
      <c r="A794" s="123"/>
      <c r="B794" s="123"/>
      <c r="C794" s="123"/>
      <c r="D794" s="123"/>
      <c r="E794" s="138"/>
      <c r="F794" s="138"/>
      <c r="G794" s="123"/>
      <c r="H794" s="123"/>
      <c r="I794" s="123"/>
      <c r="J794" s="123"/>
      <c r="K794" s="123"/>
      <c r="L794" s="123"/>
      <c r="M794" s="123"/>
      <c r="N794" s="123"/>
      <c r="O794" s="123"/>
      <c r="P794" s="123"/>
      <c r="Q794" s="123"/>
      <c r="R794" s="123"/>
      <c r="S794" s="123"/>
      <c r="T794" s="123"/>
      <c r="U794" s="123"/>
      <c r="V794" s="123"/>
    </row>
    <row r="795" spans="1:22" ht="15.75" hidden="1" customHeight="1" x14ac:dyDescent="0.25">
      <c r="A795" s="123"/>
      <c r="B795" s="123"/>
      <c r="C795" s="123"/>
      <c r="D795" s="123"/>
      <c r="E795" s="138"/>
      <c r="F795" s="138"/>
      <c r="G795" s="123"/>
      <c r="H795" s="123"/>
      <c r="I795" s="123"/>
      <c r="J795" s="123"/>
      <c r="K795" s="123"/>
      <c r="L795" s="123"/>
      <c r="M795" s="123"/>
      <c r="N795" s="123"/>
      <c r="O795" s="123"/>
      <c r="P795" s="123"/>
      <c r="Q795" s="123"/>
      <c r="R795" s="123"/>
      <c r="S795" s="123"/>
      <c r="T795" s="123"/>
      <c r="U795" s="123"/>
      <c r="V795" s="123"/>
    </row>
    <row r="796" spans="1:22" ht="15.75" hidden="1" customHeight="1" x14ac:dyDescent="0.25">
      <c r="A796" s="123"/>
      <c r="B796" s="123"/>
      <c r="C796" s="123"/>
      <c r="D796" s="123"/>
      <c r="E796" s="138"/>
      <c r="F796" s="138"/>
      <c r="G796" s="123"/>
      <c r="H796" s="123"/>
      <c r="I796" s="123"/>
      <c r="J796" s="123"/>
      <c r="K796" s="123"/>
      <c r="L796" s="123"/>
      <c r="M796" s="123"/>
      <c r="N796" s="123"/>
      <c r="O796" s="123"/>
      <c r="P796" s="123"/>
      <c r="Q796" s="123"/>
      <c r="R796" s="123"/>
      <c r="S796" s="123"/>
      <c r="T796" s="123"/>
      <c r="U796" s="123"/>
      <c r="V796" s="123"/>
    </row>
    <row r="797" spans="1:22" ht="15.75" hidden="1" customHeight="1" x14ac:dyDescent="0.25">
      <c r="A797" s="123"/>
      <c r="B797" s="123"/>
      <c r="C797" s="123"/>
      <c r="D797" s="123"/>
      <c r="E797" s="138"/>
      <c r="F797" s="138"/>
      <c r="G797" s="123"/>
      <c r="H797" s="123"/>
      <c r="I797" s="123"/>
      <c r="J797" s="123"/>
      <c r="K797" s="123"/>
      <c r="L797" s="123"/>
      <c r="M797" s="123"/>
      <c r="N797" s="123"/>
      <c r="O797" s="123"/>
      <c r="P797" s="123"/>
      <c r="Q797" s="123"/>
      <c r="R797" s="123"/>
      <c r="S797" s="123"/>
      <c r="T797" s="123"/>
      <c r="U797" s="123"/>
      <c r="V797" s="123"/>
    </row>
    <row r="798" spans="1:22" ht="15.75" hidden="1" customHeight="1" x14ac:dyDescent="0.25">
      <c r="A798" s="123"/>
      <c r="B798" s="123"/>
      <c r="C798" s="123"/>
      <c r="D798" s="123"/>
      <c r="E798" s="138"/>
      <c r="F798" s="138"/>
      <c r="G798" s="123"/>
      <c r="H798" s="123"/>
      <c r="I798" s="123"/>
      <c r="J798" s="123"/>
      <c r="K798" s="123"/>
      <c r="L798" s="123"/>
      <c r="M798" s="123"/>
      <c r="N798" s="123"/>
      <c r="O798" s="123"/>
      <c r="P798" s="123"/>
      <c r="Q798" s="123"/>
      <c r="R798" s="123"/>
      <c r="S798" s="123"/>
      <c r="T798" s="123"/>
      <c r="U798" s="123"/>
      <c r="V798" s="123"/>
    </row>
    <row r="799" spans="1:22" ht="15.75" hidden="1" customHeight="1" x14ac:dyDescent="0.25">
      <c r="A799" s="123"/>
      <c r="B799" s="123"/>
      <c r="C799" s="123"/>
      <c r="D799" s="123"/>
      <c r="E799" s="138"/>
      <c r="F799" s="138"/>
      <c r="G799" s="123"/>
      <c r="H799" s="123"/>
      <c r="I799" s="123"/>
      <c r="J799" s="123"/>
      <c r="K799" s="123"/>
      <c r="L799" s="123"/>
      <c r="M799" s="123"/>
      <c r="N799" s="123"/>
      <c r="O799" s="123"/>
      <c r="P799" s="123"/>
      <c r="Q799" s="123"/>
      <c r="R799" s="123"/>
      <c r="S799" s="123"/>
      <c r="T799" s="123"/>
      <c r="U799" s="123"/>
      <c r="V799" s="123"/>
    </row>
    <row r="800" spans="1:22" ht="15.75" hidden="1" customHeight="1" x14ac:dyDescent="0.25">
      <c r="A800" s="123"/>
      <c r="B800" s="123"/>
      <c r="C800" s="123"/>
      <c r="D800" s="123"/>
      <c r="E800" s="138"/>
      <c r="F800" s="138"/>
      <c r="G800" s="123"/>
      <c r="H800" s="123"/>
      <c r="I800" s="123"/>
      <c r="J800" s="123"/>
      <c r="K800" s="123"/>
      <c r="L800" s="123"/>
      <c r="M800" s="123"/>
      <c r="N800" s="123"/>
      <c r="O800" s="123"/>
      <c r="P800" s="123"/>
      <c r="Q800" s="123"/>
      <c r="R800" s="123"/>
      <c r="S800" s="123"/>
      <c r="T800" s="123"/>
      <c r="U800" s="123"/>
      <c r="V800" s="123"/>
    </row>
    <row r="801" spans="1:22" ht="15.75" hidden="1" customHeight="1" x14ac:dyDescent="0.25">
      <c r="A801" s="123"/>
      <c r="B801" s="123"/>
      <c r="C801" s="123"/>
      <c r="D801" s="123"/>
      <c r="E801" s="138"/>
      <c r="F801" s="138"/>
      <c r="G801" s="123"/>
      <c r="H801" s="123"/>
      <c r="I801" s="123"/>
      <c r="J801" s="123"/>
      <c r="K801" s="123"/>
      <c r="L801" s="123"/>
      <c r="M801" s="123"/>
      <c r="N801" s="123"/>
      <c r="O801" s="123"/>
      <c r="P801" s="123"/>
      <c r="Q801" s="123"/>
      <c r="R801" s="123"/>
      <c r="S801" s="123"/>
      <c r="T801" s="123"/>
      <c r="U801" s="123"/>
      <c r="V801" s="123"/>
    </row>
    <row r="802" spans="1:22" ht="15.75" hidden="1" customHeight="1" x14ac:dyDescent="0.25">
      <c r="A802" s="123"/>
      <c r="B802" s="123"/>
      <c r="C802" s="123"/>
      <c r="D802" s="123"/>
      <c r="E802" s="138"/>
      <c r="F802" s="138"/>
      <c r="G802" s="123"/>
      <c r="H802" s="123"/>
      <c r="I802" s="123"/>
      <c r="J802" s="123"/>
      <c r="K802" s="123"/>
      <c r="L802" s="123"/>
      <c r="M802" s="123"/>
      <c r="N802" s="123"/>
      <c r="O802" s="123"/>
      <c r="P802" s="123"/>
      <c r="Q802" s="123"/>
      <c r="R802" s="123"/>
      <c r="S802" s="123"/>
      <c r="T802" s="123"/>
      <c r="U802" s="123"/>
      <c r="V802" s="123"/>
    </row>
    <row r="803" spans="1:22" ht="15.75" hidden="1" customHeight="1" x14ac:dyDescent="0.25">
      <c r="A803" s="123"/>
      <c r="B803" s="123"/>
      <c r="C803" s="123"/>
      <c r="D803" s="123"/>
      <c r="E803" s="138"/>
      <c r="F803" s="138"/>
      <c r="G803" s="123"/>
      <c r="H803" s="123"/>
      <c r="I803" s="123"/>
      <c r="J803" s="123"/>
      <c r="K803" s="123"/>
      <c r="L803" s="123"/>
      <c r="M803" s="123"/>
      <c r="N803" s="123"/>
      <c r="O803" s="123"/>
      <c r="P803" s="123"/>
      <c r="Q803" s="123"/>
      <c r="R803" s="123"/>
      <c r="S803" s="123"/>
      <c r="T803" s="123"/>
      <c r="U803" s="123"/>
      <c r="V803" s="123"/>
    </row>
    <row r="804" spans="1:22" ht="15.75" hidden="1" customHeight="1" x14ac:dyDescent="0.25">
      <c r="A804" s="123"/>
      <c r="B804" s="123"/>
      <c r="C804" s="123"/>
      <c r="D804" s="123"/>
      <c r="E804" s="138"/>
      <c r="F804" s="138"/>
      <c r="G804" s="123"/>
      <c r="H804" s="123"/>
      <c r="I804" s="123"/>
      <c r="J804" s="123"/>
      <c r="K804" s="123"/>
      <c r="L804" s="123"/>
      <c r="M804" s="123"/>
      <c r="N804" s="123"/>
      <c r="O804" s="123"/>
      <c r="P804" s="123"/>
      <c r="Q804" s="123"/>
      <c r="R804" s="123"/>
      <c r="S804" s="123"/>
      <c r="T804" s="123"/>
      <c r="U804" s="123"/>
      <c r="V804" s="123"/>
    </row>
    <row r="805" spans="1:22" ht="15.75" hidden="1" customHeight="1" x14ac:dyDescent="0.25">
      <c r="A805" s="123"/>
      <c r="B805" s="123"/>
      <c r="C805" s="123"/>
      <c r="D805" s="123"/>
      <c r="E805" s="138"/>
      <c r="F805" s="138"/>
      <c r="G805" s="123"/>
      <c r="H805" s="123"/>
      <c r="I805" s="123"/>
      <c r="J805" s="123"/>
      <c r="K805" s="123"/>
      <c r="L805" s="123"/>
      <c r="M805" s="123"/>
      <c r="N805" s="123"/>
      <c r="O805" s="123"/>
      <c r="P805" s="123"/>
      <c r="Q805" s="123"/>
      <c r="R805" s="123"/>
      <c r="S805" s="123"/>
      <c r="T805" s="123"/>
      <c r="U805" s="123"/>
      <c r="V805" s="123"/>
    </row>
    <row r="806" spans="1:22" ht="15.75" hidden="1" customHeight="1" x14ac:dyDescent="0.25">
      <c r="A806" s="123"/>
      <c r="B806" s="123"/>
      <c r="C806" s="123"/>
      <c r="D806" s="123"/>
      <c r="E806" s="138"/>
      <c r="F806" s="138"/>
      <c r="G806" s="123"/>
      <c r="H806" s="123"/>
      <c r="I806" s="123"/>
      <c r="J806" s="123"/>
      <c r="K806" s="123"/>
      <c r="L806" s="123"/>
      <c r="M806" s="123"/>
      <c r="N806" s="123"/>
      <c r="O806" s="123"/>
      <c r="P806" s="123"/>
      <c r="Q806" s="123"/>
      <c r="R806" s="123"/>
      <c r="S806" s="123"/>
      <c r="T806" s="123"/>
      <c r="U806" s="123"/>
      <c r="V806" s="123"/>
    </row>
    <row r="807" spans="1:22" ht="15.75" hidden="1" customHeight="1" x14ac:dyDescent="0.25">
      <c r="A807" s="123"/>
      <c r="B807" s="123"/>
      <c r="C807" s="123"/>
      <c r="D807" s="123"/>
      <c r="E807" s="138"/>
      <c r="F807" s="138"/>
      <c r="G807" s="123"/>
      <c r="H807" s="123"/>
      <c r="I807" s="123"/>
      <c r="J807" s="123"/>
      <c r="K807" s="123"/>
      <c r="L807" s="123"/>
      <c r="M807" s="123"/>
      <c r="N807" s="123"/>
      <c r="O807" s="123"/>
      <c r="P807" s="123"/>
      <c r="Q807" s="123"/>
      <c r="R807" s="123"/>
      <c r="S807" s="123"/>
      <c r="T807" s="123"/>
      <c r="U807" s="123"/>
      <c r="V807" s="123"/>
    </row>
    <row r="808" spans="1:22" ht="15.75" hidden="1" customHeight="1" x14ac:dyDescent="0.25">
      <c r="A808" s="123"/>
      <c r="B808" s="123"/>
      <c r="C808" s="123"/>
      <c r="D808" s="123"/>
      <c r="E808" s="138"/>
      <c r="F808" s="138"/>
      <c r="G808" s="123"/>
      <c r="H808" s="123"/>
      <c r="I808" s="123"/>
      <c r="J808" s="123"/>
      <c r="K808" s="123"/>
      <c r="L808" s="123"/>
      <c r="M808" s="123"/>
      <c r="N808" s="123"/>
      <c r="O808" s="123"/>
      <c r="P808" s="123"/>
      <c r="Q808" s="123"/>
      <c r="R808" s="123"/>
      <c r="S808" s="123"/>
      <c r="T808" s="123"/>
      <c r="U808" s="123"/>
      <c r="V808" s="123"/>
    </row>
    <row r="809" spans="1:22" ht="15.75" hidden="1" customHeight="1" x14ac:dyDescent="0.25">
      <c r="A809" s="123"/>
      <c r="B809" s="123"/>
      <c r="C809" s="123"/>
      <c r="D809" s="123"/>
      <c r="E809" s="138"/>
      <c r="F809" s="138"/>
      <c r="G809" s="123"/>
      <c r="H809" s="123"/>
      <c r="I809" s="123"/>
      <c r="J809" s="123"/>
      <c r="K809" s="123"/>
      <c r="L809" s="123"/>
      <c r="M809" s="123"/>
      <c r="N809" s="123"/>
      <c r="O809" s="123"/>
      <c r="P809" s="123"/>
      <c r="Q809" s="123"/>
      <c r="R809" s="123"/>
      <c r="S809" s="123"/>
      <c r="T809" s="123"/>
      <c r="U809" s="123"/>
      <c r="V809" s="123"/>
    </row>
    <row r="810" spans="1:22" ht="15.75" hidden="1" customHeight="1" x14ac:dyDescent="0.25">
      <c r="A810" s="123"/>
      <c r="B810" s="123"/>
      <c r="C810" s="123"/>
      <c r="D810" s="123"/>
      <c r="E810" s="138"/>
      <c r="F810" s="138"/>
      <c r="G810" s="123"/>
      <c r="H810" s="123"/>
      <c r="I810" s="123"/>
      <c r="J810" s="123"/>
      <c r="K810" s="123"/>
      <c r="L810" s="123"/>
      <c r="M810" s="123"/>
      <c r="N810" s="123"/>
      <c r="O810" s="123"/>
      <c r="P810" s="123"/>
      <c r="Q810" s="123"/>
      <c r="R810" s="123"/>
      <c r="S810" s="123"/>
      <c r="T810" s="123"/>
      <c r="U810" s="123"/>
      <c r="V810" s="123"/>
    </row>
    <row r="811" spans="1:22" ht="15.75" hidden="1" customHeight="1" x14ac:dyDescent="0.25">
      <c r="A811" s="123"/>
      <c r="B811" s="123"/>
      <c r="C811" s="123"/>
      <c r="D811" s="123"/>
      <c r="E811" s="138"/>
      <c r="F811" s="138"/>
      <c r="G811" s="123"/>
      <c r="H811" s="123"/>
      <c r="I811" s="123"/>
      <c r="J811" s="123"/>
      <c r="K811" s="123"/>
      <c r="L811" s="123"/>
      <c r="M811" s="123"/>
      <c r="N811" s="123"/>
      <c r="O811" s="123"/>
      <c r="P811" s="123"/>
      <c r="Q811" s="123"/>
      <c r="R811" s="123"/>
      <c r="S811" s="123"/>
      <c r="T811" s="123"/>
      <c r="U811" s="123"/>
      <c r="V811" s="123"/>
    </row>
    <row r="812" spans="1:22" ht="15.75" hidden="1" customHeight="1" x14ac:dyDescent="0.25">
      <c r="A812" s="123"/>
      <c r="B812" s="123"/>
      <c r="C812" s="123"/>
      <c r="D812" s="123"/>
      <c r="E812" s="138"/>
      <c r="F812" s="138"/>
      <c r="G812" s="123"/>
      <c r="H812" s="123"/>
      <c r="I812" s="123"/>
      <c r="J812" s="123"/>
      <c r="K812" s="123"/>
      <c r="L812" s="123"/>
      <c r="M812" s="123"/>
      <c r="N812" s="123"/>
      <c r="O812" s="123"/>
      <c r="P812" s="123"/>
      <c r="Q812" s="123"/>
      <c r="R812" s="123"/>
      <c r="S812" s="123"/>
      <c r="T812" s="123"/>
      <c r="U812" s="123"/>
      <c r="V812" s="123"/>
    </row>
    <row r="813" spans="1:22" ht="15.75" hidden="1" customHeight="1" x14ac:dyDescent="0.25">
      <c r="A813" s="123"/>
      <c r="B813" s="123"/>
      <c r="C813" s="123"/>
      <c r="D813" s="123"/>
      <c r="E813" s="138"/>
      <c r="F813" s="138"/>
      <c r="G813" s="123"/>
      <c r="H813" s="123"/>
      <c r="I813" s="123"/>
      <c r="J813" s="123"/>
      <c r="K813" s="123"/>
      <c r="L813" s="123"/>
      <c r="M813" s="123"/>
      <c r="N813" s="123"/>
      <c r="O813" s="123"/>
      <c r="P813" s="123"/>
      <c r="Q813" s="123"/>
      <c r="R813" s="123"/>
      <c r="S813" s="123"/>
      <c r="T813" s="123"/>
      <c r="U813" s="123"/>
      <c r="V813" s="123"/>
    </row>
    <row r="814" spans="1:22" ht="15.75" hidden="1" customHeight="1" x14ac:dyDescent="0.25">
      <c r="A814" s="123"/>
      <c r="B814" s="123"/>
      <c r="C814" s="123"/>
      <c r="D814" s="123"/>
      <c r="E814" s="138"/>
      <c r="F814" s="138"/>
      <c r="G814" s="123"/>
      <c r="H814" s="123"/>
      <c r="I814" s="123"/>
      <c r="J814" s="123"/>
      <c r="K814" s="123"/>
      <c r="L814" s="123"/>
      <c r="M814" s="123"/>
      <c r="N814" s="123"/>
      <c r="O814" s="123"/>
      <c r="P814" s="123"/>
      <c r="Q814" s="123"/>
      <c r="R814" s="123"/>
      <c r="S814" s="123"/>
      <c r="T814" s="123"/>
      <c r="U814" s="123"/>
      <c r="V814" s="123"/>
    </row>
    <row r="815" spans="1:22" ht="15.75" hidden="1" customHeight="1" x14ac:dyDescent="0.25">
      <c r="A815" s="123"/>
      <c r="B815" s="123"/>
      <c r="C815" s="123"/>
      <c r="D815" s="123"/>
      <c r="E815" s="138"/>
      <c r="F815" s="138"/>
      <c r="G815" s="123"/>
      <c r="H815" s="123"/>
      <c r="I815" s="123"/>
      <c r="J815" s="123"/>
      <c r="K815" s="123"/>
      <c r="L815" s="123"/>
      <c r="M815" s="123"/>
      <c r="N815" s="123"/>
      <c r="O815" s="123"/>
      <c r="P815" s="123"/>
      <c r="Q815" s="123"/>
      <c r="R815" s="123"/>
      <c r="S815" s="123"/>
      <c r="T815" s="123"/>
      <c r="U815" s="123"/>
      <c r="V815" s="123"/>
    </row>
    <row r="816" spans="1:22" ht="15.75" hidden="1" customHeight="1" x14ac:dyDescent="0.25">
      <c r="A816" s="123"/>
      <c r="B816" s="123"/>
      <c r="C816" s="123"/>
      <c r="D816" s="123"/>
      <c r="E816" s="138"/>
      <c r="F816" s="138"/>
      <c r="G816" s="123"/>
      <c r="H816" s="123"/>
      <c r="I816" s="123"/>
      <c r="J816" s="123"/>
      <c r="K816" s="123"/>
      <c r="L816" s="123"/>
      <c r="M816" s="123"/>
      <c r="N816" s="123"/>
      <c r="O816" s="123"/>
      <c r="P816" s="123"/>
      <c r="Q816" s="123"/>
      <c r="R816" s="123"/>
      <c r="S816" s="123"/>
      <c r="T816" s="123"/>
      <c r="U816" s="123"/>
      <c r="V816" s="123"/>
    </row>
    <row r="817" spans="1:22" ht="15.75" hidden="1" customHeight="1" x14ac:dyDescent="0.25">
      <c r="A817" s="123"/>
      <c r="B817" s="123"/>
      <c r="C817" s="123"/>
      <c r="D817" s="123"/>
      <c r="E817" s="138"/>
      <c r="F817" s="138"/>
      <c r="G817" s="123"/>
      <c r="H817" s="123"/>
      <c r="I817" s="123"/>
      <c r="J817" s="123"/>
      <c r="K817" s="123"/>
      <c r="L817" s="123"/>
      <c r="M817" s="123"/>
      <c r="N817" s="123"/>
      <c r="O817" s="123"/>
      <c r="P817" s="123"/>
      <c r="Q817" s="123"/>
      <c r="R817" s="123"/>
      <c r="S817" s="123"/>
      <c r="T817" s="123"/>
      <c r="U817" s="123"/>
      <c r="V817" s="123"/>
    </row>
    <row r="818" spans="1:22" ht="15.75" hidden="1" customHeight="1" x14ac:dyDescent="0.25">
      <c r="A818" s="123"/>
      <c r="B818" s="123"/>
      <c r="C818" s="123"/>
      <c r="D818" s="123"/>
      <c r="E818" s="138"/>
      <c r="F818" s="138"/>
      <c r="G818" s="123"/>
      <c r="H818" s="123"/>
      <c r="I818" s="123"/>
      <c r="J818" s="123"/>
      <c r="K818" s="123"/>
      <c r="L818" s="123"/>
      <c r="M818" s="123"/>
      <c r="N818" s="123"/>
      <c r="O818" s="123"/>
      <c r="P818" s="123"/>
      <c r="Q818" s="123"/>
      <c r="R818" s="123"/>
      <c r="S818" s="123"/>
      <c r="T818" s="123"/>
      <c r="U818" s="123"/>
      <c r="V818" s="123"/>
    </row>
    <row r="819" spans="1:22" ht="15.75" hidden="1" customHeight="1" x14ac:dyDescent="0.25">
      <c r="A819" s="123"/>
      <c r="B819" s="123"/>
      <c r="C819" s="123"/>
      <c r="D819" s="123"/>
      <c r="E819" s="138"/>
      <c r="F819" s="138"/>
      <c r="G819" s="123"/>
      <c r="H819" s="123"/>
      <c r="I819" s="123"/>
      <c r="J819" s="123"/>
      <c r="K819" s="123"/>
      <c r="L819" s="123"/>
      <c r="M819" s="123"/>
      <c r="N819" s="123"/>
      <c r="O819" s="123"/>
      <c r="P819" s="123"/>
      <c r="Q819" s="123"/>
      <c r="R819" s="123"/>
      <c r="S819" s="123"/>
      <c r="T819" s="123"/>
      <c r="U819" s="123"/>
      <c r="V819" s="123"/>
    </row>
    <row r="820" spans="1:22" ht="15.75" hidden="1" customHeight="1" x14ac:dyDescent="0.25">
      <c r="A820" s="123"/>
      <c r="B820" s="123"/>
      <c r="C820" s="123"/>
      <c r="D820" s="123"/>
      <c r="E820" s="138"/>
      <c r="F820" s="138"/>
      <c r="G820" s="123"/>
      <c r="H820" s="123"/>
      <c r="I820" s="123"/>
      <c r="J820" s="123"/>
      <c r="K820" s="123"/>
      <c r="L820" s="123"/>
      <c r="M820" s="123"/>
      <c r="N820" s="123"/>
      <c r="O820" s="123"/>
      <c r="P820" s="123"/>
      <c r="Q820" s="123"/>
      <c r="R820" s="123"/>
      <c r="S820" s="123"/>
      <c r="T820" s="123"/>
      <c r="U820" s="123"/>
      <c r="V820" s="123"/>
    </row>
    <row r="821" spans="1:22" ht="15.75" hidden="1" customHeight="1" x14ac:dyDescent="0.25">
      <c r="A821" s="123"/>
      <c r="B821" s="123"/>
      <c r="C821" s="123"/>
      <c r="D821" s="123"/>
      <c r="E821" s="138"/>
      <c r="F821" s="138"/>
      <c r="G821" s="123"/>
      <c r="H821" s="123"/>
      <c r="I821" s="123"/>
      <c r="J821" s="123"/>
      <c r="K821" s="123"/>
      <c r="L821" s="123"/>
      <c r="M821" s="123"/>
      <c r="N821" s="123"/>
      <c r="O821" s="123"/>
      <c r="P821" s="123"/>
      <c r="Q821" s="123"/>
      <c r="R821" s="123"/>
      <c r="S821" s="123"/>
      <c r="T821" s="123"/>
      <c r="U821" s="123"/>
      <c r="V821" s="123"/>
    </row>
    <row r="822" spans="1:22" ht="15.75" hidden="1" customHeight="1" x14ac:dyDescent="0.25">
      <c r="A822" s="123"/>
      <c r="B822" s="123"/>
      <c r="C822" s="123"/>
      <c r="D822" s="123"/>
      <c r="E822" s="138"/>
      <c r="F822" s="138"/>
      <c r="G822" s="123"/>
      <c r="H822" s="123"/>
      <c r="I822" s="123"/>
      <c r="J822" s="123"/>
      <c r="K822" s="123"/>
      <c r="L822" s="123"/>
      <c r="M822" s="123"/>
      <c r="N822" s="123"/>
      <c r="O822" s="123"/>
      <c r="P822" s="123"/>
      <c r="Q822" s="123"/>
      <c r="R822" s="123"/>
      <c r="S822" s="123"/>
      <c r="T822" s="123"/>
      <c r="U822" s="123"/>
      <c r="V822" s="123"/>
    </row>
    <row r="823" spans="1:22" ht="15.75" hidden="1" customHeight="1" x14ac:dyDescent="0.25">
      <c r="A823" s="123"/>
      <c r="B823" s="123"/>
      <c r="C823" s="123"/>
      <c r="D823" s="123"/>
      <c r="E823" s="138"/>
      <c r="F823" s="138"/>
      <c r="G823" s="123"/>
      <c r="H823" s="123"/>
      <c r="I823" s="123"/>
      <c r="J823" s="123"/>
      <c r="K823" s="123"/>
      <c r="L823" s="123"/>
      <c r="M823" s="123"/>
      <c r="N823" s="123"/>
      <c r="O823" s="123"/>
      <c r="P823" s="123"/>
      <c r="Q823" s="123"/>
      <c r="R823" s="123"/>
      <c r="S823" s="123"/>
      <c r="T823" s="123"/>
      <c r="U823" s="123"/>
      <c r="V823" s="123"/>
    </row>
    <row r="824" spans="1:22" ht="15.75" hidden="1" customHeight="1" x14ac:dyDescent="0.25">
      <c r="A824" s="123"/>
      <c r="B824" s="123"/>
      <c r="C824" s="123"/>
      <c r="D824" s="123"/>
      <c r="E824" s="138"/>
      <c r="F824" s="138"/>
      <c r="G824" s="123"/>
      <c r="H824" s="123"/>
      <c r="I824" s="123"/>
      <c r="J824" s="123"/>
      <c r="K824" s="123"/>
      <c r="L824" s="123"/>
      <c r="M824" s="123"/>
      <c r="N824" s="123"/>
      <c r="O824" s="123"/>
      <c r="P824" s="123"/>
      <c r="Q824" s="123"/>
      <c r="R824" s="123"/>
      <c r="S824" s="123"/>
      <c r="T824" s="123"/>
      <c r="U824" s="123"/>
      <c r="V824" s="123"/>
    </row>
    <row r="825" spans="1:22" ht="15.75" hidden="1" customHeight="1" x14ac:dyDescent="0.25">
      <c r="A825" s="123"/>
      <c r="B825" s="123"/>
      <c r="C825" s="123"/>
      <c r="D825" s="123"/>
      <c r="E825" s="138"/>
      <c r="F825" s="138"/>
      <c r="G825" s="123"/>
      <c r="H825" s="123"/>
      <c r="I825" s="123"/>
      <c r="J825" s="123"/>
      <c r="K825" s="123"/>
      <c r="L825" s="123"/>
      <c r="M825" s="123"/>
      <c r="N825" s="123"/>
      <c r="O825" s="123"/>
      <c r="P825" s="123"/>
      <c r="Q825" s="123"/>
      <c r="R825" s="123"/>
      <c r="S825" s="123"/>
      <c r="T825" s="123"/>
      <c r="U825" s="123"/>
      <c r="V825" s="123"/>
    </row>
    <row r="826" spans="1:22" ht="15.75" hidden="1" customHeight="1" x14ac:dyDescent="0.25">
      <c r="A826" s="123"/>
      <c r="B826" s="123"/>
      <c r="C826" s="123"/>
      <c r="D826" s="123"/>
      <c r="E826" s="138"/>
      <c r="F826" s="138"/>
      <c r="G826" s="123"/>
      <c r="H826" s="123"/>
      <c r="I826" s="123"/>
      <c r="J826" s="123"/>
      <c r="K826" s="123"/>
      <c r="L826" s="123"/>
      <c r="M826" s="123"/>
      <c r="N826" s="123"/>
      <c r="O826" s="123"/>
      <c r="P826" s="123"/>
      <c r="Q826" s="123"/>
      <c r="R826" s="123"/>
      <c r="S826" s="123"/>
      <c r="T826" s="123"/>
      <c r="U826" s="123"/>
      <c r="V826" s="123"/>
    </row>
    <row r="827" spans="1:22" ht="15.75" hidden="1" customHeight="1" x14ac:dyDescent="0.25">
      <c r="A827" s="123"/>
      <c r="B827" s="123"/>
      <c r="C827" s="123"/>
      <c r="D827" s="123"/>
      <c r="E827" s="138"/>
      <c r="F827" s="138"/>
      <c r="G827" s="123"/>
      <c r="H827" s="123"/>
      <c r="I827" s="123"/>
      <c r="J827" s="123"/>
      <c r="K827" s="123"/>
      <c r="L827" s="123"/>
      <c r="M827" s="123"/>
      <c r="N827" s="123"/>
      <c r="O827" s="123"/>
      <c r="P827" s="123"/>
      <c r="Q827" s="123"/>
      <c r="R827" s="123"/>
      <c r="S827" s="123"/>
      <c r="T827" s="123"/>
      <c r="U827" s="123"/>
      <c r="V827" s="123"/>
    </row>
    <row r="828" spans="1:22" ht="15.75" hidden="1" customHeight="1" x14ac:dyDescent="0.25">
      <c r="A828" s="123"/>
      <c r="B828" s="123"/>
      <c r="C828" s="123"/>
      <c r="D828" s="123"/>
      <c r="E828" s="138"/>
      <c r="F828" s="138"/>
      <c r="G828" s="123"/>
      <c r="H828" s="123"/>
      <c r="I828" s="123"/>
      <c r="J828" s="123"/>
      <c r="K828" s="123"/>
      <c r="L828" s="123"/>
      <c r="M828" s="123"/>
      <c r="N828" s="123"/>
      <c r="O828" s="123"/>
      <c r="P828" s="123"/>
      <c r="Q828" s="123"/>
      <c r="R828" s="123"/>
      <c r="S828" s="123"/>
      <c r="T828" s="123"/>
      <c r="U828" s="123"/>
      <c r="V828" s="123"/>
    </row>
    <row r="829" spans="1:22" ht="15.75" hidden="1" customHeight="1" x14ac:dyDescent="0.25">
      <c r="A829" s="123"/>
      <c r="B829" s="123"/>
      <c r="C829" s="123"/>
      <c r="D829" s="123"/>
      <c r="E829" s="138"/>
      <c r="F829" s="138"/>
      <c r="G829" s="123"/>
      <c r="H829" s="123"/>
      <c r="I829" s="123"/>
      <c r="J829" s="123"/>
      <c r="K829" s="123"/>
      <c r="L829" s="123"/>
      <c r="M829" s="123"/>
      <c r="N829" s="123"/>
      <c r="O829" s="123"/>
      <c r="P829" s="123"/>
      <c r="Q829" s="123"/>
      <c r="R829" s="123"/>
      <c r="S829" s="123"/>
      <c r="T829" s="123"/>
      <c r="U829" s="123"/>
      <c r="V829" s="123"/>
    </row>
    <row r="830" spans="1:22" ht="15.75" hidden="1" customHeight="1" x14ac:dyDescent="0.25">
      <c r="A830" s="123"/>
      <c r="B830" s="123"/>
      <c r="C830" s="123"/>
      <c r="D830" s="123"/>
      <c r="E830" s="138"/>
      <c r="F830" s="138"/>
      <c r="G830" s="123"/>
      <c r="H830" s="123"/>
      <c r="I830" s="123"/>
      <c r="J830" s="123"/>
      <c r="K830" s="123"/>
      <c r="L830" s="123"/>
      <c r="M830" s="123"/>
      <c r="N830" s="123"/>
      <c r="O830" s="123"/>
      <c r="P830" s="123"/>
      <c r="Q830" s="123"/>
      <c r="R830" s="123"/>
      <c r="S830" s="123"/>
      <c r="T830" s="123"/>
      <c r="U830" s="123"/>
      <c r="V830" s="123"/>
    </row>
    <row r="831" spans="1:22" ht="15.75" hidden="1" customHeight="1" x14ac:dyDescent="0.25">
      <c r="A831" s="123"/>
      <c r="B831" s="123"/>
      <c r="C831" s="123"/>
      <c r="D831" s="123"/>
      <c r="E831" s="138"/>
      <c r="F831" s="138"/>
      <c r="G831" s="123"/>
      <c r="H831" s="123"/>
      <c r="I831" s="123"/>
      <c r="J831" s="123"/>
      <c r="K831" s="123"/>
      <c r="L831" s="123"/>
      <c r="M831" s="123"/>
      <c r="N831" s="123"/>
      <c r="O831" s="123"/>
      <c r="P831" s="123"/>
      <c r="Q831" s="123"/>
      <c r="R831" s="123"/>
      <c r="S831" s="123"/>
      <c r="T831" s="123"/>
      <c r="U831" s="123"/>
      <c r="V831" s="123"/>
    </row>
    <row r="832" spans="1:22" ht="15.75" hidden="1" customHeight="1" x14ac:dyDescent="0.25">
      <c r="A832" s="123"/>
      <c r="B832" s="123"/>
      <c r="C832" s="123"/>
      <c r="D832" s="123"/>
      <c r="E832" s="138"/>
      <c r="F832" s="138"/>
      <c r="G832" s="123"/>
      <c r="H832" s="123"/>
      <c r="I832" s="123"/>
      <c r="J832" s="123"/>
      <c r="K832" s="123"/>
      <c r="L832" s="123"/>
      <c r="M832" s="123"/>
      <c r="N832" s="123"/>
      <c r="O832" s="123"/>
      <c r="P832" s="123"/>
      <c r="Q832" s="123"/>
      <c r="R832" s="123"/>
      <c r="S832" s="123"/>
      <c r="T832" s="123"/>
      <c r="U832" s="123"/>
      <c r="V832" s="123"/>
    </row>
    <row r="833" spans="1:22" ht="15.75" hidden="1" customHeight="1" x14ac:dyDescent="0.25">
      <c r="A833" s="123"/>
      <c r="B833" s="123"/>
      <c r="C833" s="123"/>
      <c r="D833" s="123"/>
      <c r="E833" s="138"/>
      <c r="F833" s="138"/>
      <c r="G833" s="123"/>
      <c r="H833" s="123"/>
      <c r="I833" s="123"/>
      <c r="J833" s="123"/>
      <c r="K833" s="123"/>
      <c r="L833" s="123"/>
      <c r="M833" s="123"/>
      <c r="N833" s="123"/>
      <c r="O833" s="123"/>
      <c r="P833" s="123"/>
      <c r="Q833" s="123"/>
      <c r="R833" s="123"/>
      <c r="S833" s="123"/>
      <c r="T833" s="123"/>
      <c r="U833" s="123"/>
      <c r="V833" s="123"/>
    </row>
    <row r="834" spans="1:22" ht="15.75" hidden="1" customHeight="1" x14ac:dyDescent="0.25">
      <c r="A834" s="123"/>
      <c r="B834" s="123"/>
      <c r="C834" s="123"/>
      <c r="D834" s="123"/>
      <c r="E834" s="138"/>
      <c r="F834" s="138"/>
      <c r="G834" s="123"/>
      <c r="H834" s="123"/>
      <c r="I834" s="123"/>
      <c r="J834" s="123"/>
      <c r="K834" s="123"/>
      <c r="L834" s="123"/>
      <c r="M834" s="123"/>
      <c r="N834" s="123"/>
      <c r="O834" s="123"/>
      <c r="P834" s="123"/>
      <c r="Q834" s="123"/>
      <c r="R834" s="123"/>
      <c r="S834" s="123"/>
      <c r="T834" s="123"/>
      <c r="U834" s="123"/>
      <c r="V834" s="123"/>
    </row>
    <row r="835" spans="1:22" ht="15.75" hidden="1" customHeight="1" x14ac:dyDescent="0.25">
      <c r="A835" s="123"/>
      <c r="B835" s="123"/>
      <c r="C835" s="123"/>
      <c r="D835" s="123"/>
      <c r="E835" s="138"/>
      <c r="F835" s="138"/>
      <c r="G835" s="123"/>
      <c r="H835" s="123"/>
      <c r="I835" s="123"/>
      <c r="J835" s="123"/>
      <c r="K835" s="123"/>
      <c r="L835" s="123"/>
      <c r="M835" s="123"/>
      <c r="N835" s="123"/>
      <c r="O835" s="123"/>
      <c r="P835" s="123"/>
      <c r="Q835" s="123"/>
      <c r="R835" s="123"/>
      <c r="S835" s="123"/>
      <c r="T835" s="123"/>
      <c r="U835" s="123"/>
      <c r="V835" s="123"/>
    </row>
    <row r="836" spans="1:22" ht="15.75" hidden="1" customHeight="1" x14ac:dyDescent="0.25">
      <c r="A836" s="123"/>
      <c r="B836" s="123"/>
      <c r="C836" s="123"/>
      <c r="D836" s="123"/>
      <c r="E836" s="138"/>
      <c r="F836" s="138"/>
      <c r="G836" s="123"/>
      <c r="H836" s="123"/>
      <c r="I836" s="123"/>
      <c r="J836" s="123"/>
      <c r="K836" s="123"/>
      <c r="L836" s="123"/>
      <c r="M836" s="123"/>
      <c r="N836" s="123"/>
      <c r="O836" s="123"/>
      <c r="P836" s="123"/>
      <c r="Q836" s="123"/>
      <c r="R836" s="123"/>
      <c r="S836" s="123"/>
      <c r="T836" s="123"/>
      <c r="U836" s="123"/>
      <c r="V836" s="123"/>
    </row>
    <row r="837" spans="1:22" ht="15.75" hidden="1" customHeight="1" x14ac:dyDescent="0.25">
      <c r="A837" s="123"/>
      <c r="B837" s="123"/>
      <c r="C837" s="123"/>
      <c r="D837" s="123"/>
      <c r="E837" s="138"/>
      <c r="F837" s="138"/>
      <c r="G837" s="123"/>
      <c r="H837" s="123"/>
      <c r="I837" s="123"/>
      <c r="J837" s="123"/>
      <c r="K837" s="123"/>
      <c r="L837" s="123"/>
      <c r="M837" s="123"/>
      <c r="N837" s="123"/>
      <c r="O837" s="123"/>
      <c r="P837" s="123"/>
      <c r="Q837" s="123"/>
      <c r="R837" s="123"/>
      <c r="S837" s="123"/>
      <c r="T837" s="123"/>
      <c r="U837" s="123"/>
      <c r="V837" s="123"/>
    </row>
    <row r="838" spans="1:22" ht="15.75" hidden="1" customHeight="1" x14ac:dyDescent="0.25">
      <c r="A838" s="123"/>
      <c r="B838" s="123"/>
      <c r="C838" s="123"/>
      <c r="D838" s="123"/>
      <c r="E838" s="138"/>
      <c r="F838" s="138"/>
      <c r="G838" s="123"/>
      <c r="H838" s="123"/>
      <c r="I838" s="123"/>
      <c r="J838" s="123"/>
      <c r="K838" s="123"/>
      <c r="L838" s="123"/>
      <c r="M838" s="123"/>
      <c r="N838" s="123"/>
      <c r="O838" s="123"/>
      <c r="P838" s="123"/>
      <c r="Q838" s="123"/>
      <c r="R838" s="123"/>
      <c r="S838" s="123"/>
      <c r="T838" s="123"/>
      <c r="U838" s="123"/>
      <c r="V838" s="123"/>
    </row>
    <row r="839" spans="1:22" ht="15.75" hidden="1" customHeight="1" x14ac:dyDescent="0.25">
      <c r="A839" s="123"/>
      <c r="B839" s="123"/>
      <c r="C839" s="123"/>
      <c r="D839" s="123"/>
      <c r="E839" s="138"/>
      <c r="F839" s="138"/>
      <c r="G839" s="123"/>
      <c r="H839" s="123"/>
      <c r="I839" s="123"/>
      <c r="J839" s="123"/>
      <c r="K839" s="123"/>
      <c r="L839" s="123"/>
      <c r="M839" s="123"/>
      <c r="N839" s="123"/>
      <c r="O839" s="123"/>
      <c r="P839" s="123"/>
      <c r="Q839" s="123"/>
      <c r="R839" s="123"/>
      <c r="S839" s="123"/>
      <c r="T839" s="123"/>
      <c r="U839" s="123"/>
      <c r="V839" s="123"/>
    </row>
    <row r="840" spans="1:22" ht="15.75" hidden="1" customHeight="1" x14ac:dyDescent="0.25">
      <c r="A840" s="123"/>
      <c r="B840" s="123"/>
      <c r="C840" s="123"/>
      <c r="D840" s="123"/>
      <c r="E840" s="138"/>
      <c r="F840" s="138"/>
      <c r="G840" s="123"/>
      <c r="H840" s="123"/>
      <c r="I840" s="123"/>
      <c r="J840" s="123"/>
      <c r="K840" s="123"/>
      <c r="L840" s="123"/>
      <c r="M840" s="123"/>
      <c r="N840" s="123"/>
      <c r="O840" s="123"/>
      <c r="P840" s="123"/>
      <c r="Q840" s="123"/>
      <c r="R840" s="123"/>
      <c r="S840" s="123"/>
      <c r="T840" s="123"/>
      <c r="U840" s="123"/>
      <c r="V840" s="123"/>
    </row>
    <row r="841" spans="1:22" ht="15.75" hidden="1" customHeight="1" x14ac:dyDescent="0.25">
      <c r="A841" s="123"/>
      <c r="B841" s="123"/>
      <c r="C841" s="123"/>
      <c r="D841" s="123"/>
      <c r="E841" s="138"/>
      <c r="F841" s="138"/>
      <c r="G841" s="123"/>
      <c r="H841" s="123"/>
      <c r="I841" s="123"/>
      <c r="J841" s="123"/>
      <c r="K841" s="123"/>
      <c r="L841" s="123"/>
      <c r="M841" s="123"/>
      <c r="N841" s="123"/>
      <c r="O841" s="123"/>
      <c r="P841" s="123"/>
      <c r="Q841" s="123"/>
      <c r="R841" s="123"/>
      <c r="S841" s="123"/>
      <c r="T841" s="123"/>
      <c r="U841" s="123"/>
      <c r="V841" s="123"/>
    </row>
    <row r="842" spans="1:22" ht="15.75" hidden="1" customHeight="1" x14ac:dyDescent="0.25">
      <c r="A842" s="123"/>
      <c r="B842" s="123"/>
      <c r="C842" s="123"/>
      <c r="D842" s="123"/>
      <c r="E842" s="138"/>
      <c r="F842" s="138"/>
      <c r="G842" s="123"/>
      <c r="H842" s="123"/>
      <c r="I842" s="123"/>
      <c r="J842" s="123"/>
      <c r="K842" s="123"/>
      <c r="L842" s="123"/>
      <c r="M842" s="123"/>
      <c r="N842" s="123"/>
      <c r="O842" s="123"/>
      <c r="P842" s="123"/>
      <c r="Q842" s="123"/>
      <c r="R842" s="123"/>
      <c r="S842" s="123"/>
      <c r="T842" s="123"/>
      <c r="U842" s="123"/>
      <c r="V842" s="123"/>
    </row>
    <row r="843" spans="1:22" ht="15.75" hidden="1" customHeight="1" x14ac:dyDescent="0.25">
      <c r="A843" s="123"/>
      <c r="B843" s="123"/>
      <c r="C843" s="123"/>
      <c r="D843" s="123"/>
      <c r="E843" s="138"/>
      <c r="F843" s="138"/>
      <c r="G843" s="123"/>
      <c r="H843" s="123"/>
      <c r="I843" s="123"/>
      <c r="J843" s="123"/>
      <c r="K843" s="123"/>
      <c r="L843" s="123"/>
      <c r="M843" s="123"/>
      <c r="N843" s="123"/>
      <c r="O843" s="123"/>
      <c r="P843" s="123"/>
      <c r="Q843" s="123"/>
      <c r="R843" s="123"/>
      <c r="S843" s="123"/>
      <c r="T843" s="123"/>
      <c r="U843" s="123"/>
      <c r="V843" s="123"/>
    </row>
    <row r="844" spans="1:22" ht="15.75" hidden="1" customHeight="1" x14ac:dyDescent="0.25">
      <c r="A844" s="123"/>
      <c r="B844" s="123"/>
      <c r="C844" s="123"/>
      <c r="D844" s="123"/>
      <c r="E844" s="138"/>
      <c r="F844" s="138"/>
      <c r="G844" s="123"/>
      <c r="H844" s="123"/>
      <c r="I844" s="123"/>
      <c r="J844" s="123"/>
      <c r="K844" s="123"/>
      <c r="L844" s="123"/>
      <c r="M844" s="123"/>
      <c r="N844" s="123"/>
      <c r="O844" s="123"/>
      <c r="P844" s="123"/>
      <c r="Q844" s="123"/>
      <c r="R844" s="123"/>
      <c r="S844" s="123"/>
      <c r="T844" s="123"/>
      <c r="U844" s="123"/>
      <c r="V844" s="123"/>
    </row>
    <row r="845" spans="1:22" ht="15.75" hidden="1" customHeight="1" x14ac:dyDescent="0.25">
      <c r="A845" s="123"/>
      <c r="B845" s="123"/>
      <c r="C845" s="123"/>
      <c r="D845" s="123"/>
      <c r="E845" s="138"/>
      <c r="F845" s="138"/>
      <c r="G845" s="123"/>
      <c r="H845" s="123"/>
      <c r="I845" s="123"/>
      <c r="J845" s="123"/>
      <c r="K845" s="123"/>
      <c r="L845" s="123"/>
      <c r="M845" s="123"/>
      <c r="N845" s="123"/>
      <c r="O845" s="123"/>
      <c r="P845" s="123"/>
      <c r="Q845" s="123"/>
      <c r="R845" s="123"/>
      <c r="S845" s="123"/>
      <c r="T845" s="123"/>
      <c r="U845" s="123"/>
      <c r="V845" s="123"/>
    </row>
    <row r="846" spans="1:22" ht="15.75" hidden="1" customHeight="1" x14ac:dyDescent="0.25">
      <c r="A846" s="123"/>
      <c r="B846" s="123"/>
      <c r="C846" s="123"/>
      <c r="D846" s="123"/>
      <c r="E846" s="138"/>
      <c r="F846" s="138"/>
      <c r="G846" s="123"/>
      <c r="H846" s="123"/>
      <c r="I846" s="123"/>
      <c r="J846" s="123"/>
      <c r="K846" s="123"/>
      <c r="L846" s="123"/>
      <c r="M846" s="123"/>
      <c r="N846" s="123"/>
      <c r="O846" s="123"/>
      <c r="P846" s="123"/>
      <c r="Q846" s="123"/>
      <c r="R846" s="123"/>
      <c r="S846" s="123"/>
      <c r="T846" s="123"/>
      <c r="U846" s="123"/>
      <c r="V846" s="123"/>
    </row>
    <row r="847" spans="1:22" ht="15.75" hidden="1" customHeight="1" x14ac:dyDescent="0.25">
      <c r="A847" s="123"/>
      <c r="B847" s="123"/>
      <c r="C847" s="123"/>
      <c r="D847" s="123"/>
      <c r="E847" s="138"/>
      <c r="F847" s="138"/>
      <c r="G847" s="123"/>
      <c r="H847" s="123"/>
      <c r="I847" s="123"/>
      <c r="J847" s="123"/>
      <c r="K847" s="123"/>
      <c r="L847" s="123"/>
      <c r="M847" s="123"/>
      <c r="N847" s="123"/>
      <c r="O847" s="123"/>
      <c r="P847" s="123"/>
      <c r="Q847" s="123"/>
      <c r="R847" s="123"/>
      <c r="S847" s="123"/>
      <c r="T847" s="123"/>
      <c r="U847" s="123"/>
      <c r="V847" s="123"/>
    </row>
    <row r="848" spans="1:22" ht="15.75" hidden="1" customHeight="1" x14ac:dyDescent="0.25">
      <c r="A848" s="123"/>
      <c r="B848" s="123"/>
      <c r="C848" s="123"/>
      <c r="D848" s="123"/>
      <c r="E848" s="138"/>
      <c r="F848" s="138"/>
      <c r="G848" s="123"/>
      <c r="H848" s="123"/>
      <c r="I848" s="123"/>
      <c r="J848" s="123"/>
      <c r="K848" s="123"/>
      <c r="L848" s="123"/>
      <c r="M848" s="123"/>
      <c r="N848" s="123"/>
      <c r="O848" s="123"/>
      <c r="P848" s="123"/>
      <c r="Q848" s="123"/>
      <c r="R848" s="123"/>
      <c r="S848" s="123"/>
      <c r="T848" s="123"/>
      <c r="U848" s="123"/>
      <c r="V848" s="123"/>
    </row>
    <row r="849" spans="1:22" ht="15.75" hidden="1" customHeight="1" x14ac:dyDescent="0.25">
      <c r="A849" s="123"/>
      <c r="B849" s="123"/>
      <c r="C849" s="123"/>
      <c r="D849" s="123"/>
      <c r="E849" s="138"/>
      <c r="F849" s="138"/>
      <c r="G849" s="123"/>
      <c r="H849" s="123"/>
      <c r="I849" s="123"/>
      <c r="J849" s="123"/>
      <c r="K849" s="123"/>
      <c r="L849" s="123"/>
      <c r="M849" s="123"/>
      <c r="N849" s="123"/>
      <c r="O849" s="123"/>
      <c r="P849" s="123"/>
      <c r="Q849" s="123"/>
      <c r="R849" s="123"/>
      <c r="S849" s="123"/>
      <c r="T849" s="123"/>
      <c r="U849" s="123"/>
      <c r="V849" s="123"/>
    </row>
    <row r="850" spans="1:22" ht="15.75" hidden="1" customHeight="1" x14ac:dyDescent="0.25">
      <c r="A850" s="123"/>
      <c r="B850" s="123"/>
      <c r="C850" s="123"/>
      <c r="D850" s="123"/>
      <c r="E850" s="138"/>
      <c r="F850" s="138"/>
      <c r="G850" s="123"/>
      <c r="H850" s="123"/>
      <c r="I850" s="123"/>
      <c r="J850" s="123"/>
      <c r="K850" s="123"/>
      <c r="L850" s="123"/>
      <c r="M850" s="123"/>
      <c r="N850" s="123"/>
      <c r="O850" s="123"/>
      <c r="P850" s="123"/>
      <c r="Q850" s="123"/>
      <c r="R850" s="123"/>
      <c r="S850" s="123"/>
      <c r="T850" s="123"/>
      <c r="U850" s="123"/>
      <c r="V850" s="123"/>
    </row>
    <row r="851" spans="1:22" ht="15.75" hidden="1" customHeight="1" x14ac:dyDescent="0.25">
      <c r="A851" s="123"/>
      <c r="B851" s="123"/>
      <c r="C851" s="123"/>
      <c r="D851" s="123"/>
      <c r="E851" s="138"/>
      <c r="F851" s="138"/>
      <c r="G851" s="123"/>
      <c r="H851" s="123"/>
      <c r="I851" s="123"/>
      <c r="J851" s="123"/>
      <c r="K851" s="123"/>
      <c r="L851" s="123"/>
      <c r="M851" s="123"/>
      <c r="N851" s="123"/>
      <c r="O851" s="123"/>
      <c r="P851" s="123"/>
      <c r="Q851" s="123"/>
      <c r="R851" s="123"/>
      <c r="S851" s="123"/>
      <c r="T851" s="123"/>
      <c r="U851" s="123"/>
      <c r="V851" s="123"/>
    </row>
    <row r="852" spans="1:22" ht="15.75" hidden="1" customHeight="1" x14ac:dyDescent="0.25">
      <c r="A852" s="123"/>
      <c r="B852" s="123"/>
      <c r="C852" s="123"/>
      <c r="D852" s="123"/>
      <c r="E852" s="138"/>
      <c r="F852" s="138"/>
      <c r="G852" s="123"/>
      <c r="H852" s="123"/>
      <c r="I852" s="123"/>
      <c r="J852" s="123"/>
      <c r="K852" s="123"/>
      <c r="L852" s="123"/>
      <c r="M852" s="123"/>
      <c r="N852" s="123"/>
      <c r="O852" s="123"/>
      <c r="P852" s="123"/>
      <c r="Q852" s="123"/>
      <c r="R852" s="123"/>
      <c r="S852" s="123"/>
      <c r="T852" s="123"/>
      <c r="U852" s="123"/>
      <c r="V852" s="123"/>
    </row>
    <row r="853" spans="1:22" ht="15.75" hidden="1" customHeight="1" x14ac:dyDescent="0.25">
      <c r="A853" s="123"/>
      <c r="B853" s="123"/>
      <c r="C853" s="123"/>
      <c r="D853" s="123"/>
      <c r="E853" s="138"/>
      <c r="F853" s="138"/>
      <c r="G853" s="123"/>
      <c r="H853" s="123"/>
      <c r="I853" s="123"/>
      <c r="J853" s="123"/>
      <c r="K853" s="123"/>
      <c r="L853" s="123"/>
      <c r="M853" s="123"/>
      <c r="N853" s="123"/>
      <c r="O853" s="123"/>
      <c r="P853" s="123"/>
      <c r="Q853" s="123"/>
      <c r="R853" s="123"/>
      <c r="S853" s="123"/>
      <c r="T853" s="123"/>
      <c r="U853" s="123"/>
      <c r="V853" s="123"/>
    </row>
    <row r="854" spans="1:22" ht="15.75" hidden="1" customHeight="1" x14ac:dyDescent="0.25">
      <c r="A854" s="123"/>
      <c r="B854" s="123"/>
      <c r="C854" s="123"/>
      <c r="D854" s="123"/>
      <c r="E854" s="138"/>
      <c r="F854" s="138"/>
      <c r="G854" s="123"/>
      <c r="H854" s="123"/>
      <c r="I854" s="123"/>
      <c r="J854" s="123"/>
      <c r="K854" s="123"/>
      <c r="L854" s="123"/>
      <c r="M854" s="123"/>
      <c r="N854" s="123"/>
      <c r="O854" s="123"/>
      <c r="P854" s="123"/>
      <c r="Q854" s="123"/>
      <c r="R854" s="123"/>
      <c r="S854" s="123"/>
      <c r="T854" s="123"/>
      <c r="U854" s="123"/>
      <c r="V854" s="123"/>
    </row>
    <row r="855" spans="1:22" ht="15.75" hidden="1" customHeight="1" x14ac:dyDescent="0.25">
      <c r="A855" s="123"/>
      <c r="B855" s="123"/>
      <c r="C855" s="123"/>
      <c r="D855" s="123"/>
      <c r="E855" s="138"/>
      <c r="F855" s="138"/>
      <c r="G855" s="123"/>
      <c r="H855" s="123"/>
      <c r="I855" s="123"/>
      <c r="J855" s="123"/>
      <c r="K855" s="123"/>
      <c r="L855" s="123"/>
      <c r="M855" s="123"/>
      <c r="N855" s="123"/>
      <c r="O855" s="123"/>
      <c r="P855" s="123"/>
      <c r="Q855" s="123"/>
      <c r="R855" s="123"/>
      <c r="S855" s="123"/>
      <c r="T855" s="123"/>
      <c r="U855" s="123"/>
      <c r="V855" s="123"/>
    </row>
    <row r="856" spans="1:22" ht="15.75" hidden="1" customHeight="1" x14ac:dyDescent="0.25">
      <c r="A856" s="123"/>
      <c r="B856" s="123"/>
      <c r="C856" s="123"/>
      <c r="D856" s="123"/>
      <c r="E856" s="138"/>
      <c r="F856" s="138"/>
      <c r="G856" s="123"/>
      <c r="H856" s="123"/>
      <c r="I856" s="123"/>
      <c r="J856" s="123"/>
      <c r="K856" s="123"/>
      <c r="L856" s="123"/>
      <c r="M856" s="123"/>
      <c r="N856" s="123"/>
      <c r="O856" s="123"/>
      <c r="P856" s="123"/>
      <c r="Q856" s="123"/>
      <c r="R856" s="123"/>
      <c r="S856" s="123"/>
      <c r="T856" s="123"/>
      <c r="U856" s="123"/>
      <c r="V856" s="123"/>
    </row>
    <row r="857" spans="1:22" ht="15.75" hidden="1" customHeight="1" x14ac:dyDescent="0.25">
      <c r="A857" s="123"/>
      <c r="B857" s="123"/>
      <c r="C857" s="123"/>
      <c r="D857" s="123"/>
      <c r="E857" s="138"/>
      <c r="F857" s="138"/>
      <c r="G857" s="123"/>
      <c r="H857" s="123"/>
      <c r="I857" s="123"/>
      <c r="J857" s="123"/>
      <c r="K857" s="123"/>
      <c r="L857" s="123"/>
      <c r="M857" s="123"/>
      <c r="N857" s="123"/>
      <c r="O857" s="123"/>
      <c r="P857" s="123"/>
      <c r="Q857" s="123"/>
      <c r="R857" s="123"/>
      <c r="S857" s="123"/>
      <c r="T857" s="123"/>
      <c r="U857" s="123"/>
      <c r="V857" s="123"/>
    </row>
    <row r="858" spans="1:22" ht="15.75" hidden="1" customHeight="1" x14ac:dyDescent="0.25">
      <c r="A858" s="123"/>
      <c r="B858" s="123"/>
      <c r="C858" s="123"/>
      <c r="D858" s="123"/>
      <c r="E858" s="138"/>
      <c r="F858" s="138"/>
      <c r="G858" s="123"/>
      <c r="H858" s="123"/>
      <c r="I858" s="123"/>
      <c r="J858" s="123"/>
      <c r="K858" s="123"/>
      <c r="L858" s="123"/>
      <c r="M858" s="123"/>
      <c r="N858" s="123"/>
      <c r="O858" s="123"/>
      <c r="P858" s="123"/>
      <c r="Q858" s="123"/>
      <c r="R858" s="123"/>
      <c r="S858" s="123"/>
      <c r="T858" s="123"/>
      <c r="U858" s="123"/>
      <c r="V858" s="123"/>
    </row>
    <row r="859" spans="1:22" ht="15.75" hidden="1" customHeight="1" x14ac:dyDescent="0.25">
      <c r="A859" s="123"/>
      <c r="B859" s="123"/>
      <c r="C859" s="123"/>
      <c r="D859" s="123"/>
      <c r="E859" s="138"/>
      <c r="F859" s="138"/>
      <c r="G859" s="123"/>
      <c r="H859" s="123"/>
      <c r="I859" s="123"/>
      <c r="J859" s="123"/>
      <c r="K859" s="123"/>
      <c r="L859" s="123"/>
      <c r="M859" s="123"/>
      <c r="N859" s="123"/>
      <c r="O859" s="123"/>
      <c r="P859" s="123"/>
      <c r="Q859" s="123"/>
      <c r="R859" s="123"/>
      <c r="S859" s="123"/>
      <c r="T859" s="123"/>
      <c r="U859" s="123"/>
      <c r="V859" s="123"/>
    </row>
    <row r="860" spans="1:22" ht="15.75" hidden="1" customHeight="1" x14ac:dyDescent="0.25">
      <c r="A860" s="123"/>
      <c r="B860" s="123"/>
      <c r="C860" s="123"/>
      <c r="D860" s="123"/>
      <c r="E860" s="138"/>
      <c r="F860" s="138"/>
      <c r="G860" s="123"/>
      <c r="H860" s="123"/>
      <c r="I860" s="123"/>
      <c r="J860" s="123"/>
      <c r="K860" s="123"/>
      <c r="L860" s="123"/>
      <c r="M860" s="123"/>
      <c r="N860" s="123"/>
      <c r="O860" s="123"/>
      <c r="P860" s="123"/>
      <c r="Q860" s="123"/>
      <c r="R860" s="123"/>
      <c r="S860" s="123"/>
      <c r="T860" s="123"/>
      <c r="U860" s="123"/>
      <c r="V860" s="123"/>
    </row>
    <row r="861" spans="1:22" ht="15.75" hidden="1" customHeight="1" x14ac:dyDescent="0.25">
      <c r="A861" s="123"/>
      <c r="B861" s="123"/>
      <c r="C861" s="123"/>
      <c r="D861" s="123"/>
      <c r="E861" s="138"/>
      <c r="F861" s="138"/>
      <c r="G861" s="123"/>
      <c r="H861" s="123"/>
      <c r="I861" s="123"/>
      <c r="J861" s="123"/>
      <c r="K861" s="123"/>
      <c r="L861" s="123"/>
      <c r="M861" s="123"/>
      <c r="N861" s="123"/>
      <c r="O861" s="123"/>
      <c r="P861" s="123"/>
      <c r="Q861" s="123"/>
      <c r="R861" s="123"/>
      <c r="S861" s="123"/>
      <c r="T861" s="123"/>
      <c r="U861" s="123"/>
      <c r="V861" s="123"/>
    </row>
    <row r="862" spans="1:22" ht="15.75" hidden="1" customHeight="1" x14ac:dyDescent="0.25">
      <c r="A862" s="123"/>
      <c r="B862" s="123"/>
      <c r="C862" s="123"/>
      <c r="D862" s="123"/>
      <c r="E862" s="138"/>
      <c r="F862" s="138"/>
      <c r="G862" s="123"/>
      <c r="H862" s="123"/>
      <c r="I862" s="123"/>
      <c r="J862" s="123"/>
      <c r="K862" s="123"/>
      <c r="L862" s="123"/>
      <c r="M862" s="123"/>
      <c r="N862" s="123"/>
      <c r="O862" s="123"/>
      <c r="P862" s="123"/>
      <c r="Q862" s="123"/>
      <c r="R862" s="123"/>
      <c r="S862" s="123"/>
      <c r="T862" s="123"/>
      <c r="U862" s="123"/>
      <c r="V862" s="123"/>
    </row>
    <row r="863" spans="1:22" ht="15.75" hidden="1" customHeight="1" x14ac:dyDescent="0.25">
      <c r="A863" s="123"/>
      <c r="B863" s="123"/>
      <c r="C863" s="123"/>
      <c r="D863" s="123"/>
      <c r="E863" s="138"/>
      <c r="F863" s="138"/>
      <c r="G863" s="123"/>
      <c r="H863" s="123"/>
      <c r="I863" s="123"/>
      <c r="J863" s="123"/>
      <c r="K863" s="123"/>
      <c r="L863" s="123"/>
      <c r="M863" s="123"/>
      <c r="N863" s="123"/>
      <c r="O863" s="123"/>
      <c r="P863" s="123"/>
      <c r="Q863" s="123"/>
      <c r="R863" s="123"/>
      <c r="S863" s="123"/>
      <c r="T863" s="123"/>
      <c r="U863" s="123"/>
      <c r="V863" s="123"/>
    </row>
    <row r="864" spans="1:22" ht="15.75" hidden="1" customHeight="1" x14ac:dyDescent="0.25">
      <c r="A864" s="123"/>
      <c r="B864" s="123"/>
      <c r="C864" s="123"/>
      <c r="D864" s="123"/>
      <c r="E864" s="138"/>
      <c r="F864" s="138"/>
      <c r="G864" s="123"/>
      <c r="H864" s="123"/>
      <c r="I864" s="123"/>
      <c r="J864" s="123"/>
      <c r="K864" s="123"/>
      <c r="L864" s="123"/>
      <c r="M864" s="123"/>
      <c r="N864" s="123"/>
      <c r="O864" s="123"/>
      <c r="P864" s="123"/>
      <c r="Q864" s="123"/>
      <c r="R864" s="123"/>
      <c r="S864" s="123"/>
      <c r="T864" s="123"/>
      <c r="U864" s="123"/>
      <c r="V864" s="123"/>
    </row>
    <row r="865" spans="1:22" ht="15.75" hidden="1" customHeight="1" x14ac:dyDescent="0.25">
      <c r="A865" s="123"/>
      <c r="B865" s="123"/>
      <c r="C865" s="123"/>
      <c r="D865" s="123"/>
      <c r="E865" s="138"/>
      <c r="F865" s="138"/>
      <c r="G865" s="123"/>
      <c r="H865" s="123"/>
      <c r="I865" s="123"/>
      <c r="J865" s="123"/>
      <c r="K865" s="123"/>
      <c r="L865" s="123"/>
      <c r="M865" s="123"/>
      <c r="N865" s="123"/>
      <c r="O865" s="123"/>
      <c r="P865" s="123"/>
      <c r="Q865" s="123"/>
      <c r="R865" s="123"/>
      <c r="S865" s="123"/>
      <c r="T865" s="123"/>
      <c r="U865" s="123"/>
      <c r="V865" s="123"/>
    </row>
    <row r="866" spans="1:22" ht="15.75" hidden="1" customHeight="1" x14ac:dyDescent="0.25">
      <c r="A866" s="123"/>
      <c r="B866" s="123"/>
      <c r="C866" s="123"/>
      <c r="D866" s="123"/>
      <c r="E866" s="138"/>
      <c r="F866" s="138"/>
      <c r="G866" s="123"/>
      <c r="H866" s="123"/>
      <c r="I866" s="123"/>
      <c r="J866" s="123"/>
      <c r="K866" s="123"/>
      <c r="L866" s="123"/>
      <c r="M866" s="123"/>
      <c r="N866" s="123"/>
      <c r="O866" s="123"/>
      <c r="P866" s="123"/>
      <c r="Q866" s="123"/>
      <c r="R866" s="123"/>
      <c r="S866" s="123"/>
      <c r="T866" s="123"/>
      <c r="U866" s="123"/>
      <c r="V866" s="123"/>
    </row>
    <row r="867" spans="1:22" ht="15.75" hidden="1" customHeight="1" x14ac:dyDescent="0.25">
      <c r="A867" s="123"/>
      <c r="B867" s="123"/>
      <c r="C867" s="123"/>
      <c r="D867" s="123"/>
      <c r="E867" s="138"/>
      <c r="F867" s="138"/>
      <c r="G867" s="123"/>
      <c r="H867" s="123"/>
      <c r="I867" s="123"/>
      <c r="J867" s="123"/>
      <c r="K867" s="123"/>
      <c r="L867" s="123"/>
      <c r="M867" s="123"/>
      <c r="N867" s="123"/>
      <c r="O867" s="123"/>
      <c r="P867" s="123"/>
      <c r="Q867" s="123"/>
      <c r="R867" s="123"/>
      <c r="S867" s="123"/>
      <c r="T867" s="123"/>
      <c r="U867" s="123"/>
      <c r="V867" s="123"/>
    </row>
    <row r="868" spans="1:22" ht="15.75" hidden="1" customHeight="1" x14ac:dyDescent="0.25">
      <c r="A868" s="123"/>
      <c r="B868" s="123"/>
      <c r="C868" s="123"/>
      <c r="D868" s="123"/>
      <c r="E868" s="138"/>
      <c r="F868" s="138"/>
      <c r="G868" s="123"/>
      <c r="H868" s="123"/>
      <c r="I868" s="123"/>
      <c r="J868" s="123"/>
      <c r="K868" s="123"/>
      <c r="L868" s="123"/>
      <c r="M868" s="123"/>
      <c r="N868" s="123"/>
      <c r="O868" s="123"/>
      <c r="P868" s="123"/>
      <c r="Q868" s="123"/>
      <c r="R868" s="123"/>
      <c r="S868" s="123"/>
      <c r="T868" s="123"/>
      <c r="U868" s="123"/>
      <c r="V868" s="123"/>
    </row>
    <row r="869" spans="1:22" ht="15.75" hidden="1" customHeight="1" x14ac:dyDescent="0.25">
      <c r="A869" s="123"/>
      <c r="B869" s="123"/>
      <c r="C869" s="123"/>
      <c r="D869" s="123"/>
      <c r="E869" s="138"/>
      <c r="F869" s="138"/>
      <c r="G869" s="123"/>
      <c r="H869" s="123"/>
      <c r="I869" s="123"/>
      <c r="J869" s="123"/>
      <c r="K869" s="123"/>
      <c r="L869" s="123"/>
      <c r="M869" s="123"/>
      <c r="N869" s="123"/>
      <c r="O869" s="123"/>
      <c r="P869" s="123"/>
      <c r="Q869" s="123"/>
      <c r="R869" s="123"/>
      <c r="S869" s="123"/>
      <c r="T869" s="123"/>
      <c r="U869" s="123"/>
      <c r="V869" s="123"/>
    </row>
    <row r="870" spans="1:22" ht="15.75" hidden="1" customHeight="1" x14ac:dyDescent="0.25">
      <c r="A870" s="123"/>
      <c r="B870" s="123"/>
      <c r="C870" s="123"/>
      <c r="D870" s="123"/>
      <c r="E870" s="138"/>
      <c r="F870" s="138"/>
      <c r="G870" s="123"/>
      <c r="H870" s="123"/>
      <c r="I870" s="123"/>
      <c r="J870" s="123"/>
      <c r="K870" s="123"/>
      <c r="L870" s="123"/>
      <c r="M870" s="123"/>
      <c r="N870" s="123"/>
      <c r="O870" s="123"/>
      <c r="P870" s="123"/>
      <c r="Q870" s="123"/>
      <c r="R870" s="123"/>
      <c r="S870" s="123"/>
      <c r="T870" s="123"/>
      <c r="U870" s="123"/>
      <c r="V870" s="123"/>
    </row>
    <row r="871" spans="1:22" ht="15.75" hidden="1" customHeight="1" x14ac:dyDescent="0.25">
      <c r="A871" s="123"/>
      <c r="B871" s="123"/>
      <c r="C871" s="123"/>
      <c r="D871" s="123"/>
      <c r="E871" s="138"/>
      <c r="F871" s="138"/>
      <c r="G871" s="123"/>
      <c r="H871" s="123"/>
      <c r="I871" s="123"/>
      <c r="J871" s="123"/>
      <c r="K871" s="123"/>
      <c r="L871" s="123"/>
      <c r="M871" s="123"/>
      <c r="N871" s="123"/>
      <c r="O871" s="123"/>
      <c r="P871" s="123"/>
      <c r="Q871" s="123"/>
      <c r="R871" s="123"/>
      <c r="S871" s="123"/>
      <c r="T871" s="123"/>
      <c r="U871" s="123"/>
      <c r="V871" s="123"/>
    </row>
    <row r="872" spans="1:22" ht="15.75" hidden="1" customHeight="1" x14ac:dyDescent="0.25">
      <c r="A872" s="123"/>
      <c r="B872" s="123"/>
      <c r="C872" s="123"/>
      <c r="D872" s="123"/>
      <c r="E872" s="138"/>
      <c r="F872" s="138"/>
      <c r="G872" s="123"/>
      <c r="H872" s="123"/>
      <c r="I872" s="123"/>
      <c r="J872" s="123"/>
      <c r="K872" s="123"/>
      <c r="L872" s="123"/>
      <c r="M872" s="123"/>
      <c r="N872" s="123"/>
      <c r="O872" s="123"/>
      <c r="P872" s="123"/>
      <c r="Q872" s="123"/>
      <c r="R872" s="123"/>
      <c r="S872" s="123"/>
      <c r="T872" s="123"/>
      <c r="U872" s="123"/>
      <c r="V872" s="123"/>
    </row>
    <row r="873" spans="1:22" ht="15.75" hidden="1" customHeight="1" x14ac:dyDescent="0.25">
      <c r="A873" s="123"/>
      <c r="B873" s="123"/>
      <c r="C873" s="123"/>
      <c r="D873" s="123"/>
      <c r="E873" s="138"/>
      <c r="F873" s="138"/>
      <c r="G873" s="123"/>
      <c r="H873" s="123"/>
      <c r="I873" s="123"/>
      <c r="J873" s="123"/>
      <c r="K873" s="123"/>
      <c r="L873" s="123"/>
      <c r="M873" s="123"/>
      <c r="N873" s="123"/>
      <c r="O873" s="123"/>
      <c r="P873" s="123"/>
      <c r="Q873" s="123"/>
      <c r="R873" s="123"/>
      <c r="S873" s="123"/>
      <c r="T873" s="123"/>
      <c r="U873" s="123"/>
      <c r="V873" s="123"/>
    </row>
    <row r="874" spans="1:22" ht="15.75" hidden="1" customHeight="1" x14ac:dyDescent="0.25">
      <c r="A874" s="123"/>
      <c r="B874" s="123"/>
      <c r="C874" s="123"/>
      <c r="D874" s="123"/>
      <c r="E874" s="138"/>
      <c r="F874" s="138"/>
      <c r="G874" s="123"/>
      <c r="H874" s="123"/>
      <c r="I874" s="123"/>
      <c r="J874" s="123"/>
      <c r="K874" s="123"/>
      <c r="L874" s="123"/>
      <c r="M874" s="123"/>
      <c r="N874" s="123"/>
      <c r="O874" s="123"/>
      <c r="P874" s="123"/>
      <c r="Q874" s="123"/>
      <c r="R874" s="123"/>
      <c r="S874" s="123"/>
      <c r="T874" s="123"/>
      <c r="U874" s="123"/>
      <c r="V874" s="123"/>
    </row>
    <row r="875" spans="1:22" ht="15.75" hidden="1" customHeight="1" x14ac:dyDescent="0.25">
      <c r="A875" s="123"/>
      <c r="B875" s="123"/>
      <c r="C875" s="123"/>
      <c r="D875" s="123"/>
      <c r="E875" s="138"/>
      <c r="F875" s="138"/>
      <c r="G875" s="123"/>
      <c r="H875" s="123"/>
      <c r="I875" s="123"/>
      <c r="J875" s="123"/>
      <c r="K875" s="123"/>
      <c r="L875" s="123"/>
      <c r="M875" s="123"/>
      <c r="N875" s="123"/>
      <c r="O875" s="123"/>
      <c r="P875" s="123"/>
      <c r="Q875" s="123"/>
      <c r="R875" s="123"/>
      <c r="S875" s="123"/>
      <c r="T875" s="123"/>
      <c r="U875" s="123"/>
      <c r="V875" s="123"/>
    </row>
    <row r="876" spans="1:22" ht="15.75" hidden="1" customHeight="1" x14ac:dyDescent="0.25">
      <c r="A876" s="123"/>
      <c r="B876" s="123"/>
      <c r="C876" s="123"/>
      <c r="D876" s="123"/>
      <c r="E876" s="138"/>
      <c r="F876" s="138"/>
      <c r="G876" s="123"/>
      <c r="H876" s="123"/>
      <c r="I876" s="123"/>
      <c r="J876" s="123"/>
      <c r="K876" s="123"/>
      <c r="L876" s="123"/>
      <c r="M876" s="123"/>
      <c r="N876" s="123"/>
      <c r="O876" s="123"/>
      <c r="P876" s="123"/>
      <c r="Q876" s="123"/>
      <c r="R876" s="123"/>
      <c r="S876" s="123"/>
      <c r="T876" s="123"/>
      <c r="U876" s="123"/>
      <c r="V876" s="123"/>
    </row>
    <row r="877" spans="1:22" ht="15.75" hidden="1" customHeight="1" x14ac:dyDescent="0.25">
      <c r="A877" s="123"/>
      <c r="B877" s="123"/>
      <c r="C877" s="123"/>
      <c r="D877" s="123"/>
      <c r="E877" s="138"/>
      <c r="F877" s="138"/>
      <c r="G877" s="123"/>
      <c r="H877" s="123"/>
      <c r="I877" s="123"/>
      <c r="J877" s="123"/>
      <c r="K877" s="123"/>
      <c r="L877" s="123"/>
      <c r="M877" s="123"/>
      <c r="N877" s="123"/>
      <c r="O877" s="123"/>
      <c r="P877" s="123"/>
      <c r="Q877" s="123"/>
      <c r="R877" s="123"/>
      <c r="S877" s="123"/>
      <c r="T877" s="123"/>
      <c r="U877" s="123"/>
      <c r="V877" s="123"/>
    </row>
    <row r="878" spans="1:22" ht="15.75" hidden="1" customHeight="1" x14ac:dyDescent="0.25">
      <c r="A878" s="123"/>
      <c r="B878" s="123"/>
      <c r="C878" s="123"/>
      <c r="D878" s="123"/>
      <c r="E878" s="138"/>
      <c r="F878" s="138"/>
      <c r="G878" s="123"/>
      <c r="H878" s="123"/>
      <c r="I878" s="123"/>
      <c r="J878" s="123"/>
      <c r="K878" s="123"/>
      <c r="L878" s="123"/>
      <c r="M878" s="123"/>
      <c r="N878" s="123"/>
      <c r="O878" s="123"/>
      <c r="P878" s="123"/>
      <c r="Q878" s="123"/>
      <c r="R878" s="123"/>
      <c r="S878" s="123"/>
      <c r="T878" s="123"/>
      <c r="U878" s="123"/>
      <c r="V878" s="123"/>
    </row>
    <row r="879" spans="1:22" ht="15.75" hidden="1" customHeight="1" x14ac:dyDescent="0.25">
      <c r="A879" s="123"/>
      <c r="B879" s="123"/>
      <c r="C879" s="123"/>
      <c r="D879" s="123"/>
      <c r="E879" s="138"/>
      <c r="F879" s="138"/>
      <c r="G879" s="123"/>
      <c r="H879" s="123"/>
      <c r="I879" s="123"/>
      <c r="J879" s="123"/>
      <c r="K879" s="123"/>
      <c r="L879" s="123"/>
      <c r="M879" s="123"/>
      <c r="N879" s="123"/>
      <c r="O879" s="123"/>
      <c r="P879" s="123"/>
      <c r="Q879" s="123"/>
      <c r="R879" s="123"/>
      <c r="S879" s="123"/>
      <c r="T879" s="123"/>
      <c r="U879" s="123"/>
      <c r="V879" s="123"/>
    </row>
    <row r="880" spans="1:22" ht="15.75" hidden="1" customHeight="1" x14ac:dyDescent="0.25">
      <c r="A880" s="123"/>
      <c r="B880" s="123"/>
      <c r="C880" s="123"/>
      <c r="D880" s="123"/>
      <c r="E880" s="138"/>
      <c r="F880" s="138"/>
      <c r="G880" s="123"/>
      <c r="H880" s="123"/>
      <c r="I880" s="123"/>
      <c r="J880" s="123"/>
      <c r="K880" s="123"/>
      <c r="L880" s="123"/>
      <c r="M880" s="123"/>
      <c r="N880" s="123"/>
      <c r="O880" s="123"/>
      <c r="P880" s="123"/>
      <c r="Q880" s="123"/>
      <c r="R880" s="123"/>
      <c r="S880" s="123"/>
      <c r="T880" s="123"/>
      <c r="U880" s="123"/>
      <c r="V880" s="123"/>
    </row>
    <row r="881" spans="1:22" ht="15.75" hidden="1" customHeight="1" x14ac:dyDescent="0.25">
      <c r="A881" s="123"/>
      <c r="B881" s="123"/>
      <c r="C881" s="123"/>
      <c r="D881" s="123"/>
      <c r="E881" s="138"/>
      <c r="F881" s="138"/>
      <c r="G881" s="123"/>
      <c r="H881" s="123"/>
      <c r="I881" s="123"/>
      <c r="J881" s="123"/>
      <c r="K881" s="123"/>
      <c r="L881" s="123"/>
      <c r="M881" s="123"/>
      <c r="N881" s="123"/>
      <c r="O881" s="123"/>
      <c r="P881" s="123"/>
      <c r="Q881" s="123"/>
      <c r="R881" s="123"/>
      <c r="S881" s="123"/>
      <c r="T881" s="123"/>
      <c r="U881" s="123"/>
      <c r="V881" s="123"/>
    </row>
    <row r="882" spans="1:22" ht="15.75" hidden="1" customHeight="1" x14ac:dyDescent="0.25">
      <c r="A882" s="123"/>
      <c r="B882" s="123"/>
      <c r="C882" s="123"/>
      <c r="D882" s="123"/>
      <c r="E882" s="138"/>
      <c r="F882" s="138"/>
      <c r="G882" s="123"/>
      <c r="H882" s="123"/>
      <c r="I882" s="123"/>
      <c r="J882" s="123"/>
      <c r="K882" s="123"/>
      <c r="L882" s="123"/>
      <c r="M882" s="123"/>
      <c r="N882" s="123"/>
      <c r="O882" s="123"/>
      <c r="P882" s="123"/>
      <c r="Q882" s="123"/>
      <c r="R882" s="123"/>
      <c r="S882" s="123"/>
      <c r="T882" s="123"/>
      <c r="U882" s="123"/>
      <c r="V882" s="123"/>
    </row>
    <row r="883" spans="1:22" ht="15.75" hidden="1" customHeight="1" x14ac:dyDescent="0.25">
      <c r="A883" s="123"/>
      <c r="B883" s="123"/>
      <c r="C883" s="123"/>
      <c r="D883" s="123"/>
      <c r="E883" s="138"/>
      <c r="F883" s="138"/>
      <c r="G883" s="123"/>
      <c r="H883" s="123"/>
      <c r="I883" s="123"/>
      <c r="J883" s="123"/>
      <c r="K883" s="123"/>
      <c r="L883" s="123"/>
      <c r="M883" s="123"/>
      <c r="N883" s="123"/>
      <c r="O883" s="123"/>
      <c r="P883" s="123"/>
      <c r="Q883" s="123"/>
      <c r="R883" s="123"/>
      <c r="S883" s="123"/>
      <c r="T883" s="123"/>
      <c r="U883" s="123"/>
      <c r="V883" s="123"/>
    </row>
    <row r="884" spans="1:22" ht="15.75" hidden="1" customHeight="1" x14ac:dyDescent="0.25">
      <c r="A884" s="123"/>
      <c r="B884" s="123"/>
      <c r="C884" s="123"/>
      <c r="D884" s="123"/>
      <c r="E884" s="138"/>
      <c r="F884" s="138"/>
      <c r="G884" s="123"/>
      <c r="H884" s="123"/>
      <c r="I884" s="123"/>
      <c r="J884" s="123"/>
      <c r="K884" s="123"/>
      <c r="L884" s="123"/>
      <c r="M884" s="123"/>
      <c r="N884" s="123"/>
      <c r="O884" s="123"/>
      <c r="P884" s="123"/>
      <c r="Q884" s="123"/>
      <c r="R884" s="123"/>
      <c r="S884" s="123"/>
      <c r="T884" s="123"/>
      <c r="U884" s="123"/>
      <c r="V884" s="123"/>
    </row>
    <row r="885" spans="1:22" ht="15.75" hidden="1" customHeight="1" x14ac:dyDescent="0.25">
      <c r="A885" s="123"/>
      <c r="B885" s="123"/>
      <c r="C885" s="123"/>
      <c r="D885" s="123"/>
      <c r="E885" s="138"/>
      <c r="F885" s="138"/>
      <c r="G885" s="123"/>
      <c r="H885" s="123"/>
      <c r="I885" s="123"/>
      <c r="J885" s="123"/>
      <c r="K885" s="123"/>
      <c r="L885" s="123"/>
      <c r="M885" s="123"/>
      <c r="N885" s="123"/>
      <c r="O885" s="123"/>
      <c r="P885" s="123"/>
      <c r="Q885" s="123"/>
      <c r="R885" s="123"/>
      <c r="S885" s="123"/>
      <c r="T885" s="123"/>
      <c r="U885" s="123"/>
      <c r="V885" s="123"/>
    </row>
    <row r="886" spans="1:22" ht="15.75" hidden="1" customHeight="1" x14ac:dyDescent="0.25">
      <c r="A886" s="123"/>
      <c r="B886" s="123"/>
      <c r="C886" s="123"/>
      <c r="D886" s="123"/>
      <c r="E886" s="138"/>
      <c r="F886" s="138"/>
      <c r="G886" s="123"/>
      <c r="H886" s="123"/>
      <c r="I886" s="123"/>
      <c r="J886" s="123"/>
      <c r="K886" s="123"/>
      <c r="L886" s="123"/>
      <c r="M886" s="123"/>
      <c r="N886" s="123"/>
      <c r="O886" s="123"/>
      <c r="P886" s="123"/>
      <c r="Q886" s="123"/>
      <c r="R886" s="123"/>
      <c r="S886" s="123"/>
      <c r="T886" s="123"/>
      <c r="U886" s="123"/>
      <c r="V886" s="123"/>
    </row>
    <row r="887" spans="1:22" ht="15.75" hidden="1" customHeight="1" x14ac:dyDescent="0.25">
      <c r="A887" s="123"/>
      <c r="B887" s="123"/>
      <c r="C887" s="123"/>
      <c r="D887" s="123"/>
      <c r="E887" s="138"/>
      <c r="F887" s="138"/>
      <c r="G887" s="123"/>
      <c r="H887" s="123"/>
      <c r="I887" s="123"/>
      <c r="J887" s="123"/>
      <c r="K887" s="123"/>
      <c r="L887" s="123"/>
      <c r="M887" s="123"/>
      <c r="N887" s="123"/>
      <c r="O887" s="123"/>
      <c r="P887" s="123"/>
      <c r="Q887" s="123"/>
      <c r="R887" s="123"/>
      <c r="S887" s="123"/>
      <c r="T887" s="123"/>
      <c r="U887" s="123"/>
      <c r="V887" s="123"/>
    </row>
    <row r="888" spans="1:22" ht="15.75" hidden="1" customHeight="1" x14ac:dyDescent="0.25">
      <c r="A888" s="123"/>
      <c r="B888" s="123"/>
      <c r="C888" s="123"/>
      <c r="D888" s="123"/>
      <c r="E888" s="138"/>
      <c r="F888" s="138"/>
      <c r="G888" s="123"/>
      <c r="H888" s="123"/>
      <c r="I888" s="123"/>
      <c r="J888" s="123"/>
      <c r="K888" s="123"/>
      <c r="L888" s="123"/>
      <c r="M888" s="123"/>
      <c r="N888" s="123"/>
      <c r="O888" s="123"/>
      <c r="P888" s="123"/>
      <c r="Q888" s="123"/>
      <c r="R888" s="123"/>
      <c r="S888" s="123"/>
      <c r="T888" s="123"/>
      <c r="U888" s="123"/>
      <c r="V888" s="123"/>
    </row>
    <row r="889" spans="1:22" ht="15.75" hidden="1" customHeight="1" x14ac:dyDescent="0.25">
      <c r="A889" s="123"/>
      <c r="B889" s="123"/>
      <c r="C889" s="123"/>
      <c r="D889" s="123"/>
      <c r="E889" s="138"/>
      <c r="F889" s="138"/>
      <c r="G889" s="123"/>
      <c r="H889" s="123"/>
      <c r="I889" s="123"/>
      <c r="J889" s="123"/>
      <c r="K889" s="123"/>
      <c r="L889" s="123"/>
      <c r="M889" s="123"/>
      <c r="N889" s="123"/>
      <c r="O889" s="123"/>
      <c r="P889" s="123"/>
      <c r="Q889" s="123"/>
      <c r="R889" s="123"/>
      <c r="S889" s="123"/>
      <c r="T889" s="123"/>
      <c r="U889" s="123"/>
      <c r="V889" s="123"/>
    </row>
    <row r="890" spans="1:22" ht="15.75" hidden="1" customHeight="1" x14ac:dyDescent="0.25">
      <c r="A890" s="123"/>
      <c r="B890" s="123"/>
      <c r="C890" s="123"/>
      <c r="D890" s="123"/>
      <c r="E890" s="138"/>
      <c r="F890" s="138"/>
      <c r="G890" s="123"/>
      <c r="H890" s="123"/>
      <c r="I890" s="123"/>
      <c r="J890" s="123"/>
      <c r="K890" s="123"/>
      <c r="L890" s="123"/>
      <c r="M890" s="123"/>
      <c r="N890" s="123"/>
      <c r="O890" s="123"/>
      <c r="P890" s="123"/>
      <c r="Q890" s="123"/>
      <c r="R890" s="123"/>
      <c r="S890" s="123"/>
      <c r="T890" s="123"/>
      <c r="U890" s="123"/>
      <c r="V890" s="123"/>
    </row>
    <row r="891" spans="1:22" ht="15.75" hidden="1" customHeight="1" x14ac:dyDescent="0.25">
      <c r="A891" s="123"/>
      <c r="B891" s="123"/>
      <c r="C891" s="123"/>
      <c r="D891" s="123"/>
      <c r="E891" s="138"/>
      <c r="F891" s="138"/>
      <c r="G891" s="123"/>
      <c r="H891" s="123"/>
      <c r="I891" s="123"/>
      <c r="J891" s="123"/>
      <c r="K891" s="123"/>
      <c r="L891" s="123"/>
      <c r="M891" s="123"/>
      <c r="N891" s="123"/>
      <c r="O891" s="123"/>
      <c r="P891" s="123"/>
      <c r="Q891" s="123"/>
      <c r="R891" s="123"/>
      <c r="S891" s="123"/>
      <c r="T891" s="123"/>
      <c r="U891" s="123"/>
      <c r="V891" s="123"/>
    </row>
    <row r="892" spans="1:22" ht="15.75" hidden="1" customHeight="1" x14ac:dyDescent="0.25">
      <c r="A892" s="123"/>
      <c r="B892" s="123"/>
      <c r="C892" s="123"/>
      <c r="D892" s="123"/>
      <c r="E892" s="138"/>
      <c r="F892" s="138"/>
      <c r="G892" s="123"/>
      <c r="H892" s="123"/>
      <c r="I892" s="123"/>
      <c r="J892" s="123"/>
      <c r="K892" s="123"/>
      <c r="L892" s="123"/>
      <c r="M892" s="123"/>
      <c r="N892" s="123"/>
      <c r="O892" s="123"/>
      <c r="P892" s="123"/>
      <c r="Q892" s="123"/>
      <c r="R892" s="123"/>
      <c r="S892" s="123"/>
      <c r="T892" s="123"/>
      <c r="U892" s="123"/>
      <c r="V892" s="123"/>
    </row>
    <row r="893" spans="1:22" ht="15.75" hidden="1" customHeight="1" x14ac:dyDescent="0.25">
      <c r="A893" s="123"/>
      <c r="B893" s="123"/>
      <c r="C893" s="123"/>
      <c r="D893" s="123"/>
      <c r="E893" s="138"/>
      <c r="F893" s="138"/>
      <c r="G893" s="123"/>
      <c r="H893" s="123"/>
      <c r="I893" s="123"/>
      <c r="J893" s="123"/>
      <c r="K893" s="123"/>
      <c r="L893" s="123"/>
      <c r="M893" s="123"/>
      <c r="N893" s="123"/>
      <c r="O893" s="123"/>
      <c r="P893" s="123"/>
      <c r="Q893" s="123"/>
      <c r="R893" s="123"/>
      <c r="S893" s="123"/>
      <c r="T893" s="123"/>
      <c r="U893" s="123"/>
      <c r="V893" s="123"/>
    </row>
    <row r="894" spans="1:22" ht="15.75" hidden="1" customHeight="1" x14ac:dyDescent="0.25">
      <c r="A894" s="123"/>
      <c r="B894" s="123"/>
      <c r="C894" s="123"/>
      <c r="D894" s="123"/>
      <c r="E894" s="138"/>
      <c r="F894" s="138"/>
      <c r="G894" s="123"/>
      <c r="H894" s="123"/>
      <c r="I894" s="123"/>
      <c r="J894" s="123"/>
      <c r="K894" s="123"/>
      <c r="L894" s="123"/>
      <c r="M894" s="123"/>
      <c r="N894" s="123"/>
      <c r="O894" s="123"/>
      <c r="P894" s="123"/>
      <c r="Q894" s="123"/>
      <c r="R894" s="123"/>
      <c r="S894" s="123"/>
      <c r="T894" s="123"/>
      <c r="U894" s="123"/>
      <c r="V894" s="123"/>
    </row>
    <row r="895" spans="1:22" ht="15.75" hidden="1" customHeight="1" x14ac:dyDescent="0.25">
      <c r="A895" s="123"/>
      <c r="B895" s="123"/>
      <c r="C895" s="123"/>
      <c r="D895" s="123"/>
      <c r="E895" s="138"/>
      <c r="F895" s="138"/>
      <c r="G895" s="123"/>
      <c r="H895" s="123"/>
      <c r="I895" s="123"/>
      <c r="J895" s="123"/>
      <c r="K895" s="123"/>
      <c r="L895" s="123"/>
      <c r="M895" s="123"/>
      <c r="N895" s="123"/>
      <c r="O895" s="123"/>
      <c r="P895" s="123"/>
      <c r="Q895" s="123"/>
      <c r="R895" s="123"/>
      <c r="S895" s="123"/>
      <c r="T895" s="123"/>
      <c r="U895" s="123"/>
      <c r="V895" s="123"/>
    </row>
    <row r="896" spans="1:22" ht="15.75" hidden="1" customHeight="1" x14ac:dyDescent="0.25">
      <c r="A896" s="123"/>
      <c r="B896" s="123"/>
      <c r="C896" s="123"/>
      <c r="D896" s="123"/>
      <c r="E896" s="138"/>
      <c r="F896" s="138"/>
      <c r="G896" s="123"/>
      <c r="H896" s="123"/>
      <c r="I896" s="123"/>
      <c r="J896" s="123"/>
      <c r="K896" s="123"/>
      <c r="L896" s="123"/>
      <c r="M896" s="123"/>
      <c r="N896" s="123"/>
      <c r="O896" s="123"/>
      <c r="P896" s="123"/>
      <c r="Q896" s="123"/>
      <c r="R896" s="123"/>
      <c r="S896" s="123"/>
      <c r="T896" s="123"/>
      <c r="U896" s="123"/>
      <c r="V896" s="123"/>
    </row>
    <row r="897" spans="1:22" ht="15.75" hidden="1" customHeight="1" x14ac:dyDescent="0.25">
      <c r="A897" s="123"/>
      <c r="B897" s="123"/>
      <c r="C897" s="123"/>
      <c r="D897" s="123"/>
      <c r="E897" s="138"/>
      <c r="F897" s="138"/>
      <c r="G897" s="123"/>
      <c r="H897" s="123"/>
      <c r="I897" s="123"/>
      <c r="J897" s="123"/>
      <c r="K897" s="123"/>
      <c r="L897" s="123"/>
      <c r="M897" s="123"/>
      <c r="N897" s="123"/>
      <c r="O897" s="123"/>
      <c r="P897" s="123"/>
      <c r="Q897" s="123"/>
      <c r="R897" s="123"/>
      <c r="S897" s="123"/>
      <c r="T897" s="123"/>
      <c r="U897" s="123"/>
      <c r="V897" s="123"/>
    </row>
    <row r="898" spans="1:22" ht="15.75" hidden="1" customHeight="1" x14ac:dyDescent="0.25">
      <c r="A898" s="123"/>
      <c r="B898" s="123"/>
      <c r="C898" s="123"/>
      <c r="D898" s="123"/>
      <c r="E898" s="138"/>
      <c r="F898" s="138"/>
      <c r="G898" s="123"/>
      <c r="H898" s="123"/>
      <c r="I898" s="123"/>
      <c r="J898" s="123"/>
      <c r="K898" s="123"/>
      <c r="L898" s="123"/>
      <c r="M898" s="123"/>
      <c r="N898" s="123"/>
      <c r="O898" s="123"/>
      <c r="P898" s="123"/>
      <c r="Q898" s="123"/>
      <c r="R898" s="123"/>
      <c r="S898" s="123"/>
      <c r="T898" s="123"/>
      <c r="U898" s="123"/>
      <c r="V898" s="123"/>
    </row>
    <row r="899" spans="1:22" ht="15.75" hidden="1" customHeight="1" x14ac:dyDescent="0.25">
      <c r="A899" s="123"/>
      <c r="B899" s="123"/>
      <c r="C899" s="123"/>
      <c r="D899" s="123"/>
      <c r="E899" s="138"/>
      <c r="F899" s="138"/>
      <c r="G899" s="123"/>
      <c r="H899" s="123"/>
      <c r="I899" s="123"/>
      <c r="J899" s="123"/>
      <c r="K899" s="123"/>
      <c r="L899" s="123"/>
      <c r="M899" s="123"/>
      <c r="N899" s="123"/>
      <c r="O899" s="123"/>
      <c r="P899" s="123"/>
      <c r="Q899" s="123"/>
      <c r="R899" s="123"/>
      <c r="S899" s="123"/>
      <c r="T899" s="123"/>
      <c r="U899" s="123"/>
      <c r="V899" s="123"/>
    </row>
    <row r="900" spans="1:22" ht="15.75" hidden="1" customHeight="1" x14ac:dyDescent="0.25">
      <c r="A900" s="123"/>
      <c r="B900" s="123"/>
      <c r="C900" s="123"/>
      <c r="D900" s="123"/>
      <c r="E900" s="138"/>
      <c r="F900" s="138"/>
      <c r="G900" s="123"/>
      <c r="H900" s="123"/>
      <c r="I900" s="123"/>
      <c r="J900" s="123"/>
      <c r="K900" s="123"/>
      <c r="L900" s="123"/>
      <c r="M900" s="123"/>
      <c r="N900" s="123"/>
      <c r="O900" s="123"/>
      <c r="P900" s="123"/>
      <c r="Q900" s="123"/>
      <c r="R900" s="123"/>
      <c r="S900" s="123"/>
      <c r="T900" s="123"/>
      <c r="U900" s="123"/>
      <c r="V900" s="123"/>
    </row>
    <row r="901" spans="1:22" ht="15.75" hidden="1" customHeight="1" x14ac:dyDescent="0.25">
      <c r="A901" s="123"/>
      <c r="B901" s="123"/>
      <c r="C901" s="123"/>
      <c r="D901" s="123"/>
      <c r="E901" s="138"/>
      <c r="F901" s="138"/>
      <c r="G901" s="123"/>
      <c r="H901" s="123"/>
      <c r="I901" s="123"/>
      <c r="J901" s="123"/>
      <c r="K901" s="123"/>
      <c r="L901" s="123"/>
      <c r="M901" s="123"/>
      <c r="N901" s="123"/>
      <c r="O901" s="123"/>
      <c r="P901" s="123"/>
      <c r="Q901" s="123"/>
      <c r="R901" s="123"/>
      <c r="S901" s="123"/>
      <c r="T901" s="123"/>
      <c r="U901" s="123"/>
      <c r="V901" s="123"/>
    </row>
    <row r="902" spans="1:22" ht="15.75" hidden="1" customHeight="1" x14ac:dyDescent="0.25">
      <c r="A902" s="123"/>
      <c r="B902" s="123"/>
      <c r="C902" s="123"/>
      <c r="D902" s="123"/>
      <c r="E902" s="138"/>
      <c r="F902" s="138"/>
      <c r="G902" s="123"/>
      <c r="H902" s="123"/>
      <c r="I902" s="123"/>
      <c r="J902" s="123"/>
      <c r="K902" s="123"/>
      <c r="L902" s="123"/>
      <c r="M902" s="123"/>
      <c r="N902" s="123"/>
      <c r="O902" s="123"/>
      <c r="P902" s="123"/>
      <c r="Q902" s="123"/>
      <c r="R902" s="123"/>
      <c r="S902" s="123"/>
      <c r="T902" s="123"/>
      <c r="U902" s="123"/>
      <c r="V902" s="123"/>
    </row>
    <row r="903" spans="1:22" ht="15.75" hidden="1" customHeight="1" x14ac:dyDescent="0.25">
      <c r="A903" s="123"/>
      <c r="B903" s="123"/>
      <c r="C903" s="123"/>
      <c r="D903" s="123"/>
      <c r="E903" s="138"/>
      <c r="F903" s="138"/>
      <c r="G903" s="123"/>
      <c r="H903" s="123"/>
      <c r="I903" s="123"/>
      <c r="J903" s="123"/>
      <c r="K903" s="123"/>
      <c r="L903" s="123"/>
      <c r="M903" s="123"/>
      <c r="N903" s="123"/>
      <c r="O903" s="123"/>
      <c r="P903" s="123"/>
      <c r="Q903" s="123"/>
      <c r="R903" s="123"/>
      <c r="S903" s="123"/>
      <c r="T903" s="123"/>
      <c r="U903" s="123"/>
      <c r="V903" s="123"/>
    </row>
    <row r="904" spans="1:22" ht="15.75" hidden="1" customHeight="1" x14ac:dyDescent="0.25">
      <c r="A904" s="123"/>
      <c r="B904" s="123"/>
      <c r="C904" s="123"/>
      <c r="D904" s="123"/>
      <c r="E904" s="138"/>
      <c r="F904" s="138"/>
      <c r="G904" s="123"/>
      <c r="H904" s="123"/>
      <c r="I904" s="123"/>
      <c r="J904" s="123"/>
      <c r="K904" s="123"/>
      <c r="L904" s="123"/>
      <c r="M904" s="123"/>
      <c r="N904" s="123"/>
      <c r="O904" s="123"/>
      <c r="P904" s="123"/>
      <c r="Q904" s="123"/>
      <c r="R904" s="123"/>
      <c r="S904" s="123"/>
      <c r="T904" s="123"/>
      <c r="U904" s="123"/>
      <c r="V904" s="123"/>
    </row>
    <row r="905" spans="1:22" ht="15.75" hidden="1" customHeight="1" x14ac:dyDescent="0.25">
      <c r="A905" s="123"/>
      <c r="B905" s="123"/>
      <c r="C905" s="123"/>
      <c r="D905" s="123"/>
      <c r="E905" s="138"/>
      <c r="F905" s="138"/>
      <c r="G905" s="123"/>
      <c r="H905" s="123"/>
      <c r="I905" s="123"/>
      <c r="J905" s="123"/>
      <c r="K905" s="123"/>
      <c r="L905" s="123"/>
      <c r="M905" s="123"/>
      <c r="N905" s="123"/>
      <c r="O905" s="123"/>
      <c r="P905" s="123"/>
      <c r="Q905" s="123"/>
      <c r="R905" s="123"/>
      <c r="S905" s="123"/>
      <c r="T905" s="123"/>
      <c r="U905" s="123"/>
      <c r="V905" s="123"/>
    </row>
    <row r="906" spans="1:22" ht="15.75" hidden="1" customHeight="1" x14ac:dyDescent="0.25">
      <c r="A906" s="123"/>
      <c r="B906" s="123"/>
      <c r="C906" s="123"/>
      <c r="D906" s="123"/>
      <c r="E906" s="138"/>
      <c r="F906" s="138"/>
      <c r="G906" s="123"/>
      <c r="H906" s="123"/>
      <c r="I906" s="123"/>
      <c r="J906" s="123"/>
      <c r="K906" s="123"/>
      <c r="L906" s="123"/>
      <c r="M906" s="123"/>
      <c r="N906" s="123"/>
      <c r="O906" s="123"/>
      <c r="P906" s="123"/>
      <c r="Q906" s="123"/>
      <c r="R906" s="123"/>
      <c r="S906" s="123"/>
      <c r="T906" s="123"/>
      <c r="U906" s="123"/>
      <c r="V906" s="123"/>
    </row>
    <row r="907" spans="1:22" ht="15.75" hidden="1" customHeight="1" x14ac:dyDescent="0.25">
      <c r="A907" s="123"/>
      <c r="B907" s="123"/>
      <c r="C907" s="123"/>
      <c r="D907" s="123"/>
      <c r="E907" s="138"/>
      <c r="F907" s="138"/>
      <c r="G907" s="123"/>
      <c r="H907" s="123"/>
      <c r="I907" s="123"/>
      <c r="J907" s="123"/>
      <c r="K907" s="123"/>
      <c r="L907" s="123"/>
      <c r="M907" s="123"/>
      <c r="N907" s="123"/>
      <c r="O907" s="123"/>
      <c r="P907" s="123"/>
      <c r="Q907" s="123"/>
      <c r="R907" s="123"/>
      <c r="S907" s="123"/>
      <c r="T907" s="123"/>
      <c r="U907" s="123"/>
      <c r="V907" s="123"/>
    </row>
    <row r="908" spans="1:22" ht="15.75" hidden="1" customHeight="1" x14ac:dyDescent="0.25">
      <c r="A908" s="123"/>
      <c r="B908" s="123"/>
      <c r="C908" s="123"/>
      <c r="D908" s="123"/>
      <c r="E908" s="138"/>
      <c r="F908" s="138"/>
      <c r="G908" s="123"/>
      <c r="H908" s="123"/>
      <c r="I908" s="123"/>
      <c r="J908" s="123"/>
      <c r="K908" s="123"/>
      <c r="L908" s="123"/>
      <c r="M908" s="123"/>
      <c r="N908" s="123"/>
      <c r="O908" s="123"/>
      <c r="P908" s="123"/>
      <c r="Q908" s="123"/>
      <c r="R908" s="123"/>
      <c r="S908" s="123"/>
      <c r="T908" s="123"/>
      <c r="U908" s="123"/>
      <c r="V908" s="123"/>
    </row>
    <row r="909" spans="1:22" ht="15.75" hidden="1" customHeight="1" x14ac:dyDescent="0.25">
      <c r="A909" s="123"/>
      <c r="B909" s="123"/>
      <c r="C909" s="123"/>
      <c r="D909" s="123"/>
      <c r="E909" s="138"/>
      <c r="F909" s="138"/>
      <c r="G909" s="123"/>
      <c r="H909" s="123"/>
      <c r="I909" s="123"/>
      <c r="J909" s="123"/>
      <c r="K909" s="123"/>
      <c r="L909" s="123"/>
      <c r="M909" s="123"/>
      <c r="N909" s="123"/>
      <c r="O909" s="123"/>
      <c r="P909" s="123"/>
      <c r="Q909" s="123"/>
      <c r="R909" s="123"/>
      <c r="S909" s="123"/>
      <c r="T909" s="123"/>
      <c r="U909" s="123"/>
      <c r="V909" s="123"/>
    </row>
    <row r="910" spans="1:22" ht="15.75" hidden="1" customHeight="1" x14ac:dyDescent="0.25">
      <c r="A910" s="123"/>
      <c r="B910" s="123"/>
      <c r="C910" s="123"/>
      <c r="D910" s="123"/>
      <c r="E910" s="138"/>
      <c r="F910" s="138"/>
      <c r="G910" s="123"/>
      <c r="H910" s="123"/>
      <c r="I910" s="123"/>
      <c r="J910" s="123"/>
      <c r="K910" s="123"/>
      <c r="L910" s="123"/>
      <c r="M910" s="123"/>
      <c r="N910" s="123"/>
      <c r="O910" s="123"/>
      <c r="P910" s="123"/>
      <c r="Q910" s="123"/>
      <c r="R910" s="123"/>
      <c r="S910" s="123"/>
      <c r="T910" s="123"/>
      <c r="U910" s="123"/>
      <c r="V910" s="123"/>
    </row>
    <row r="911" spans="1:22" ht="15.75" hidden="1" customHeight="1" x14ac:dyDescent="0.25">
      <c r="A911" s="123"/>
      <c r="B911" s="123"/>
      <c r="C911" s="123"/>
      <c r="D911" s="123"/>
      <c r="E911" s="138"/>
      <c r="F911" s="138"/>
      <c r="G911" s="123"/>
      <c r="H911" s="123"/>
      <c r="I911" s="123"/>
      <c r="J911" s="123"/>
      <c r="K911" s="123"/>
      <c r="L911" s="123"/>
      <c r="M911" s="123"/>
      <c r="N911" s="123"/>
      <c r="O911" s="123"/>
      <c r="P911" s="123"/>
      <c r="Q911" s="123"/>
      <c r="R911" s="123"/>
      <c r="S911" s="123"/>
      <c r="T911" s="123"/>
      <c r="U911" s="123"/>
      <c r="V911" s="123"/>
    </row>
    <row r="912" spans="1:22" ht="15.75" hidden="1" customHeight="1" x14ac:dyDescent="0.25">
      <c r="A912" s="123"/>
      <c r="B912" s="123"/>
      <c r="C912" s="123"/>
      <c r="D912" s="123"/>
      <c r="E912" s="138"/>
      <c r="F912" s="138"/>
      <c r="G912" s="123"/>
      <c r="H912" s="123"/>
      <c r="I912" s="123"/>
      <c r="J912" s="123"/>
      <c r="K912" s="123"/>
      <c r="L912" s="123"/>
      <c r="M912" s="123"/>
      <c r="N912" s="123"/>
      <c r="O912" s="123"/>
      <c r="P912" s="123"/>
      <c r="Q912" s="123"/>
      <c r="R912" s="123"/>
      <c r="S912" s="123"/>
      <c r="T912" s="123"/>
      <c r="U912" s="123"/>
      <c r="V912" s="123"/>
    </row>
    <row r="913" spans="1:22" ht="15.75" hidden="1" customHeight="1" x14ac:dyDescent="0.25">
      <c r="A913" s="123"/>
      <c r="B913" s="123"/>
      <c r="C913" s="123"/>
      <c r="D913" s="123"/>
      <c r="E913" s="138"/>
      <c r="F913" s="138"/>
      <c r="G913" s="123"/>
      <c r="H913" s="123"/>
      <c r="I913" s="123"/>
      <c r="J913" s="123"/>
      <c r="K913" s="123"/>
      <c r="L913" s="123"/>
      <c r="M913" s="123"/>
      <c r="N913" s="123"/>
      <c r="O913" s="123"/>
      <c r="P913" s="123"/>
      <c r="Q913" s="123"/>
      <c r="R913" s="123"/>
      <c r="S913" s="123"/>
      <c r="T913" s="123"/>
      <c r="U913" s="123"/>
      <c r="V913" s="123"/>
    </row>
    <row r="914" spans="1:22" ht="15.75" hidden="1" customHeight="1" x14ac:dyDescent="0.25">
      <c r="A914" s="123"/>
      <c r="B914" s="123"/>
      <c r="C914" s="123"/>
      <c r="D914" s="123"/>
      <c r="E914" s="138"/>
      <c r="F914" s="138"/>
      <c r="G914" s="123"/>
      <c r="H914" s="123"/>
      <c r="I914" s="123"/>
      <c r="J914" s="123"/>
      <c r="K914" s="123"/>
      <c r="L914" s="123"/>
      <c r="M914" s="123"/>
      <c r="N914" s="123"/>
      <c r="O914" s="123"/>
      <c r="P914" s="123"/>
      <c r="Q914" s="123"/>
      <c r="R914" s="123"/>
      <c r="S914" s="123"/>
      <c r="T914" s="123"/>
      <c r="U914" s="123"/>
      <c r="V914" s="123"/>
    </row>
    <row r="915" spans="1:22" ht="15.75" hidden="1" customHeight="1" x14ac:dyDescent="0.25">
      <c r="A915" s="123"/>
      <c r="B915" s="123"/>
      <c r="C915" s="123"/>
      <c r="D915" s="123"/>
      <c r="E915" s="138"/>
      <c r="F915" s="138"/>
      <c r="G915" s="123"/>
      <c r="H915" s="123"/>
      <c r="I915" s="123"/>
      <c r="J915" s="123"/>
      <c r="K915" s="123"/>
      <c r="L915" s="123"/>
      <c r="M915" s="123"/>
      <c r="N915" s="123"/>
      <c r="O915" s="123"/>
      <c r="P915" s="123"/>
      <c r="Q915" s="123"/>
      <c r="R915" s="123"/>
      <c r="S915" s="123"/>
      <c r="T915" s="123"/>
      <c r="U915" s="123"/>
      <c r="V915" s="123"/>
    </row>
    <row r="916" spans="1:22" ht="15.75" hidden="1" customHeight="1" x14ac:dyDescent="0.25">
      <c r="A916" s="123"/>
      <c r="B916" s="123"/>
      <c r="C916" s="123"/>
      <c r="D916" s="123"/>
      <c r="E916" s="138"/>
      <c r="F916" s="138"/>
      <c r="G916" s="123"/>
      <c r="H916" s="123"/>
      <c r="I916" s="123"/>
      <c r="J916" s="123"/>
      <c r="K916" s="123"/>
      <c r="L916" s="123"/>
      <c r="M916" s="123"/>
      <c r="N916" s="123"/>
      <c r="O916" s="123"/>
      <c r="P916" s="123"/>
      <c r="Q916" s="123"/>
      <c r="R916" s="123"/>
      <c r="S916" s="123"/>
      <c r="T916" s="123"/>
      <c r="U916" s="123"/>
      <c r="V916" s="123"/>
    </row>
    <row r="917" spans="1:22" ht="15.75" hidden="1" customHeight="1" x14ac:dyDescent="0.25">
      <c r="A917" s="123"/>
      <c r="B917" s="123"/>
      <c r="C917" s="123"/>
      <c r="D917" s="123"/>
      <c r="E917" s="138"/>
      <c r="F917" s="138"/>
      <c r="G917" s="123"/>
      <c r="H917" s="123"/>
      <c r="I917" s="123"/>
      <c r="J917" s="123"/>
      <c r="K917" s="123"/>
      <c r="L917" s="123"/>
      <c r="M917" s="123"/>
      <c r="N917" s="123"/>
      <c r="O917" s="123"/>
      <c r="P917" s="123"/>
      <c r="Q917" s="123"/>
      <c r="R917" s="123"/>
      <c r="S917" s="123"/>
      <c r="T917" s="123"/>
      <c r="U917" s="123"/>
      <c r="V917" s="123"/>
    </row>
    <row r="918" spans="1:22" ht="15.75" hidden="1" customHeight="1" x14ac:dyDescent="0.25">
      <c r="A918" s="123"/>
      <c r="B918" s="123"/>
      <c r="C918" s="123"/>
      <c r="D918" s="123"/>
      <c r="E918" s="138"/>
      <c r="F918" s="138"/>
      <c r="G918" s="123"/>
      <c r="H918" s="123"/>
      <c r="I918" s="123"/>
      <c r="J918" s="123"/>
      <c r="K918" s="123"/>
      <c r="L918" s="123"/>
      <c r="M918" s="123"/>
      <c r="N918" s="123"/>
      <c r="O918" s="123"/>
      <c r="P918" s="123"/>
      <c r="Q918" s="123"/>
      <c r="R918" s="123"/>
      <c r="S918" s="123"/>
      <c r="T918" s="123"/>
      <c r="U918" s="123"/>
      <c r="V918" s="123"/>
    </row>
    <row r="919" spans="1:22" ht="15.75" hidden="1" customHeight="1" x14ac:dyDescent="0.25">
      <c r="A919" s="123"/>
      <c r="B919" s="123"/>
      <c r="C919" s="123"/>
      <c r="D919" s="123"/>
      <c r="E919" s="138"/>
      <c r="F919" s="138"/>
      <c r="G919" s="123"/>
      <c r="H919" s="123"/>
      <c r="I919" s="123"/>
      <c r="J919" s="123"/>
      <c r="K919" s="123"/>
      <c r="L919" s="123"/>
      <c r="M919" s="123"/>
      <c r="N919" s="123"/>
      <c r="O919" s="123"/>
      <c r="P919" s="123"/>
      <c r="Q919" s="123"/>
      <c r="R919" s="123"/>
      <c r="S919" s="123"/>
      <c r="T919" s="123"/>
      <c r="U919" s="123"/>
      <c r="V919" s="123"/>
    </row>
    <row r="920" spans="1:22" ht="15.75" hidden="1" customHeight="1" x14ac:dyDescent="0.25">
      <c r="A920" s="123"/>
      <c r="B920" s="123"/>
      <c r="C920" s="123"/>
      <c r="D920" s="123"/>
      <c r="E920" s="138"/>
      <c r="F920" s="138"/>
      <c r="G920" s="123"/>
      <c r="H920" s="123"/>
      <c r="I920" s="123"/>
      <c r="J920" s="123"/>
      <c r="K920" s="123"/>
      <c r="L920" s="123"/>
      <c r="M920" s="123"/>
      <c r="N920" s="123"/>
      <c r="O920" s="123"/>
      <c r="P920" s="123"/>
      <c r="Q920" s="123"/>
      <c r="R920" s="123"/>
      <c r="S920" s="123"/>
      <c r="T920" s="123"/>
      <c r="U920" s="123"/>
      <c r="V920" s="123"/>
    </row>
    <row r="921" spans="1:22" ht="15.75" hidden="1" customHeight="1" x14ac:dyDescent="0.25">
      <c r="A921" s="123"/>
      <c r="B921" s="123"/>
      <c r="C921" s="123"/>
      <c r="D921" s="123"/>
      <c r="E921" s="138"/>
      <c r="F921" s="138"/>
      <c r="G921" s="123"/>
      <c r="H921" s="123"/>
      <c r="I921" s="123"/>
      <c r="J921" s="123"/>
      <c r="K921" s="123"/>
      <c r="L921" s="123"/>
      <c r="M921" s="123"/>
      <c r="N921" s="123"/>
      <c r="O921" s="123"/>
      <c r="P921" s="123"/>
      <c r="Q921" s="123"/>
      <c r="R921" s="123"/>
      <c r="S921" s="123"/>
      <c r="T921" s="123"/>
      <c r="U921" s="123"/>
      <c r="V921" s="123"/>
    </row>
    <row r="922" spans="1:22" ht="15.75" hidden="1" customHeight="1" x14ac:dyDescent="0.25">
      <c r="A922" s="123"/>
      <c r="B922" s="123"/>
      <c r="C922" s="123"/>
      <c r="D922" s="123"/>
      <c r="E922" s="138"/>
      <c r="F922" s="138"/>
      <c r="G922" s="123"/>
      <c r="H922" s="123"/>
      <c r="I922" s="123"/>
      <c r="J922" s="123"/>
      <c r="K922" s="123"/>
      <c r="L922" s="123"/>
      <c r="M922" s="123"/>
      <c r="N922" s="123"/>
      <c r="O922" s="123"/>
      <c r="P922" s="123"/>
      <c r="Q922" s="123"/>
      <c r="R922" s="123"/>
      <c r="S922" s="123"/>
      <c r="T922" s="123"/>
      <c r="U922" s="123"/>
      <c r="V922" s="123"/>
    </row>
    <row r="923" spans="1:22" ht="15.75" hidden="1" customHeight="1" x14ac:dyDescent="0.25">
      <c r="A923" s="123"/>
      <c r="B923" s="123"/>
      <c r="C923" s="123"/>
      <c r="D923" s="123"/>
      <c r="E923" s="138"/>
      <c r="F923" s="138"/>
      <c r="G923" s="123"/>
      <c r="H923" s="123"/>
      <c r="I923" s="123"/>
      <c r="J923" s="123"/>
      <c r="K923" s="123"/>
      <c r="L923" s="123"/>
      <c r="M923" s="123"/>
      <c r="N923" s="123"/>
      <c r="O923" s="123"/>
      <c r="P923" s="123"/>
      <c r="Q923" s="123"/>
      <c r="R923" s="123"/>
      <c r="S923" s="123"/>
      <c r="T923" s="123"/>
      <c r="U923" s="123"/>
      <c r="V923" s="123"/>
    </row>
    <row r="924" spans="1:22" ht="15.75" hidden="1" customHeight="1" x14ac:dyDescent="0.25">
      <c r="A924" s="123"/>
      <c r="B924" s="123"/>
      <c r="C924" s="123"/>
      <c r="D924" s="123"/>
      <c r="E924" s="138"/>
      <c r="F924" s="138"/>
      <c r="G924" s="123"/>
      <c r="H924" s="123"/>
      <c r="I924" s="123"/>
      <c r="J924" s="123"/>
      <c r="K924" s="123"/>
      <c r="L924" s="123"/>
      <c r="M924" s="123"/>
      <c r="N924" s="123"/>
      <c r="O924" s="123"/>
      <c r="P924" s="123"/>
      <c r="Q924" s="123"/>
      <c r="R924" s="123"/>
      <c r="S924" s="123"/>
      <c r="T924" s="123"/>
      <c r="U924" s="123"/>
      <c r="V924" s="123"/>
    </row>
    <row r="925" spans="1:22" ht="15.75" hidden="1" customHeight="1" x14ac:dyDescent="0.25">
      <c r="A925" s="123"/>
      <c r="B925" s="123"/>
      <c r="C925" s="123"/>
      <c r="D925" s="123"/>
      <c r="E925" s="138"/>
      <c r="F925" s="138"/>
      <c r="G925" s="123"/>
      <c r="H925" s="123"/>
      <c r="I925" s="123"/>
      <c r="J925" s="123"/>
      <c r="K925" s="123"/>
      <c r="L925" s="123"/>
      <c r="M925" s="123"/>
      <c r="N925" s="123"/>
      <c r="O925" s="123"/>
      <c r="P925" s="123"/>
      <c r="Q925" s="123"/>
      <c r="R925" s="123"/>
      <c r="S925" s="123"/>
      <c r="T925" s="123"/>
      <c r="U925" s="123"/>
      <c r="V925" s="123"/>
    </row>
    <row r="926" spans="1:22" ht="15.75" hidden="1" customHeight="1" x14ac:dyDescent="0.25">
      <c r="A926" s="123"/>
      <c r="B926" s="123"/>
      <c r="C926" s="123"/>
      <c r="D926" s="123"/>
      <c r="E926" s="138"/>
      <c r="F926" s="138"/>
      <c r="G926" s="123"/>
      <c r="H926" s="123"/>
      <c r="I926" s="123"/>
      <c r="J926" s="123"/>
      <c r="K926" s="123"/>
      <c r="L926" s="123"/>
      <c r="M926" s="123"/>
      <c r="N926" s="123"/>
      <c r="O926" s="123"/>
      <c r="P926" s="123"/>
      <c r="Q926" s="123"/>
      <c r="R926" s="123"/>
      <c r="S926" s="123"/>
      <c r="T926" s="123"/>
      <c r="U926" s="123"/>
      <c r="V926" s="123"/>
    </row>
    <row r="927" spans="1:22" ht="15.75" hidden="1" customHeight="1" x14ac:dyDescent="0.25">
      <c r="A927" s="123"/>
      <c r="B927" s="123"/>
      <c r="C927" s="123"/>
      <c r="D927" s="123"/>
      <c r="E927" s="138"/>
      <c r="F927" s="138"/>
      <c r="G927" s="123"/>
      <c r="H927" s="123"/>
      <c r="I927" s="123"/>
      <c r="J927" s="123"/>
      <c r="K927" s="123"/>
      <c r="L927" s="123"/>
      <c r="M927" s="123"/>
      <c r="N927" s="123"/>
      <c r="O927" s="123"/>
      <c r="P927" s="123"/>
      <c r="Q927" s="123"/>
      <c r="R927" s="123"/>
      <c r="S927" s="123"/>
      <c r="T927" s="123"/>
      <c r="U927" s="123"/>
      <c r="V927" s="123"/>
    </row>
    <row r="928" spans="1:22" ht="15.75" hidden="1" customHeight="1" x14ac:dyDescent="0.25">
      <c r="A928" s="123"/>
      <c r="B928" s="123"/>
      <c r="C928" s="123"/>
      <c r="D928" s="123"/>
      <c r="E928" s="138"/>
      <c r="F928" s="138"/>
      <c r="G928" s="123"/>
      <c r="H928" s="123"/>
      <c r="I928" s="123"/>
      <c r="J928" s="123"/>
      <c r="K928" s="123"/>
      <c r="L928" s="123"/>
      <c r="M928" s="123"/>
      <c r="N928" s="123"/>
      <c r="O928" s="123"/>
      <c r="P928" s="123"/>
      <c r="Q928" s="123"/>
      <c r="R928" s="123"/>
      <c r="S928" s="123"/>
      <c r="T928" s="123"/>
      <c r="U928" s="123"/>
      <c r="V928" s="123"/>
    </row>
    <row r="929" spans="1:22" ht="15.75" hidden="1" customHeight="1" x14ac:dyDescent="0.25">
      <c r="A929" s="123"/>
      <c r="B929" s="123"/>
      <c r="C929" s="123"/>
      <c r="D929" s="123"/>
      <c r="E929" s="138"/>
      <c r="F929" s="138"/>
      <c r="G929" s="123"/>
      <c r="H929" s="123"/>
      <c r="I929" s="123"/>
      <c r="J929" s="123"/>
      <c r="K929" s="123"/>
      <c r="L929" s="123"/>
      <c r="M929" s="123"/>
      <c r="N929" s="123"/>
      <c r="O929" s="123"/>
      <c r="P929" s="123"/>
      <c r="Q929" s="123"/>
      <c r="R929" s="123"/>
      <c r="S929" s="123"/>
      <c r="T929" s="123"/>
      <c r="U929" s="123"/>
      <c r="V929" s="123"/>
    </row>
    <row r="930" spans="1:22" ht="15.75" hidden="1" customHeight="1" x14ac:dyDescent="0.25">
      <c r="A930" s="123"/>
      <c r="B930" s="123"/>
      <c r="C930" s="123"/>
      <c r="D930" s="123"/>
      <c r="E930" s="138"/>
      <c r="F930" s="138"/>
      <c r="G930" s="123"/>
      <c r="H930" s="123"/>
      <c r="I930" s="123"/>
      <c r="J930" s="123"/>
      <c r="K930" s="123"/>
      <c r="L930" s="123"/>
      <c r="M930" s="123"/>
      <c r="N930" s="123"/>
      <c r="O930" s="123"/>
      <c r="P930" s="123"/>
      <c r="Q930" s="123"/>
      <c r="R930" s="123"/>
      <c r="S930" s="123"/>
      <c r="T930" s="123"/>
      <c r="U930" s="123"/>
      <c r="V930" s="123"/>
    </row>
    <row r="931" spans="1:22" ht="15.75" hidden="1" customHeight="1" x14ac:dyDescent="0.25">
      <c r="A931" s="123"/>
      <c r="B931" s="123"/>
      <c r="C931" s="123"/>
      <c r="D931" s="123"/>
      <c r="E931" s="138"/>
      <c r="F931" s="138"/>
      <c r="G931" s="123"/>
      <c r="H931" s="123"/>
      <c r="I931" s="123"/>
      <c r="J931" s="123"/>
      <c r="K931" s="123"/>
      <c r="L931" s="123"/>
      <c r="M931" s="123"/>
      <c r="N931" s="123"/>
      <c r="O931" s="123"/>
      <c r="P931" s="123"/>
      <c r="Q931" s="123"/>
      <c r="R931" s="123"/>
      <c r="S931" s="123"/>
      <c r="T931" s="123"/>
      <c r="U931" s="123"/>
      <c r="V931" s="123"/>
    </row>
    <row r="932" spans="1:22" ht="15.75" hidden="1" customHeight="1" x14ac:dyDescent="0.25">
      <c r="A932" s="123"/>
      <c r="B932" s="123"/>
      <c r="C932" s="123"/>
      <c r="D932" s="123"/>
      <c r="E932" s="138"/>
      <c r="F932" s="138"/>
      <c r="G932" s="123"/>
      <c r="H932" s="123"/>
      <c r="I932" s="123"/>
      <c r="J932" s="123"/>
      <c r="K932" s="123"/>
      <c r="L932" s="123"/>
      <c r="M932" s="123"/>
      <c r="N932" s="123"/>
      <c r="O932" s="123"/>
      <c r="P932" s="123"/>
      <c r="Q932" s="123"/>
      <c r="R932" s="123"/>
      <c r="S932" s="123"/>
      <c r="T932" s="123"/>
      <c r="U932" s="123"/>
      <c r="V932" s="123"/>
    </row>
    <row r="933" spans="1:22" ht="15.75" hidden="1" customHeight="1" x14ac:dyDescent="0.25">
      <c r="A933" s="123"/>
      <c r="B933" s="123"/>
      <c r="C933" s="123"/>
      <c r="D933" s="123"/>
      <c r="E933" s="138"/>
      <c r="F933" s="138"/>
      <c r="G933" s="123"/>
      <c r="H933" s="123"/>
      <c r="I933" s="123"/>
      <c r="J933" s="123"/>
      <c r="K933" s="123"/>
      <c r="L933" s="123"/>
      <c r="M933" s="123"/>
      <c r="N933" s="123"/>
      <c r="O933" s="123"/>
      <c r="P933" s="123"/>
      <c r="Q933" s="123"/>
      <c r="R933" s="123"/>
      <c r="S933" s="123"/>
      <c r="T933" s="123"/>
      <c r="U933" s="123"/>
      <c r="V933" s="123"/>
    </row>
    <row r="934" spans="1:22" ht="15.75" hidden="1" customHeight="1" x14ac:dyDescent="0.25">
      <c r="A934" s="123"/>
      <c r="B934" s="123"/>
      <c r="C934" s="123"/>
      <c r="D934" s="123"/>
      <c r="E934" s="138"/>
      <c r="F934" s="138"/>
      <c r="G934" s="123"/>
      <c r="H934" s="123"/>
      <c r="I934" s="123"/>
      <c r="J934" s="123"/>
      <c r="K934" s="123"/>
      <c r="L934" s="123"/>
      <c r="M934" s="123"/>
      <c r="N934" s="123"/>
      <c r="O934" s="123"/>
      <c r="P934" s="123"/>
      <c r="Q934" s="123"/>
      <c r="R934" s="123"/>
      <c r="S934" s="123"/>
      <c r="T934" s="123"/>
      <c r="U934" s="123"/>
      <c r="V934" s="123"/>
    </row>
    <row r="935" spans="1:22" ht="15.75" hidden="1" customHeight="1" x14ac:dyDescent="0.25">
      <c r="A935" s="123"/>
      <c r="B935" s="123"/>
      <c r="C935" s="123"/>
      <c r="D935" s="123"/>
      <c r="E935" s="138"/>
      <c r="F935" s="138"/>
      <c r="G935" s="123"/>
      <c r="H935" s="123"/>
      <c r="I935" s="123"/>
      <c r="J935" s="123"/>
      <c r="K935" s="123"/>
      <c r="L935" s="123"/>
      <c r="M935" s="123"/>
      <c r="N935" s="123"/>
      <c r="O935" s="123"/>
      <c r="P935" s="123"/>
      <c r="Q935" s="123"/>
      <c r="R935" s="123"/>
      <c r="S935" s="123"/>
      <c r="T935" s="123"/>
      <c r="U935" s="123"/>
      <c r="V935" s="123"/>
    </row>
    <row r="936" spans="1:22" ht="15.75" hidden="1" customHeight="1" x14ac:dyDescent="0.25">
      <c r="A936" s="123"/>
      <c r="B936" s="123"/>
      <c r="C936" s="123"/>
      <c r="D936" s="123"/>
      <c r="E936" s="138"/>
      <c r="F936" s="138"/>
      <c r="G936" s="123"/>
      <c r="H936" s="123"/>
      <c r="I936" s="123"/>
      <c r="J936" s="123"/>
      <c r="K936" s="123"/>
      <c r="L936" s="123"/>
      <c r="M936" s="123"/>
      <c r="N936" s="123"/>
      <c r="O936" s="123"/>
      <c r="P936" s="123"/>
      <c r="Q936" s="123"/>
      <c r="R936" s="123"/>
      <c r="S936" s="123"/>
      <c r="T936" s="123"/>
      <c r="U936" s="123"/>
      <c r="V936" s="123"/>
    </row>
    <row r="937" spans="1:22" ht="15.75" hidden="1" customHeight="1" x14ac:dyDescent="0.25">
      <c r="A937" s="123"/>
      <c r="B937" s="123"/>
      <c r="C937" s="123"/>
      <c r="D937" s="123"/>
      <c r="E937" s="138"/>
      <c r="F937" s="138"/>
      <c r="G937" s="123"/>
      <c r="H937" s="123"/>
      <c r="I937" s="123"/>
      <c r="J937" s="123"/>
      <c r="K937" s="123"/>
      <c r="L937" s="123"/>
      <c r="M937" s="123"/>
      <c r="N937" s="123"/>
      <c r="O937" s="123"/>
      <c r="P937" s="123"/>
      <c r="Q937" s="123"/>
      <c r="R937" s="123"/>
      <c r="S937" s="123"/>
      <c r="T937" s="123"/>
      <c r="U937" s="123"/>
      <c r="V937" s="123"/>
    </row>
    <row r="938" spans="1:22" ht="15.75" hidden="1" customHeight="1" x14ac:dyDescent="0.25">
      <c r="A938" s="123"/>
      <c r="B938" s="123"/>
      <c r="C938" s="123"/>
      <c r="D938" s="123"/>
      <c r="E938" s="138"/>
      <c r="F938" s="138"/>
      <c r="G938" s="123"/>
      <c r="H938" s="123"/>
      <c r="I938" s="123"/>
      <c r="J938" s="123"/>
      <c r="K938" s="123"/>
      <c r="L938" s="123"/>
      <c r="M938" s="123"/>
      <c r="N938" s="123"/>
      <c r="O938" s="123"/>
      <c r="P938" s="123"/>
      <c r="Q938" s="123"/>
      <c r="R938" s="123"/>
      <c r="S938" s="123"/>
      <c r="T938" s="123"/>
      <c r="U938" s="123"/>
      <c r="V938" s="123"/>
    </row>
    <row r="939" spans="1:22" ht="15.75" hidden="1" customHeight="1" x14ac:dyDescent="0.25">
      <c r="A939" s="123"/>
      <c r="B939" s="123"/>
      <c r="C939" s="123"/>
      <c r="D939" s="123"/>
      <c r="E939" s="138"/>
      <c r="F939" s="138"/>
      <c r="G939" s="123"/>
      <c r="H939" s="123"/>
      <c r="I939" s="123"/>
      <c r="J939" s="123"/>
      <c r="K939" s="123"/>
      <c r="L939" s="123"/>
      <c r="M939" s="123"/>
      <c r="N939" s="123"/>
      <c r="O939" s="123"/>
      <c r="P939" s="123"/>
      <c r="Q939" s="123"/>
      <c r="R939" s="123"/>
      <c r="S939" s="123"/>
      <c r="T939" s="123"/>
      <c r="U939" s="123"/>
      <c r="V939" s="123"/>
    </row>
    <row r="940" spans="1:22" ht="15.75" hidden="1" customHeight="1" x14ac:dyDescent="0.25">
      <c r="A940" s="123"/>
      <c r="B940" s="123"/>
      <c r="C940" s="123"/>
      <c r="D940" s="123"/>
      <c r="E940" s="138"/>
      <c r="F940" s="138"/>
      <c r="G940" s="123"/>
      <c r="H940" s="123"/>
      <c r="I940" s="123"/>
      <c r="J940" s="123"/>
      <c r="K940" s="123"/>
      <c r="L940" s="123"/>
      <c r="M940" s="123"/>
      <c r="N940" s="123"/>
      <c r="O940" s="123"/>
      <c r="P940" s="123"/>
      <c r="Q940" s="123"/>
      <c r="R940" s="123"/>
      <c r="S940" s="123"/>
      <c r="T940" s="123"/>
      <c r="U940" s="123"/>
      <c r="V940" s="123"/>
    </row>
    <row r="941" spans="1:22" ht="15.75" hidden="1" customHeight="1" x14ac:dyDescent="0.25">
      <c r="A941" s="123"/>
      <c r="B941" s="123"/>
      <c r="C941" s="123"/>
      <c r="D941" s="123"/>
      <c r="E941" s="138"/>
      <c r="F941" s="138"/>
      <c r="G941" s="123"/>
      <c r="H941" s="123"/>
      <c r="I941" s="123"/>
      <c r="J941" s="123"/>
      <c r="K941" s="123"/>
      <c r="L941" s="123"/>
      <c r="M941" s="123"/>
      <c r="N941" s="123"/>
      <c r="O941" s="123"/>
      <c r="P941" s="123"/>
      <c r="Q941" s="123"/>
      <c r="R941" s="123"/>
      <c r="S941" s="123"/>
      <c r="T941" s="123"/>
      <c r="U941" s="123"/>
      <c r="V941" s="123"/>
    </row>
    <row r="942" spans="1:22" ht="15.75" hidden="1" customHeight="1" x14ac:dyDescent="0.25">
      <c r="A942" s="123"/>
      <c r="B942" s="123"/>
      <c r="C942" s="123"/>
      <c r="D942" s="123"/>
      <c r="E942" s="138"/>
      <c r="F942" s="138"/>
      <c r="G942" s="123"/>
      <c r="H942" s="123"/>
      <c r="I942" s="123"/>
      <c r="J942" s="123"/>
      <c r="K942" s="123"/>
      <c r="L942" s="123"/>
      <c r="M942" s="123"/>
      <c r="N942" s="123"/>
      <c r="O942" s="123"/>
      <c r="P942" s="123"/>
      <c r="Q942" s="123"/>
      <c r="R942" s="123"/>
      <c r="S942" s="123"/>
      <c r="T942" s="123"/>
      <c r="U942" s="123"/>
      <c r="V942" s="123"/>
    </row>
    <row r="943" spans="1:22" ht="15.75" hidden="1" customHeight="1" x14ac:dyDescent="0.25">
      <c r="A943" s="123"/>
      <c r="B943" s="123"/>
      <c r="C943" s="123"/>
      <c r="D943" s="123"/>
      <c r="E943" s="138"/>
      <c r="F943" s="138"/>
      <c r="G943" s="123"/>
      <c r="H943" s="123"/>
      <c r="I943" s="123"/>
      <c r="J943" s="123"/>
      <c r="K943" s="123"/>
      <c r="L943" s="123"/>
      <c r="M943" s="123"/>
      <c r="N943" s="123"/>
      <c r="O943" s="123"/>
      <c r="P943" s="123"/>
      <c r="Q943" s="123"/>
      <c r="R943" s="123"/>
      <c r="S943" s="123"/>
      <c r="T943" s="123"/>
      <c r="U943" s="123"/>
      <c r="V943" s="123"/>
    </row>
    <row r="944" spans="1:22" ht="15.75" hidden="1" customHeight="1" x14ac:dyDescent="0.25">
      <c r="A944" s="123"/>
      <c r="B944" s="123"/>
      <c r="C944" s="123"/>
      <c r="D944" s="123"/>
      <c r="E944" s="138"/>
      <c r="F944" s="138"/>
      <c r="G944" s="123"/>
      <c r="H944" s="123"/>
      <c r="I944" s="123"/>
      <c r="J944" s="123"/>
      <c r="K944" s="123"/>
      <c r="L944" s="123"/>
      <c r="M944" s="123"/>
      <c r="N944" s="123"/>
      <c r="O944" s="123"/>
      <c r="P944" s="123"/>
      <c r="Q944" s="123"/>
      <c r="R944" s="123"/>
      <c r="S944" s="123"/>
      <c r="T944" s="123"/>
      <c r="U944" s="123"/>
      <c r="V944" s="123"/>
    </row>
    <row r="945" spans="1:22" ht="15.75" hidden="1" customHeight="1" x14ac:dyDescent="0.25">
      <c r="A945" s="123"/>
      <c r="B945" s="123"/>
      <c r="C945" s="123"/>
      <c r="D945" s="123"/>
      <c r="E945" s="138"/>
      <c r="F945" s="138"/>
      <c r="G945" s="123"/>
      <c r="H945" s="123"/>
      <c r="I945" s="123"/>
      <c r="J945" s="123"/>
      <c r="K945" s="123"/>
      <c r="L945" s="123"/>
      <c r="M945" s="123"/>
      <c r="N945" s="123"/>
      <c r="O945" s="123"/>
      <c r="P945" s="123"/>
      <c r="Q945" s="123"/>
      <c r="R945" s="123"/>
      <c r="S945" s="123"/>
      <c r="T945" s="123"/>
      <c r="U945" s="123"/>
      <c r="V945" s="123"/>
    </row>
    <row r="946" spans="1:22" ht="15.75" hidden="1" customHeight="1" x14ac:dyDescent="0.25">
      <c r="A946" s="123"/>
      <c r="B946" s="123"/>
      <c r="C946" s="123"/>
      <c r="D946" s="123"/>
      <c r="E946" s="138"/>
      <c r="F946" s="138"/>
      <c r="G946" s="123"/>
      <c r="H946" s="123"/>
      <c r="I946" s="123"/>
      <c r="J946" s="123"/>
      <c r="K946" s="123"/>
      <c r="L946" s="123"/>
      <c r="M946" s="123"/>
      <c r="N946" s="123"/>
      <c r="O946" s="123"/>
      <c r="P946" s="123"/>
      <c r="Q946" s="123"/>
      <c r="R946" s="123"/>
      <c r="S946" s="123"/>
      <c r="T946" s="123"/>
      <c r="U946" s="123"/>
      <c r="V946" s="123"/>
    </row>
    <row r="947" spans="1:22" ht="15.75" hidden="1" customHeight="1" x14ac:dyDescent="0.25">
      <c r="A947" s="123"/>
      <c r="B947" s="123"/>
      <c r="C947" s="123"/>
      <c r="D947" s="123"/>
      <c r="E947" s="138"/>
      <c r="F947" s="138"/>
      <c r="G947" s="123"/>
      <c r="H947" s="123"/>
      <c r="I947" s="123"/>
      <c r="J947" s="123"/>
      <c r="K947" s="123"/>
      <c r="L947" s="123"/>
      <c r="M947" s="123"/>
      <c r="N947" s="123"/>
      <c r="O947" s="123"/>
      <c r="P947" s="123"/>
      <c r="Q947" s="123"/>
      <c r="R947" s="123"/>
      <c r="S947" s="123"/>
      <c r="T947" s="123"/>
      <c r="U947" s="123"/>
      <c r="V947" s="123"/>
    </row>
    <row r="948" spans="1:22" ht="15.75" hidden="1" customHeight="1" x14ac:dyDescent="0.25">
      <c r="A948" s="123"/>
      <c r="B948" s="123"/>
      <c r="C948" s="123"/>
      <c r="D948" s="123"/>
      <c r="E948" s="138"/>
      <c r="F948" s="138"/>
      <c r="G948" s="123"/>
      <c r="H948" s="123"/>
      <c r="I948" s="123"/>
      <c r="J948" s="123"/>
      <c r="K948" s="123"/>
      <c r="L948" s="123"/>
      <c r="M948" s="123"/>
      <c r="N948" s="123"/>
      <c r="O948" s="123"/>
      <c r="P948" s="123"/>
      <c r="Q948" s="123"/>
      <c r="R948" s="123"/>
      <c r="S948" s="123"/>
      <c r="T948" s="123"/>
      <c r="U948" s="123"/>
      <c r="V948" s="123"/>
    </row>
    <row r="949" spans="1:22" ht="15.75" hidden="1" customHeight="1" x14ac:dyDescent="0.25">
      <c r="A949" s="123"/>
      <c r="B949" s="123"/>
      <c r="C949" s="123"/>
      <c r="D949" s="123"/>
      <c r="E949" s="138"/>
      <c r="F949" s="138"/>
      <c r="G949" s="123"/>
      <c r="H949" s="123"/>
      <c r="I949" s="123"/>
      <c r="J949" s="123"/>
      <c r="K949" s="123"/>
      <c r="L949" s="123"/>
      <c r="M949" s="123"/>
      <c r="N949" s="123"/>
      <c r="O949" s="123"/>
      <c r="P949" s="123"/>
      <c r="Q949" s="123"/>
      <c r="R949" s="123"/>
      <c r="S949" s="123"/>
      <c r="T949" s="123"/>
      <c r="U949" s="123"/>
      <c r="V949" s="123"/>
    </row>
    <row r="950" spans="1:22" ht="15.75" hidden="1" customHeight="1" x14ac:dyDescent="0.25">
      <c r="A950" s="123"/>
      <c r="B950" s="123"/>
      <c r="C950" s="123"/>
      <c r="D950" s="123"/>
      <c r="E950" s="138"/>
      <c r="F950" s="138"/>
      <c r="G950" s="123"/>
      <c r="H950" s="123"/>
      <c r="I950" s="123"/>
      <c r="J950" s="123"/>
      <c r="K950" s="123"/>
      <c r="L950" s="123"/>
      <c r="M950" s="123"/>
      <c r="N950" s="123"/>
      <c r="O950" s="123"/>
      <c r="P950" s="123"/>
      <c r="Q950" s="123"/>
      <c r="R950" s="123"/>
      <c r="S950" s="123"/>
      <c r="T950" s="123"/>
      <c r="U950" s="123"/>
      <c r="V950" s="123"/>
    </row>
    <row r="951" spans="1:22" ht="15.75" hidden="1" customHeight="1" x14ac:dyDescent="0.25">
      <c r="A951" s="123"/>
      <c r="B951" s="123"/>
      <c r="C951" s="123"/>
      <c r="D951" s="123"/>
      <c r="E951" s="138"/>
      <c r="F951" s="138"/>
      <c r="G951" s="123"/>
      <c r="H951" s="123"/>
      <c r="I951" s="123"/>
      <c r="J951" s="123"/>
      <c r="K951" s="123"/>
      <c r="L951" s="123"/>
      <c r="M951" s="123"/>
      <c r="N951" s="123"/>
      <c r="O951" s="123"/>
      <c r="P951" s="123"/>
      <c r="Q951" s="123"/>
      <c r="R951" s="123"/>
      <c r="S951" s="123"/>
      <c r="T951" s="123"/>
      <c r="U951" s="123"/>
      <c r="V951" s="123"/>
    </row>
    <row r="952" spans="1:22" ht="15.75" hidden="1" customHeight="1" x14ac:dyDescent="0.25">
      <c r="A952" s="123"/>
      <c r="B952" s="123"/>
      <c r="C952" s="123"/>
      <c r="D952" s="123"/>
      <c r="E952" s="138"/>
      <c r="F952" s="138"/>
      <c r="G952" s="123"/>
      <c r="H952" s="123"/>
      <c r="I952" s="123"/>
      <c r="J952" s="123"/>
      <c r="K952" s="123"/>
      <c r="L952" s="123"/>
      <c r="M952" s="123"/>
      <c r="N952" s="123"/>
      <c r="O952" s="123"/>
      <c r="P952" s="123"/>
      <c r="Q952" s="123"/>
      <c r="R952" s="123"/>
      <c r="S952" s="123"/>
      <c r="T952" s="123"/>
      <c r="U952" s="123"/>
      <c r="V952" s="123"/>
    </row>
    <row r="953" spans="1:22" ht="15.75" hidden="1" customHeight="1" x14ac:dyDescent="0.25">
      <c r="A953" s="123"/>
      <c r="B953" s="123"/>
      <c r="C953" s="123"/>
      <c r="D953" s="123"/>
      <c r="E953" s="138"/>
      <c r="F953" s="138"/>
      <c r="G953" s="123"/>
      <c r="H953" s="123"/>
      <c r="I953" s="123"/>
      <c r="J953" s="123"/>
      <c r="K953" s="123"/>
      <c r="L953" s="123"/>
      <c r="M953" s="123"/>
      <c r="N953" s="123"/>
      <c r="O953" s="123"/>
      <c r="P953" s="123"/>
      <c r="Q953" s="123"/>
      <c r="R953" s="123"/>
      <c r="S953" s="123"/>
      <c r="T953" s="123"/>
      <c r="U953" s="123"/>
      <c r="V953" s="123"/>
    </row>
    <row r="954" spans="1:22" ht="15.75" hidden="1" customHeight="1" x14ac:dyDescent="0.25">
      <c r="A954" s="123"/>
      <c r="B954" s="123"/>
      <c r="C954" s="123"/>
      <c r="D954" s="123"/>
      <c r="E954" s="138"/>
      <c r="F954" s="138"/>
      <c r="G954" s="123"/>
      <c r="H954" s="123"/>
      <c r="I954" s="123"/>
      <c r="J954" s="123"/>
      <c r="K954" s="123"/>
      <c r="L954" s="123"/>
      <c r="M954" s="123"/>
      <c r="N954" s="123"/>
      <c r="O954" s="123"/>
      <c r="P954" s="123"/>
      <c r="Q954" s="123"/>
      <c r="R954" s="123"/>
      <c r="S954" s="123"/>
      <c r="T954" s="123"/>
      <c r="U954" s="123"/>
      <c r="V954" s="123"/>
    </row>
    <row r="955" spans="1:22" ht="15.75" hidden="1" customHeight="1" x14ac:dyDescent="0.25">
      <c r="A955" s="123"/>
      <c r="B955" s="123"/>
      <c r="C955" s="123"/>
      <c r="D955" s="123"/>
      <c r="E955" s="138"/>
      <c r="F955" s="138"/>
      <c r="G955" s="123"/>
      <c r="H955" s="123"/>
      <c r="I955" s="123"/>
      <c r="J955" s="123"/>
      <c r="K955" s="123"/>
      <c r="L955" s="123"/>
      <c r="M955" s="123"/>
      <c r="N955" s="123"/>
      <c r="O955" s="123"/>
      <c r="P955" s="123"/>
      <c r="Q955" s="123"/>
      <c r="R955" s="123"/>
      <c r="S955" s="123"/>
      <c r="T955" s="123"/>
      <c r="U955" s="123"/>
      <c r="V955" s="123"/>
    </row>
    <row r="956" spans="1:22" ht="15.75" hidden="1" customHeight="1" x14ac:dyDescent="0.25">
      <c r="A956" s="123"/>
      <c r="B956" s="123"/>
      <c r="C956" s="123"/>
      <c r="D956" s="123"/>
      <c r="E956" s="138"/>
      <c r="F956" s="138"/>
      <c r="G956" s="123"/>
      <c r="H956" s="123"/>
      <c r="I956" s="123"/>
      <c r="J956" s="123"/>
      <c r="K956" s="123"/>
      <c r="L956" s="123"/>
      <c r="M956" s="123"/>
      <c r="N956" s="123"/>
      <c r="O956" s="123"/>
      <c r="P956" s="123"/>
      <c r="Q956" s="123"/>
      <c r="R956" s="123"/>
      <c r="S956" s="123"/>
      <c r="T956" s="123"/>
      <c r="U956" s="123"/>
      <c r="V956" s="123"/>
    </row>
    <row r="957" spans="1:22" ht="15.75" hidden="1" customHeight="1" x14ac:dyDescent="0.25">
      <c r="A957" s="123"/>
      <c r="B957" s="123"/>
      <c r="C957" s="123"/>
      <c r="D957" s="123"/>
      <c r="E957" s="138"/>
      <c r="F957" s="138"/>
      <c r="G957" s="123"/>
      <c r="H957" s="123"/>
      <c r="I957" s="123"/>
      <c r="J957" s="123"/>
      <c r="K957" s="123"/>
      <c r="L957" s="123"/>
      <c r="M957" s="123"/>
      <c r="N957" s="123"/>
      <c r="O957" s="123"/>
      <c r="P957" s="123"/>
      <c r="Q957" s="123"/>
      <c r="R957" s="123"/>
      <c r="S957" s="123"/>
      <c r="T957" s="123"/>
      <c r="U957" s="123"/>
      <c r="V957" s="123"/>
    </row>
    <row r="958" spans="1:22" ht="15.75" hidden="1" customHeight="1" x14ac:dyDescent="0.25">
      <c r="A958" s="123"/>
      <c r="B958" s="123"/>
      <c r="C958" s="123"/>
      <c r="D958" s="123"/>
      <c r="E958" s="138"/>
      <c r="F958" s="138"/>
      <c r="G958" s="123"/>
      <c r="H958" s="123"/>
      <c r="I958" s="123"/>
      <c r="J958" s="123"/>
      <c r="K958" s="123"/>
      <c r="L958" s="123"/>
      <c r="M958" s="123"/>
      <c r="N958" s="123"/>
      <c r="O958" s="123"/>
      <c r="P958" s="123"/>
      <c r="Q958" s="123"/>
      <c r="R958" s="123"/>
      <c r="S958" s="123"/>
      <c r="T958" s="123"/>
      <c r="U958" s="123"/>
      <c r="V958" s="123"/>
    </row>
    <row r="959" spans="1:22" ht="15.75" hidden="1" customHeight="1" x14ac:dyDescent="0.25">
      <c r="A959" s="123"/>
      <c r="B959" s="123"/>
      <c r="C959" s="123"/>
      <c r="D959" s="123"/>
      <c r="E959" s="138"/>
      <c r="F959" s="138"/>
      <c r="G959" s="123"/>
      <c r="H959" s="123"/>
      <c r="I959" s="123"/>
      <c r="J959" s="123"/>
      <c r="K959" s="123"/>
      <c r="L959" s="123"/>
      <c r="M959" s="123"/>
      <c r="N959" s="123"/>
      <c r="O959" s="123"/>
      <c r="P959" s="123"/>
      <c r="Q959" s="123"/>
      <c r="R959" s="123"/>
      <c r="S959" s="123"/>
      <c r="T959" s="123"/>
      <c r="U959" s="123"/>
      <c r="V959" s="123"/>
    </row>
    <row r="960" spans="1:22" ht="15.75" hidden="1" customHeight="1" x14ac:dyDescent="0.25">
      <c r="A960" s="123"/>
      <c r="B960" s="123"/>
      <c r="C960" s="123"/>
      <c r="D960" s="123"/>
      <c r="E960" s="138"/>
      <c r="F960" s="138"/>
      <c r="G960" s="123"/>
      <c r="H960" s="123"/>
      <c r="I960" s="123"/>
      <c r="J960" s="123"/>
      <c r="K960" s="123"/>
      <c r="L960" s="123"/>
      <c r="M960" s="123"/>
      <c r="N960" s="123"/>
      <c r="O960" s="123"/>
      <c r="P960" s="123"/>
      <c r="Q960" s="123"/>
      <c r="R960" s="123"/>
      <c r="S960" s="123"/>
      <c r="T960" s="123"/>
      <c r="U960" s="123"/>
      <c r="V960" s="123"/>
    </row>
    <row r="961" spans="1:22" ht="15.75" hidden="1" customHeight="1" x14ac:dyDescent="0.25">
      <c r="A961" s="123"/>
      <c r="B961" s="123"/>
      <c r="C961" s="123"/>
      <c r="D961" s="123"/>
      <c r="E961" s="138"/>
      <c r="F961" s="138"/>
      <c r="G961" s="123"/>
      <c r="H961" s="123"/>
      <c r="I961" s="123"/>
      <c r="J961" s="123"/>
      <c r="K961" s="123"/>
      <c r="L961" s="123"/>
      <c r="M961" s="123"/>
      <c r="N961" s="123"/>
      <c r="O961" s="123"/>
      <c r="P961" s="123"/>
      <c r="Q961" s="123"/>
      <c r="R961" s="123"/>
      <c r="S961" s="123"/>
      <c r="T961" s="123"/>
      <c r="U961" s="123"/>
      <c r="V961" s="123"/>
    </row>
    <row r="962" spans="1:22" ht="15.75" hidden="1" customHeight="1" x14ac:dyDescent="0.25">
      <c r="A962" s="123"/>
      <c r="B962" s="123"/>
      <c r="C962" s="123"/>
      <c r="D962" s="123"/>
      <c r="E962" s="138"/>
      <c r="F962" s="138"/>
      <c r="G962" s="123"/>
      <c r="H962" s="123"/>
      <c r="I962" s="123"/>
      <c r="J962" s="123"/>
      <c r="K962" s="123"/>
      <c r="L962" s="123"/>
      <c r="M962" s="123"/>
      <c r="N962" s="123"/>
      <c r="O962" s="123"/>
      <c r="P962" s="123"/>
      <c r="Q962" s="123"/>
      <c r="R962" s="123"/>
      <c r="S962" s="123"/>
      <c r="T962" s="123"/>
      <c r="U962" s="123"/>
      <c r="V962" s="123"/>
    </row>
    <row r="963" spans="1:22" ht="15.75" hidden="1" customHeight="1" x14ac:dyDescent="0.25">
      <c r="A963" s="123"/>
      <c r="B963" s="123"/>
      <c r="C963" s="123"/>
      <c r="D963" s="123"/>
      <c r="E963" s="138"/>
      <c r="F963" s="138"/>
      <c r="G963" s="123"/>
      <c r="H963" s="123"/>
      <c r="I963" s="123"/>
      <c r="J963" s="123"/>
      <c r="K963" s="123"/>
      <c r="L963" s="123"/>
      <c r="M963" s="123"/>
      <c r="N963" s="123"/>
      <c r="O963" s="123"/>
      <c r="P963" s="123"/>
      <c r="Q963" s="123"/>
      <c r="R963" s="123"/>
      <c r="S963" s="123"/>
      <c r="T963" s="123"/>
      <c r="U963" s="123"/>
      <c r="V963" s="123"/>
    </row>
    <row r="964" spans="1:22" ht="15.75" hidden="1" customHeight="1" x14ac:dyDescent="0.25">
      <c r="A964" s="123"/>
      <c r="B964" s="123"/>
      <c r="C964" s="123"/>
      <c r="D964" s="123"/>
      <c r="E964" s="138"/>
      <c r="F964" s="138"/>
      <c r="G964" s="123"/>
      <c r="H964" s="123"/>
      <c r="I964" s="123"/>
      <c r="J964" s="123"/>
      <c r="K964" s="123"/>
      <c r="L964" s="123"/>
      <c r="M964" s="123"/>
      <c r="N964" s="123"/>
      <c r="O964" s="123"/>
      <c r="P964" s="123"/>
      <c r="Q964" s="123"/>
      <c r="R964" s="123"/>
      <c r="S964" s="123"/>
      <c r="T964" s="123"/>
      <c r="U964" s="123"/>
      <c r="V964" s="123"/>
    </row>
    <row r="965" spans="1:22" ht="15.75" hidden="1" customHeight="1" x14ac:dyDescent="0.25">
      <c r="A965" s="123"/>
      <c r="B965" s="123"/>
      <c r="C965" s="123"/>
      <c r="D965" s="123"/>
      <c r="E965" s="138"/>
      <c r="F965" s="138"/>
      <c r="G965" s="123"/>
      <c r="H965" s="123"/>
      <c r="I965" s="123"/>
      <c r="J965" s="123"/>
      <c r="K965" s="123"/>
      <c r="L965" s="123"/>
      <c r="M965" s="123"/>
      <c r="N965" s="123"/>
      <c r="O965" s="123"/>
      <c r="P965" s="123"/>
      <c r="Q965" s="123"/>
      <c r="R965" s="123"/>
      <c r="S965" s="123"/>
      <c r="T965" s="123"/>
      <c r="U965" s="123"/>
      <c r="V965" s="123"/>
    </row>
    <row r="966" spans="1:22" ht="15.75" hidden="1" customHeight="1" x14ac:dyDescent="0.25">
      <c r="A966" s="123"/>
      <c r="B966" s="123"/>
      <c r="C966" s="123"/>
      <c r="D966" s="123"/>
      <c r="E966" s="138"/>
      <c r="F966" s="138"/>
      <c r="G966" s="123"/>
      <c r="H966" s="123"/>
      <c r="I966" s="123"/>
      <c r="J966" s="123"/>
      <c r="K966" s="123"/>
      <c r="L966" s="123"/>
      <c r="M966" s="123"/>
      <c r="N966" s="123"/>
      <c r="O966" s="123"/>
      <c r="P966" s="123"/>
      <c r="Q966" s="123"/>
      <c r="R966" s="123"/>
      <c r="S966" s="123"/>
      <c r="T966" s="123"/>
      <c r="U966" s="123"/>
      <c r="V966" s="123"/>
    </row>
    <row r="967" spans="1:22" ht="15.75" hidden="1" customHeight="1" x14ac:dyDescent="0.25">
      <c r="A967" s="123"/>
      <c r="B967" s="123"/>
      <c r="C967" s="123"/>
      <c r="D967" s="123"/>
      <c r="E967" s="138"/>
      <c r="F967" s="138"/>
      <c r="G967" s="123"/>
      <c r="H967" s="123"/>
      <c r="I967" s="123"/>
      <c r="J967" s="123"/>
      <c r="K967" s="123"/>
      <c r="L967" s="123"/>
      <c r="M967" s="123"/>
      <c r="N967" s="123"/>
      <c r="O967" s="123"/>
      <c r="P967" s="123"/>
      <c r="Q967" s="123"/>
      <c r="R967" s="123"/>
      <c r="S967" s="123"/>
      <c r="T967" s="123"/>
      <c r="U967" s="123"/>
      <c r="V967" s="123"/>
    </row>
    <row r="968" spans="1:22" ht="15.75" hidden="1" customHeight="1" x14ac:dyDescent="0.25">
      <c r="A968" s="123"/>
      <c r="B968" s="123"/>
      <c r="C968" s="123"/>
      <c r="D968" s="123"/>
      <c r="E968" s="138"/>
      <c r="F968" s="138"/>
      <c r="G968" s="123"/>
      <c r="H968" s="123"/>
      <c r="I968" s="123"/>
      <c r="J968" s="123"/>
      <c r="K968" s="123"/>
      <c r="L968" s="123"/>
      <c r="M968" s="123"/>
      <c r="N968" s="123"/>
      <c r="O968" s="123"/>
      <c r="P968" s="123"/>
      <c r="Q968" s="123"/>
      <c r="R968" s="123"/>
      <c r="S968" s="123"/>
      <c r="T968" s="123"/>
      <c r="U968" s="123"/>
      <c r="V968" s="123"/>
    </row>
    <row r="969" spans="1:22" ht="15.75" hidden="1" customHeight="1" x14ac:dyDescent="0.25">
      <c r="A969" s="123"/>
      <c r="B969" s="123"/>
      <c r="C969" s="123"/>
      <c r="D969" s="123"/>
      <c r="E969" s="138"/>
      <c r="F969" s="138"/>
      <c r="G969" s="123"/>
      <c r="H969" s="123"/>
      <c r="I969" s="123"/>
      <c r="J969" s="123"/>
      <c r="K969" s="123"/>
      <c r="L969" s="123"/>
      <c r="M969" s="123"/>
      <c r="N969" s="123"/>
      <c r="O969" s="123"/>
      <c r="P969" s="123"/>
      <c r="Q969" s="123"/>
      <c r="R969" s="123"/>
      <c r="S969" s="123"/>
      <c r="T969" s="123"/>
      <c r="U969" s="123"/>
      <c r="V969" s="123"/>
    </row>
    <row r="970" spans="1:22" ht="15.75" hidden="1" customHeight="1" x14ac:dyDescent="0.25">
      <c r="A970" s="123"/>
      <c r="B970" s="123"/>
      <c r="C970" s="123"/>
      <c r="D970" s="123"/>
      <c r="E970" s="138"/>
      <c r="F970" s="138"/>
      <c r="G970" s="123"/>
      <c r="H970" s="123"/>
      <c r="I970" s="123"/>
      <c r="J970" s="123"/>
      <c r="K970" s="123"/>
      <c r="L970" s="123"/>
      <c r="M970" s="123"/>
      <c r="N970" s="123"/>
      <c r="O970" s="123"/>
      <c r="P970" s="123"/>
      <c r="Q970" s="123"/>
      <c r="R970" s="123"/>
      <c r="S970" s="123"/>
      <c r="T970" s="123"/>
      <c r="U970" s="123"/>
      <c r="V970" s="123"/>
    </row>
    <row r="971" spans="1:22" ht="15.75" hidden="1" customHeight="1" x14ac:dyDescent="0.25">
      <c r="A971" s="123"/>
      <c r="B971" s="123"/>
      <c r="C971" s="123"/>
      <c r="D971" s="123"/>
      <c r="E971" s="138"/>
      <c r="F971" s="138"/>
      <c r="G971" s="123"/>
      <c r="H971" s="123"/>
      <c r="I971" s="123"/>
      <c r="J971" s="123"/>
      <c r="K971" s="123"/>
      <c r="L971" s="123"/>
      <c r="M971" s="123"/>
      <c r="N971" s="123"/>
      <c r="O971" s="123"/>
      <c r="P971" s="123"/>
      <c r="Q971" s="123"/>
      <c r="R971" s="123"/>
      <c r="S971" s="123"/>
      <c r="T971" s="123"/>
      <c r="U971" s="123"/>
      <c r="V971" s="123"/>
    </row>
    <row r="972" spans="1:22" ht="15.75" hidden="1" customHeight="1" x14ac:dyDescent="0.25">
      <c r="A972" s="123"/>
      <c r="B972" s="123"/>
      <c r="C972" s="123"/>
      <c r="D972" s="123"/>
      <c r="E972" s="138"/>
      <c r="F972" s="138"/>
      <c r="G972" s="123"/>
      <c r="H972" s="123"/>
      <c r="I972" s="123"/>
      <c r="J972" s="123"/>
      <c r="K972" s="123"/>
      <c r="L972" s="123"/>
      <c r="M972" s="123"/>
      <c r="N972" s="123"/>
      <c r="O972" s="123"/>
      <c r="P972" s="123"/>
      <c r="Q972" s="123"/>
      <c r="R972" s="123"/>
      <c r="S972" s="123"/>
      <c r="T972" s="123"/>
      <c r="U972" s="123"/>
      <c r="V972" s="123"/>
    </row>
    <row r="973" spans="1:22" ht="15.75" hidden="1" customHeight="1" x14ac:dyDescent="0.25">
      <c r="A973" s="123"/>
      <c r="B973" s="123"/>
      <c r="C973" s="123"/>
      <c r="D973" s="123"/>
      <c r="E973" s="138"/>
      <c r="F973" s="138"/>
      <c r="G973" s="123"/>
      <c r="H973" s="123"/>
      <c r="I973" s="123"/>
      <c r="J973" s="123"/>
      <c r="K973" s="123"/>
      <c r="L973" s="123"/>
      <c r="M973" s="123"/>
      <c r="N973" s="123"/>
      <c r="O973" s="123"/>
      <c r="P973" s="123"/>
      <c r="Q973" s="123"/>
      <c r="R973" s="123"/>
      <c r="S973" s="123"/>
      <c r="T973" s="123"/>
      <c r="U973" s="123"/>
      <c r="V973" s="123"/>
    </row>
    <row r="974" spans="1:22" ht="15.75" hidden="1" customHeight="1" x14ac:dyDescent="0.25">
      <c r="A974" s="123"/>
      <c r="B974" s="123"/>
      <c r="C974" s="123"/>
      <c r="D974" s="123"/>
      <c r="E974" s="138"/>
      <c r="F974" s="138"/>
      <c r="G974" s="123"/>
      <c r="H974" s="123"/>
      <c r="I974" s="123"/>
      <c r="J974" s="123"/>
      <c r="K974" s="123"/>
      <c r="L974" s="123"/>
      <c r="M974" s="123"/>
      <c r="N974" s="123"/>
      <c r="O974" s="123"/>
      <c r="P974" s="123"/>
      <c r="Q974" s="123"/>
      <c r="R974" s="123"/>
      <c r="S974" s="123"/>
      <c r="T974" s="123"/>
      <c r="U974" s="123"/>
      <c r="V974" s="123"/>
    </row>
    <row r="975" spans="1:22" ht="15.75" hidden="1" customHeight="1" x14ac:dyDescent="0.25">
      <c r="A975" s="123"/>
      <c r="B975" s="123"/>
      <c r="C975" s="123"/>
      <c r="D975" s="123"/>
      <c r="E975" s="138"/>
      <c r="F975" s="138"/>
      <c r="G975" s="123"/>
      <c r="H975" s="123"/>
      <c r="I975" s="123"/>
      <c r="J975" s="123"/>
      <c r="K975" s="123"/>
      <c r="L975" s="123"/>
      <c r="M975" s="123"/>
      <c r="N975" s="123"/>
      <c r="O975" s="123"/>
      <c r="P975" s="123"/>
      <c r="Q975" s="123"/>
      <c r="R975" s="123"/>
      <c r="S975" s="123"/>
      <c r="T975" s="123"/>
      <c r="U975" s="123"/>
      <c r="V975" s="123"/>
    </row>
    <row r="976" spans="1:22" ht="15.75" hidden="1" customHeight="1" x14ac:dyDescent="0.25">
      <c r="A976" s="123"/>
      <c r="B976" s="123"/>
      <c r="C976" s="123"/>
      <c r="D976" s="123"/>
      <c r="E976" s="138"/>
      <c r="F976" s="138"/>
      <c r="G976" s="123"/>
      <c r="H976" s="123"/>
      <c r="I976" s="123"/>
      <c r="J976" s="123"/>
      <c r="K976" s="123"/>
      <c r="L976" s="123"/>
      <c r="M976" s="123"/>
      <c r="N976" s="123"/>
      <c r="O976" s="123"/>
      <c r="P976" s="123"/>
      <c r="Q976" s="123"/>
      <c r="R976" s="123"/>
      <c r="S976" s="123"/>
      <c r="T976" s="123"/>
      <c r="U976" s="123"/>
      <c r="V976" s="123"/>
    </row>
    <row r="977" spans="1:22" ht="15.75" hidden="1" customHeight="1" x14ac:dyDescent="0.25">
      <c r="A977" s="123"/>
      <c r="B977" s="123"/>
      <c r="C977" s="123"/>
      <c r="D977" s="123"/>
      <c r="E977" s="138"/>
      <c r="F977" s="138"/>
      <c r="G977" s="123"/>
      <c r="H977" s="123"/>
      <c r="I977" s="123"/>
      <c r="J977" s="123"/>
      <c r="K977" s="123"/>
      <c r="L977" s="123"/>
      <c r="M977" s="123"/>
      <c r="N977" s="123"/>
      <c r="O977" s="123"/>
      <c r="P977" s="123"/>
      <c r="Q977" s="123"/>
      <c r="R977" s="123"/>
      <c r="S977" s="123"/>
      <c r="T977" s="123"/>
      <c r="U977" s="123"/>
      <c r="V977" s="123"/>
    </row>
    <row r="978" spans="1:22" ht="15.75" hidden="1" customHeight="1" x14ac:dyDescent="0.25">
      <c r="A978" s="123"/>
      <c r="B978" s="123"/>
      <c r="C978" s="123"/>
      <c r="D978" s="123"/>
      <c r="E978" s="138"/>
      <c r="F978" s="138"/>
      <c r="G978" s="123"/>
      <c r="H978" s="123"/>
      <c r="I978" s="123"/>
      <c r="J978" s="123"/>
      <c r="K978" s="123"/>
      <c r="L978" s="123"/>
      <c r="M978" s="123"/>
      <c r="N978" s="123"/>
      <c r="O978" s="123"/>
      <c r="P978" s="123"/>
      <c r="Q978" s="123"/>
      <c r="R978" s="123"/>
      <c r="S978" s="123"/>
      <c r="T978" s="123"/>
      <c r="U978" s="123"/>
      <c r="V978" s="123"/>
    </row>
    <row r="979" spans="1:22" ht="15.75" hidden="1" customHeight="1" x14ac:dyDescent="0.25">
      <c r="A979" s="123"/>
      <c r="B979" s="123"/>
      <c r="C979" s="123"/>
      <c r="D979" s="123"/>
      <c r="E979" s="138"/>
      <c r="F979" s="138"/>
      <c r="G979" s="123"/>
      <c r="H979" s="123"/>
      <c r="I979" s="123"/>
      <c r="J979" s="123"/>
      <c r="K979" s="123"/>
      <c r="L979" s="123"/>
      <c r="M979" s="123"/>
      <c r="N979" s="123"/>
      <c r="O979" s="123"/>
      <c r="P979" s="123"/>
      <c r="Q979" s="123"/>
      <c r="R979" s="123"/>
      <c r="S979" s="123"/>
      <c r="T979" s="123"/>
      <c r="U979" s="123"/>
      <c r="V979" s="123"/>
    </row>
    <row r="980" spans="1:22" ht="15.75" hidden="1" customHeight="1" x14ac:dyDescent="0.25">
      <c r="A980" s="123"/>
      <c r="B980" s="123"/>
      <c r="C980" s="123"/>
      <c r="D980" s="123"/>
      <c r="E980" s="138"/>
      <c r="F980" s="138"/>
      <c r="G980" s="123"/>
      <c r="H980" s="123"/>
      <c r="I980" s="123"/>
      <c r="J980" s="123"/>
      <c r="K980" s="123"/>
      <c r="L980" s="123"/>
      <c r="M980" s="123"/>
      <c r="N980" s="123"/>
      <c r="O980" s="123"/>
      <c r="P980" s="123"/>
      <c r="Q980" s="123"/>
      <c r="R980" s="123"/>
      <c r="S980" s="123"/>
      <c r="T980" s="123"/>
      <c r="U980" s="123"/>
      <c r="V980" s="123"/>
    </row>
    <row r="981" spans="1:22" ht="15.75" hidden="1" customHeight="1" x14ac:dyDescent="0.25">
      <c r="A981" s="123"/>
      <c r="B981" s="123"/>
      <c r="C981" s="123"/>
      <c r="D981" s="123"/>
      <c r="E981" s="138"/>
      <c r="F981" s="138"/>
      <c r="G981" s="123"/>
      <c r="H981" s="123"/>
      <c r="I981" s="123"/>
      <c r="J981" s="123"/>
      <c r="K981" s="123"/>
      <c r="L981" s="123"/>
      <c r="M981" s="123"/>
      <c r="N981" s="123"/>
      <c r="O981" s="123"/>
      <c r="P981" s="123"/>
      <c r="Q981" s="123"/>
      <c r="R981" s="123"/>
      <c r="S981" s="123"/>
      <c r="T981" s="123"/>
      <c r="U981" s="123"/>
      <c r="V981" s="123"/>
    </row>
    <row r="982" spans="1:22" ht="15.75" hidden="1" customHeight="1" x14ac:dyDescent="0.25">
      <c r="A982" s="123"/>
      <c r="B982" s="123"/>
      <c r="C982" s="123"/>
      <c r="D982" s="123"/>
      <c r="E982" s="138"/>
      <c r="F982" s="138"/>
      <c r="G982" s="123"/>
      <c r="H982" s="123"/>
      <c r="I982" s="123"/>
      <c r="J982" s="123"/>
      <c r="K982" s="123"/>
      <c r="L982" s="123"/>
      <c r="M982" s="123"/>
      <c r="N982" s="123"/>
      <c r="O982" s="123"/>
      <c r="P982" s="123"/>
      <c r="Q982" s="123"/>
      <c r="R982" s="123"/>
      <c r="S982" s="123"/>
      <c r="T982" s="123"/>
      <c r="U982" s="123"/>
      <c r="V982" s="123"/>
    </row>
    <row r="983" spans="1:22" ht="15.75" hidden="1" customHeight="1" x14ac:dyDescent="0.25">
      <c r="A983" s="123"/>
      <c r="B983" s="123"/>
      <c r="C983" s="123"/>
      <c r="D983" s="123"/>
      <c r="E983" s="138"/>
      <c r="F983" s="138"/>
      <c r="G983" s="123"/>
      <c r="H983" s="123"/>
      <c r="I983" s="123"/>
      <c r="J983" s="123"/>
      <c r="K983" s="123"/>
      <c r="L983" s="123"/>
      <c r="M983" s="123"/>
      <c r="N983" s="123"/>
      <c r="O983" s="123"/>
      <c r="P983" s="123"/>
      <c r="Q983" s="123"/>
      <c r="R983" s="123"/>
      <c r="S983" s="123"/>
      <c r="T983" s="123"/>
      <c r="U983" s="123"/>
      <c r="V983" s="123"/>
    </row>
    <row r="984" spans="1:22" ht="15.75" hidden="1" customHeight="1" x14ac:dyDescent="0.25">
      <c r="A984" s="123"/>
      <c r="B984" s="123"/>
      <c r="C984" s="123"/>
      <c r="D984" s="123"/>
      <c r="E984" s="138"/>
      <c r="F984" s="138"/>
      <c r="G984" s="123"/>
      <c r="H984" s="123"/>
      <c r="I984" s="123"/>
      <c r="J984" s="123"/>
      <c r="K984" s="123"/>
      <c r="L984" s="123"/>
      <c r="M984" s="123"/>
      <c r="N984" s="123"/>
      <c r="O984" s="123"/>
      <c r="P984" s="123"/>
      <c r="Q984" s="123"/>
      <c r="R984" s="123"/>
      <c r="S984" s="123"/>
      <c r="T984" s="123"/>
      <c r="U984" s="123"/>
      <c r="V984" s="123"/>
    </row>
    <row r="985" spans="1:22" ht="15.75" hidden="1" customHeight="1" x14ac:dyDescent="0.25">
      <c r="A985" s="123"/>
      <c r="B985" s="123"/>
      <c r="C985" s="123"/>
      <c r="D985" s="123"/>
      <c r="E985" s="138"/>
      <c r="F985" s="138"/>
      <c r="G985" s="123"/>
      <c r="H985" s="123"/>
      <c r="I985" s="123"/>
      <c r="J985" s="123"/>
      <c r="K985" s="123"/>
      <c r="L985" s="123"/>
      <c r="M985" s="123"/>
      <c r="N985" s="123"/>
      <c r="O985" s="123"/>
      <c r="P985" s="123"/>
      <c r="Q985" s="123"/>
      <c r="R985" s="123"/>
      <c r="S985" s="123"/>
      <c r="T985" s="123"/>
      <c r="U985" s="123"/>
      <c r="V985" s="123"/>
    </row>
    <row r="986" spans="1:22" ht="15.75" hidden="1" customHeight="1" x14ac:dyDescent="0.25">
      <c r="A986" s="123"/>
      <c r="B986" s="123"/>
      <c r="C986" s="123"/>
      <c r="D986" s="123"/>
      <c r="E986" s="138"/>
      <c r="F986" s="138"/>
      <c r="G986" s="123"/>
      <c r="H986" s="123"/>
      <c r="I986" s="123"/>
      <c r="J986" s="123"/>
      <c r="K986" s="123"/>
      <c r="L986" s="123"/>
      <c r="M986" s="123"/>
      <c r="N986" s="123"/>
      <c r="O986" s="123"/>
      <c r="P986" s="123"/>
      <c r="Q986" s="123"/>
      <c r="R986" s="123"/>
      <c r="S986" s="123"/>
      <c r="T986" s="123"/>
      <c r="U986" s="123"/>
      <c r="V986" s="123"/>
    </row>
  </sheetData>
  <autoFilter ref="A1:N466" xr:uid="{00000000-0009-0000-0000-00000F000000}"/>
  <conditionalFormatting sqref="A2:M461">
    <cfRule type="containsBlanks" dxfId="0" priority="1">
      <formula>LEN(TRIM(A2))=0</formula>
    </cfRule>
  </conditionalFormatting>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tabColor theme="1" tint="0.499984740745262"/>
  </sheetPr>
  <dimension ref="A1:O974"/>
  <sheetViews>
    <sheetView showGridLines="0" workbookViewId="0">
      <pane ySplit="1" topLeftCell="A2" activePane="bottomLeft" state="frozen"/>
      <selection pane="bottomLeft" activeCell="A2" sqref="A2"/>
    </sheetView>
  </sheetViews>
  <sheetFormatPr baseColWidth="10" defaultColWidth="14.42578125" defaultRowHeight="15" customHeight="1" zeroHeight="1" x14ac:dyDescent="0.25"/>
  <cols>
    <col min="1" max="1" width="21.85546875" style="73" customWidth="1"/>
    <col min="2" max="2" width="17.5703125" style="73" customWidth="1"/>
    <col min="3" max="3" width="18.42578125" style="73" customWidth="1"/>
    <col min="4" max="4" width="31" style="73" customWidth="1"/>
    <col min="5" max="5" width="16.140625" style="73" customWidth="1"/>
    <col min="6" max="6" width="25.42578125" style="73" customWidth="1"/>
    <col min="7" max="11" width="11.42578125" style="73" customWidth="1"/>
    <col min="12" max="15" width="18.42578125" style="73" customWidth="1"/>
    <col min="16" max="27" width="10.7109375" style="73" customWidth="1"/>
    <col min="28" max="16384" width="14.42578125" style="73"/>
  </cols>
  <sheetData>
    <row r="1" spans="1:15" ht="60" x14ac:dyDescent="0.25">
      <c r="A1" s="71" t="s">
        <v>881</v>
      </c>
      <c r="B1" s="71" t="s">
        <v>883</v>
      </c>
      <c r="C1" s="71" t="s">
        <v>1986</v>
      </c>
      <c r="D1" s="71" t="s">
        <v>1987</v>
      </c>
      <c r="E1" s="78" t="s">
        <v>1988</v>
      </c>
      <c r="F1" s="78" t="s">
        <v>1989</v>
      </c>
      <c r="G1" s="71" t="s">
        <v>1990</v>
      </c>
      <c r="H1" s="71" t="s">
        <v>1991</v>
      </c>
      <c r="I1" s="71" t="s">
        <v>1992</v>
      </c>
      <c r="J1" s="71" t="s">
        <v>1993</v>
      </c>
      <c r="K1" s="71" t="s">
        <v>1994</v>
      </c>
      <c r="L1" s="71" t="s">
        <v>1995</v>
      </c>
      <c r="M1" s="71" t="s">
        <v>1995</v>
      </c>
      <c r="N1" s="78" t="s">
        <v>1996</v>
      </c>
      <c r="O1" s="78" t="s">
        <v>1996</v>
      </c>
    </row>
    <row r="2" spans="1:15" x14ac:dyDescent="0.25">
      <c r="A2" s="76" t="str">
        <f>[1]Entregables!C2</f>
        <v>01O1E1</v>
      </c>
      <c r="B2" s="74">
        <f>[1]Entregables!E2</f>
        <v>0.5</v>
      </c>
      <c r="C2" s="74">
        <v>0.02</v>
      </c>
      <c r="D2" s="74">
        <v>1</v>
      </c>
      <c r="E2" s="74">
        <v>0.25</v>
      </c>
      <c r="F2" s="74">
        <v>0.27</v>
      </c>
      <c r="G2" s="79"/>
      <c r="H2" s="79"/>
      <c r="I2" s="79"/>
      <c r="J2" s="79"/>
      <c r="K2" s="79"/>
      <c r="L2" s="74"/>
      <c r="M2" s="74"/>
      <c r="N2" s="74"/>
      <c r="O2" s="74"/>
    </row>
    <row r="3" spans="1:15" x14ac:dyDescent="0.25">
      <c r="A3" s="76" t="str">
        <f>[1]Entregables!C3</f>
        <v>01O1E2</v>
      </c>
      <c r="B3" s="74">
        <f>[1]Entregables!E3</f>
        <v>0.5</v>
      </c>
      <c r="C3" s="74">
        <v>0</v>
      </c>
      <c r="D3" s="74">
        <v>1</v>
      </c>
      <c r="E3" s="74">
        <v>0.2</v>
      </c>
      <c r="F3" s="74">
        <v>0.2</v>
      </c>
      <c r="G3" s="79"/>
      <c r="H3" s="79"/>
      <c r="I3" s="79"/>
      <c r="J3" s="79"/>
      <c r="K3" s="79"/>
      <c r="L3" s="74"/>
      <c r="M3" s="74"/>
      <c r="N3" s="74"/>
      <c r="O3" s="74"/>
    </row>
    <row r="4" spans="1:15" x14ac:dyDescent="0.25">
      <c r="A4" s="76" t="str">
        <f>[1]Entregables!C4</f>
        <v>01O2E1</v>
      </c>
      <c r="B4" s="74">
        <f>[1]Entregables!E4</f>
        <v>1</v>
      </c>
      <c r="C4" s="74">
        <v>0.03</v>
      </c>
      <c r="D4" s="74">
        <v>1</v>
      </c>
      <c r="E4" s="74">
        <v>0.57999999999999996</v>
      </c>
      <c r="F4" s="74">
        <v>0.61</v>
      </c>
      <c r="G4" s="79"/>
      <c r="H4" s="79"/>
      <c r="I4" s="79"/>
      <c r="J4" s="79"/>
      <c r="K4" s="79"/>
      <c r="L4" s="74"/>
      <c r="M4" s="74"/>
      <c r="N4" s="74"/>
      <c r="O4" s="74"/>
    </row>
    <row r="5" spans="1:15" x14ac:dyDescent="0.25">
      <c r="A5" s="76" t="str">
        <f>[1]Entregables!C5</f>
        <v>02O1E1</v>
      </c>
      <c r="B5" s="74">
        <f>[1]Entregables!E5</f>
        <v>1</v>
      </c>
      <c r="C5" s="74">
        <v>0</v>
      </c>
      <c r="D5" s="74">
        <v>1</v>
      </c>
      <c r="E5" s="74">
        <v>0.2</v>
      </c>
      <c r="F5" s="74">
        <v>0.2</v>
      </c>
      <c r="G5" s="79"/>
      <c r="H5" s="79"/>
      <c r="I5" s="79"/>
      <c r="J5" s="79"/>
      <c r="K5" s="79"/>
      <c r="L5" s="74"/>
      <c r="M5" s="74"/>
      <c r="N5" s="74"/>
      <c r="O5" s="74"/>
    </row>
    <row r="6" spans="1:15" x14ac:dyDescent="0.25">
      <c r="A6" s="76" t="str">
        <f>[1]Entregables!C6</f>
        <v>02O2E1</v>
      </c>
      <c r="B6" s="74">
        <f>[1]Entregables!E6</f>
        <v>0.5</v>
      </c>
      <c r="C6" s="74">
        <v>0.05</v>
      </c>
      <c r="D6" s="74">
        <v>0.49999999254941951</v>
      </c>
      <c r="E6" s="74">
        <v>0.4</v>
      </c>
      <c r="F6" s="74">
        <v>0.45</v>
      </c>
      <c r="G6" s="79"/>
      <c r="H6" s="79"/>
      <c r="I6" s="79"/>
      <c r="J6" s="79"/>
      <c r="K6" s="79"/>
      <c r="L6" s="74"/>
      <c r="M6" s="74"/>
      <c r="N6" s="74"/>
      <c r="O6" s="74"/>
    </row>
    <row r="7" spans="1:15" x14ac:dyDescent="0.25">
      <c r="A7" s="76" t="str">
        <f>[1]Entregables!C7</f>
        <v>02O2E2</v>
      </c>
      <c r="B7" s="74">
        <f>[1]Entregables!E7</f>
        <v>0.15000000596046448</v>
      </c>
      <c r="C7" s="74">
        <v>0</v>
      </c>
      <c r="D7" s="74">
        <v>1</v>
      </c>
      <c r="E7" s="74">
        <v>0.5</v>
      </c>
      <c r="F7" s="74">
        <v>0.5</v>
      </c>
      <c r="G7" s="79"/>
      <c r="H7" s="79"/>
      <c r="I7" s="79"/>
      <c r="J7" s="79"/>
      <c r="K7" s="79"/>
      <c r="L7" s="74"/>
      <c r="M7" s="74"/>
      <c r="N7" s="74"/>
      <c r="O7" s="74"/>
    </row>
    <row r="8" spans="1:15" x14ac:dyDescent="0.25">
      <c r="A8" s="76" t="str">
        <f>[1]Entregables!C8</f>
        <v>02O2E3</v>
      </c>
      <c r="B8" s="74">
        <f>[1]Entregables!E8</f>
        <v>0.20000000298023224</v>
      </c>
      <c r="C8" s="74">
        <v>0</v>
      </c>
      <c r="D8" s="74">
        <v>1</v>
      </c>
      <c r="E8" s="74">
        <v>0.2</v>
      </c>
      <c r="F8" s="74">
        <v>0.2</v>
      </c>
      <c r="G8" s="79"/>
      <c r="H8" s="79"/>
      <c r="I8" s="79"/>
      <c r="J8" s="79"/>
      <c r="K8" s="79"/>
      <c r="L8" s="74"/>
      <c r="M8" s="74"/>
      <c r="N8" s="74"/>
      <c r="O8" s="74"/>
    </row>
    <row r="9" spans="1:15" x14ac:dyDescent="0.25">
      <c r="A9" s="76" t="str">
        <f>[1]Entregables!C9</f>
        <v>02O2E4</v>
      </c>
      <c r="B9" s="74">
        <f>[1]Entregables!E9</f>
        <v>0.15000000596046448</v>
      </c>
      <c r="C9" s="74">
        <v>0.05</v>
      </c>
      <c r="D9" s="74">
        <v>0.49999999254941951</v>
      </c>
      <c r="E9" s="74">
        <v>0.2</v>
      </c>
      <c r="F9" s="74">
        <v>0.25</v>
      </c>
      <c r="G9" s="79"/>
      <c r="H9" s="79"/>
      <c r="I9" s="79"/>
      <c r="J9" s="79"/>
      <c r="K9" s="79"/>
      <c r="L9" s="74"/>
      <c r="M9" s="74"/>
      <c r="N9" s="74"/>
      <c r="O9" s="74"/>
    </row>
    <row r="10" spans="1:15" x14ac:dyDescent="0.25">
      <c r="A10" s="76" t="str">
        <f>[1]Entregables!C10</f>
        <v>02O3E1</v>
      </c>
      <c r="B10" s="74">
        <f>[1]Entregables!E10</f>
        <v>0.5</v>
      </c>
      <c r="C10" s="74">
        <v>0</v>
      </c>
      <c r="D10" s="74">
        <v>1</v>
      </c>
      <c r="E10" s="74">
        <v>0.22</v>
      </c>
      <c r="F10" s="74">
        <v>0.22</v>
      </c>
      <c r="G10" s="79"/>
      <c r="H10" s="79"/>
      <c r="I10" s="79"/>
      <c r="J10" s="79"/>
      <c r="K10" s="79"/>
      <c r="L10" s="74"/>
      <c r="M10" s="74"/>
      <c r="N10" s="74"/>
      <c r="O10" s="74"/>
    </row>
    <row r="11" spans="1:15" x14ac:dyDescent="0.25">
      <c r="A11" s="76" t="str">
        <f>[1]Entregables!C11</f>
        <v>02O3E2</v>
      </c>
      <c r="B11" s="74">
        <f>[1]Entregables!E11</f>
        <v>0.5</v>
      </c>
      <c r="C11" s="74">
        <v>0</v>
      </c>
      <c r="D11" s="74">
        <v>1</v>
      </c>
      <c r="E11" s="74">
        <v>0.2</v>
      </c>
      <c r="F11" s="74">
        <v>0.2</v>
      </c>
      <c r="G11" s="79"/>
      <c r="H11" s="79"/>
      <c r="I11" s="79"/>
      <c r="J11" s="79"/>
      <c r="K11" s="79"/>
      <c r="L11" s="74"/>
      <c r="M11" s="74"/>
      <c r="N11" s="74"/>
      <c r="O11" s="74"/>
    </row>
    <row r="12" spans="1:15" x14ac:dyDescent="0.25">
      <c r="A12" s="76" t="str">
        <f>[1]Entregables!C12</f>
        <v>02O4E1</v>
      </c>
      <c r="B12" s="74">
        <f>[1]Entregables!E12</f>
        <v>1</v>
      </c>
      <c r="C12" s="74">
        <v>0.1</v>
      </c>
      <c r="D12" s="74">
        <v>0.99999998509883903</v>
      </c>
      <c r="E12" s="74">
        <v>0.4</v>
      </c>
      <c r="F12" s="74">
        <v>0.5</v>
      </c>
      <c r="G12" s="79"/>
      <c r="H12" s="79"/>
      <c r="I12" s="79"/>
      <c r="J12" s="79"/>
      <c r="K12" s="79"/>
      <c r="L12" s="74"/>
      <c r="M12" s="74"/>
      <c r="N12" s="74"/>
      <c r="O12" s="74"/>
    </row>
    <row r="13" spans="1:15" x14ac:dyDescent="0.25">
      <c r="A13" s="76" t="str">
        <f>[1]Entregables!C13</f>
        <v>04O1E1</v>
      </c>
      <c r="B13" s="74">
        <f>[1]Entregables!E13</f>
        <v>0.34000000357627869</v>
      </c>
      <c r="C13" s="74">
        <v>0.16</v>
      </c>
      <c r="D13" s="74">
        <v>1</v>
      </c>
      <c r="E13" s="74">
        <v>0.16</v>
      </c>
      <c r="F13" s="74">
        <v>0.32</v>
      </c>
      <c r="G13" s="79"/>
      <c r="H13" s="79"/>
      <c r="I13" s="79"/>
      <c r="J13" s="79"/>
      <c r="K13" s="79"/>
      <c r="L13" s="74"/>
      <c r="M13" s="74"/>
      <c r="N13" s="74"/>
      <c r="O13" s="74"/>
    </row>
    <row r="14" spans="1:15" x14ac:dyDescent="0.25">
      <c r="A14" s="76" t="str">
        <f>[1]Entregables!C14</f>
        <v>04O1E2</v>
      </c>
      <c r="B14" s="74">
        <f>[1]Entregables!E14</f>
        <v>0.34000000357627869</v>
      </c>
      <c r="C14" s="74">
        <v>0.16</v>
      </c>
      <c r="D14" s="74">
        <v>1</v>
      </c>
      <c r="E14" s="74">
        <v>0.16</v>
      </c>
      <c r="F14" s="74">
        <v>0.32</v>
      </c>
      <c r="G14" s="79"/>
      <c r="H14" s="79"/>
      <c r="I14" s="79"/>
      <c r="J14" s="79"/>
      <c r="K14" s="79"/>
      <c r="L14" s="74"/>
      <c r="M14" s="74"/>
      <c r="N14" s="74"/>
      <c r="O14" s="74"/>
    </row>
    <row r="15" spans="1:15" x14ac:dyDescent="0.25">
      <c r="A15" s="76" t="str">
        <f>[1]Entregables!C15</f>
        <v>04O1E3</v>
      </c>
      <c r="B15" s="74">
        <f>[1]Entregables!E15</f>
        <v>0.31999999284744263</v>
      </c>
      <c r="C15" s="74">
        <v>0</v>
      </c>
      <c r="D15" s="74">
        <v>1</v>
      </c>
      <c r="E15" s="74">
        <v>0.5</v>
      </c>
      <c r="F15" s="74">
        <v>0.5</v>
      </c>
      <c r="G15" s="79"/>
      <c r="H15" s="79"/>
      <c r="I15" s="79"/>
      <c r="J15" s="79"/>
      <c r="K15" s="79"/>
      <c r="L15" s="74"/>
      <c r="M15" s="74"/>
      <c r="N15" s="74"/>
      <c r="O15" s="74"/>
    </row>
    <row r="16" spans="1:15" x14ac:dyDescent="0.25">
      <c r="A16" s="76" t="str">
        <f>[1]Entregables!C16</f>
        <v>04O2E1</v>
      </c>
      <c r="B16" s="74">
        <f>[1]Entregables!E16</f>
        <v>0.5</v>
      </c>
      <c r="C16" s="74">
        <v>0.34</v>
      </c>
      <c r="D16" s="74">
        <v>1</v>
      </c>
      <c r="E16" s="74">
        <v>0.24</v>
      </c>
      <c r="F16" s="74">
        <v>0.58000000000000007</v>
      </c>
      <c r="G16" s="79"/>
      <c r="H16" s="79"/>
      <c r="I16" s="79"/>
      <c r="J16" s="79"/>
      <c r="K16" s="79"/>
      <c r="L16" s="74"/>
      <c r="M16" s="74"/>
      <c r="N16" s="74"/>
      <c r="O16" s="74"/>
    </row>
    <row r="17" spans="1:15" x14ac:dyDescent="0.25">
      <c r="A17" s="76" t="str">
        <f>[1]Entregables!C17</f>
        <v>04O2E2</v>
      </c>
      <c r="B17" s="74">
        <f>[1]Entregables!E17</f>
        <v>0.25</v>
      </c>
      <c r="C17" s="74">
        <v>0</v>
      </c>
      <c r="D17" s="74">
        <v>1</v>
      </c>
      <c r="E17" s="74">
        <v>0.5</v>
      </c>
      <c r="F17" s="74">
        <v>0.5</v>
      </c>
      <c r="G17" s="79"/>
      <c r="H17" s="79"/>
      <c r="I17" s="79"/>
      <c r="J17" s="79"/>
      <c r="K17" s="79"/>
      <c r="L17" s="74"/>
      <c r="M17" s="74"/>
      <c r="N17" s="74"/>
      <c r="O17" s="74"/>
    </row>
    <row r="18" spans="1:15" x14ac:dyDescent="0.25">
      <c r="A18" s="76" t="str">
        <f>[1]Entregables!C18</f>
        <v>04O2E3</v>
      </c>
      <c r="B18" s="74">
        <f>[1]Entregables!E18</f>
        <v>0.25</v>
      </c>
      <c r="C18" s="74">
        <v>0.25</v>
      </c>
      <c r="D18" s="74">
        <v>1</v>
      </c>
      <c r="E18" s="74">
        <v>0.13</v>
      </c>
      <c r="F18" s="74">
        <v>0.38</v>
      </c>
      <c r="G18" s="79"/>
      <c r="H18" s="79"/>
      <c r="I18" s="79"/>
      <c r="J18" s="79"/>
      <c r="K18" s="79"/>
      <c r="L18" s="74"/>
      <c r="M18" s="74"/>
      <c r="N18" s="74"/>
      <c r="O18" s="74"/>
    </row>
    <row r="19" spans="1:15" x14ac:dyDescent="0.25">
      <c r="A19" s="76" t="str">
        <f>[1]Entregables!C19</f>
        <v>04O3E1</v>
      </c>
      <c r="B19" s="74">
        <f>[1]Entregables!E19</f>
        <v>0.5</v>
      </c>
      <c r="C19" s="74">
        <v>0.05</v>
      </c>
      <c r="D19" s="74">
        <v>0.99999998509883903</v>
      </c>
      <c r="E19" s="74">
        <v>0.2</v>
      </c>
      <c r="F19" s="74">
        <v>0.25</v>
      </c>
      <c r="G19" s="79"/>
      <c r="H19" s="79"/>
      <c r="I19" s="79"/>
      <c r="J19" s="79"/>
      <c r="K19" s="79"/>
      <c r="L19" s="74"/>
      <c r="M19" s="74"/>
      <c r="N19" s="74"/>
      <c r="O19" s="74"/>
    </row>
    <row r="20" spans="1:15" x14ac:dyDescent="0.25">
      <c r="A20" s="76" t="str">
        <f>[1]Entregables!C20</f>
        <v>04O3E2</v>
      </c>
      <c r="B20" s="74">
        <f>[1]Entregables!E20</f>
        <v>0.5</v>
      </c>
      <c r="C20" s="74">
        <v>0.14000000000000001</v>
      </c>
      <c r="D20" s="74">
        <v>0.99999999574252552</v>
      </c>
      <c r="E20" s="74">
        <v>0.19</v>
      </c>
      <c r="F20" s="74">
        <v>0.33</v>
      </c>
      <c r="G20" s="79"/>
      <c r="H20" s="79"/>
      <c r="I20" s="79"/>
      <c r="J20" s="79"/>
      <c r="K20" s="79"/>
      <c r="L20" s="74"/>
      <c r="M20" s="74"/>
      <c r="N20" s="74"/>
      <c r="O20" s="74"/>
    </row>
    <row r="21" spans="1:15" ht="15.75" customHeight="1" x14ac:dyDescent="0.25">
      <c r="A21" s="76" t="str">
        <f>[1]Entregables!C21</f>
        <v>04O4E1</v>
      </c>
      <c r="B21" s="74">
        <f>[1]Entregables!E21</f>
        <v>0.5</v>
      </c>
      <c r="C21" s="74">
        <v>0</v>
      </c>
      <c r="D21" s="74">
        <v>1</v>
      </c>
      <c r="E21" s="74">
        <v>0.2</v>
      </c>
      <c r="F21" s="74">
        <v>0.2</v>
      </c>
      <c r="G21" s="79"/>
      <c r="H21" s="79"/>
      <c r="I21" s="79"/>
      <c r="J21" s="79"/>
      <c r="K21" s="79"/>
      <c r="L21" s="74"/>
      <c r="M21" s="74"/>
      <c r="N21" s="74"/>
      <c r="O21" s="74"/>
    </row>
    <row r="22" spans="1:15" ht="15.75" customHeight="1" x14ac:dyDescent="0.25">
      <c r="A22" s="76" t="str">
        <f>[1]Entregables!C22</f>
        <v>04O4E2</v>
      </c>
      <c r="B22" s="74">
        <f>[1]Entregables!E22</f>
        <v>0.5</v>
      </c>
      <c r="C22" s="74">
        <v>0.16</v>
      </c>
      <c r="D22" s="74">
        <v>1</v>
      </c>
      <c r="E22" s="74">
        <v>0.16</v>
      </c>
      <c r="F22" s="74">
        <v>0.32</v>
      </c>
      <c r="G22" s="79"/>
      <c r="H22" s="79"/>
      <c r="I22" s="79"/>
      <c r="J22" s="79"/>
      <c r="K22" s="79"/>
      <c r="L22" s="74"/>
      <c r="M22" s="74"/>
      <c r="N22" s="74"/>
      <c r="O22" s="74"/>
    </row>
    <row r="23" spans="1:15" ht="15.75" customHeight="1" x14ac:dyDescent="0.25">
      <c r="A23" s="76" t="str">
        <f>[1]Entregables!C23</f>
        <v>05O1E1</v>
      </c>
      <c r="B23" s="74">
        <f>[1]Entregables!E23</f>
        <v>0.20000000298023224</v>
      </c>
      <c r="C23" s="74">
        <v>0.2</v>
      </c>
      <c r="D23" s="74">
        <v>1</v>
      </c>
      <c r="E23" s="74">
        <v>0.2</v>
      </c>
      <c r="F23" s="74">
        <v>0.4</v>
      </c>
      <c r="G23" s="79"/>
      <c r="H23" s="79"/>
      <c r="I23" s="79"/>
      <c r="J23" s="79"/>
      <c r="K23" s="79"/>
      <c r="L23" s="74"/>
      <c r="M23" s="74"/>
      <c r="N23" s="74"/>
      <c r="O23" s="74"/>
    </row>
    <row r="24" spans="1:15" ht="15.75" customHeight="1" x14ac:dyDescent="0.25">
      <c r="A24" s="76" t="str">
        <f>[1]Entregables!C24</f>
        <v>05O1E2</v>
      </c>
      <c r="B24" s="74">
        <f>[1]Entregables!E24</f>
        <v>0.20000000298023224</v>
      </c>
      <c r="C24" s="74">
        <v>0.2</v>
      </c>
      <c r="D24" s="74">
        <v>1</v>
      </c>
      <c r="E24" s="74">
        <v>0.2</v>
      </c>
      <c r="F24" s="74">
        <v>0.4</v>
      </c>
      <c r="G24" s="79"/>
      <c r="H24" s="79"/>
      <c r="I24" s="79"/>
      <c r="J24" s="79"/>
      <c r="K24" s="79"/>
      <c r="L24" s="74"/>
      <c r="M24" s="74"/>
      <c r="N24" s="74"/>
      <c r="O24" s="74"/>
    </row>
    <row r="25" spans="1:15" ht="15.75" customHeight="1" x14ac:dyDescent="0.25">
      <c r="A25" s="76" t="str">
        <f>[1]Entregables!C25</f>
        <v>05O1E3</v>
      </c>
      <c r="B25" s="74">
        <f>[1]Entregables!E25</f>
        <v>0.20000000298023224</v>
      </c>
      <c r="C25" s="74">
        <v>0.2</v>
      </c>
      <c r="D25" s="74">
        <v>1</v>
      </c>
      <c r="E25" s="74">
        <v>0.2</v>
      </c>
      <c r="F25" s="74">
        <v>0.4</v>
      </c>
      <c r="G25" s="79"/>
      <c r="H25" s="79"/>
      <c r="I25" s="79"/>
      <c r="J25" s="79"/>
      <c r="K25" s="79"/>
      <c r="L25" s="74"/>
      <c r="M25" s="74"/>
      <c r="N25" s="74"/>
      <c r="O25" s="74"/>
    </row>
    <row r="26" spans="1:15" ht="15.75" customHeight="1" x14ac:dyDescent="0.25">
      <c r="A26" s="76" t="str">
        <f>[1]Entregables!C26</f>
        <v>05O1E4</v>
      </c>
      <c r="B26" s="74">
        <f>[1]Entregables!E26</f>
        <v>0.20000000298023224</v>
      </c>
      <c r="C26" s="74">
        <v>0.2</v>
      </c>
      <c r="D26" s="74">
        <v>1</v>
      </c>
      <c r="E26" s="74">
        <v>0.2</v>
      </c>
      <c r="F26" s="74">
        <v>0.4</v>
      </c>
      <c r="G26" s="79"/>
      <c r="H26" s="79"/>
      <c r="I26" s="79"/>
      <c r="J26" s="79"/>
      <c r="K26" s="79"/>
      <c r="L26" s="74"/>
      <c r="M26" s="74"/>
      <c r="N26" s="74"/>
      <c r="O26" s="74"/>
    </row>
    <row r="27" spans="1:15" ht="15.75" customHeight="1" x14ac:dyDescent="0.25">
      <c r="A27" s="76" t="str">
        <f>[1]Entregables!C27</f>
        <v>05O1E5</v>
      </c>
      <c r="B27" s="74">
        <f>[1]Entregables!E27</f>
        <v>0.20000000298023224</v>
      </c>
      <c r="C27" s="74">
        <v>0.2</v>
      </c>
      <c r="D27" s="74">
        <v>1</v>
      </c>
      <c r="E27" s="74">
        <v>0.2</v>
      </c>
      <c r="F27" s="74">
        <v>0.4</v>
      </c>
      <c r="G27" s="79"/>
      <c r="H27" s="79"/>
      <c r="I27" s="79"/>
      <c r="J27" s="79"/>
      <c r="K27" s="79"/>
      <c r="L27" s="74"/>
      <c r="M27" s="74"/>
      <c r="N27" s="74"/>
      <c r="O27" s="74"/>
    </row>
    <row r="28" spans="1:15" ht="15.75" customHeight="1" x14ac:dyDescent="0.25">
      <c r="A28" s="76" t="str">
        <f>[1]Entregables!C28</f>
        <v>05O2E1</v>
      </c>
      <c r="B28" s="74">
        <f>[1]Entregables!E28</f>
        <v>0.20000000298023224</v>
      </c>
      <c r="C28" s="74">
        <v>0.2</v>
      </c>
      <c r="D28" s="74">
        <v>1</v>
      </c>
      <c r="E28" s="74">
        <v>0.2</v>
      </c>
      <c r="F28" s="74">
        <v>0.4</v>
      </c>
      <c r="G28" s="79"/>
      <c r="H28" s="79"/>
      <c r="I28" s="79"/>
      <c r="J28" s="79"/>
      <c r="K28" s="79"/>
      <c r="L28" s="74"/>
      <c r="M28" s="74"/>
      <c r="N28" s="74"/>
      <c r="O28" s="74"/>
    </row>
    <row r="29" spans="1:15" ht="15.75" customHeight="1" x14ac:dyDescent="0.25">
      <c r="A29" s="76" t="str">
        <f>[1]Entregables!C29</f>
        <v>05O2E2</v>
      </c>
      <c r="B29" s="74">
        <f>[1]Entregables!E29</f>
        <v>0.20000000298023224</v>
      </c>
      <c r="C29" s="74">
        <v>0.2</v>
      </c>
      <c r="D29" s="74">
        <v>1</v>
      </c>
      <c r="E29" s="74">
        <v>0.2</v>
      </c>
      <c r="F29" s="74">
        <v>0.4</v>
      </c>
      <c r="G29" s="79"/>
      <c r="H29" s="79"/>
      <c r="I29" s="79"/>
      <c r="J29" s="79"/>
      <c r="K29" s="79"/>
      <c r="L29" s="74"/>
      <c r="M29" s="74"/>
      <c r="N29" s="74"/>
      <c r="O29" s="74"/>
    </row>
    <row r="30" spans="1:15" ht="15.75" customHeight="1" x14ac:dyDescent="0.25">
      <c r="A30" s="76" t="str">
        <f>[1]Entregables!C30</f>
        <v>05O2E3</v>
      </c>
      <c r="B30" s="74">
        <f>[1]Entregables!E30</f>
        <v>0.20000000298023224</v>
      </c>
      <c r="C30" s="74">
        <v>0.2</v>
      </c>
      <c r="D30" s="74">
        <v>1</v>
      </c>
      <c r="E30" s="74">
        <v>0.2</v>
      </c>
      <c r="F30" s="74">
        <v>0.4</v>
      </c>
      <c r="G30" s="79"/>
      <c r="H30" s="79"/>
      <c r="I30" s="79"/>
      <c r="J30" s="79"/>
      <c r="K30" s="79"/>
      <c r="L30" s="74"/>
      <c r="M30" s="74"/>
      <c r="N30" s="74"/>
      <c r="O30" s="74"/>
    </row>
    <row r="31" spans="1:15" ht="15.75" customHeight="1" x14ac:dyDescent="0.25">
      <c r="A31" s="76" t="str">
        <f>[1]Entregables!C31</f>
        <v>05O2E4</v>
      </c>
      <c r="B31" s="74">
        <f>[1]Entregables!E31</f>
        <v>0.20000000298023224</v>
      </c>
      <c r="C31" s="74">
        <v>0.2</v>
      </c>
      <c r="D31" s="74">
        <v>1</v>
      </c>
      <c r="E31" s="74">
        <v>0.2</v>
      </c>
      <c r="F31" s="74">
        <v>0.4</v>
      </c>
      <c r="G31" s="79"/>
      <c r="H31" s="79"/>
      <c r="I31" s="79"/>
      <c r="J31" s="79"/>
      <c r="K31" s="79"/>
      <c r="L31" s="74"/>
      <c r="M31" s="74"/>
      <c r="N31" s="74"/>
      <c r="O31" s="74"/>
    </row>
    <row r="32" spans="1:15" ht="15.75" customHeight="1" x14ac:dyDescent="0.25">
      <c r="A32" s="76" t="str">
        <f>[1]Entregables!C32</f>
        <v>05O2E5</v>
      </c>
      <c r="B32" s="74">
        <f>[1]Entregables!E32</f>
        <v>0.20000000298023224</v>
      </c>
      <c r="C32" s="74">
        <v>0.2</v>
      </c>
      <c r="D32" s="74">
        <v>1</v>
      </c>
      <c r="E32" s="74">
        <v>0.2</v>
      </c>
      <c r="F32" s="74">
        <v>0.4</v>
      </c>
      <c r="G32" s="79"/>
      <c r="H32" s="79"/>
      <c r="I32" s="79"/>
      <c r="J32" s="79"/>
      <c r="K32" s="79"/>
      <c r="L32" s="74"/>
      <c r="M32" s="74"/>
      <c r="N32" s="74"/>
      <c r="O32" s="74"/>
    </row>
    <row r="33" spans="1:15" ht="15.75" customHeight="1" x14ac:dyDescent="0.25">
      <c r="A33" s="76" t="str">
        <f>[1]Entregables!C33</f>
        <v>06O1E1</v>
      </c>
      <c r="B33" s="74">
        <f>[1]Entregables!E33</f>
        <v>0.40000000596046448</v>
      </c>
      <c r="C33" s="74">
        <v>0</v>
      </c>
      <c r="D33" s="74">
        <v>1</v>
      </c>
      <c r="E33" s="74">
        <v>0.23</v>
      </c>
      <c r="F33" s="74">
        <v>0.23</v>
      </c>
      <c r="G33" s="79"/>
      <c r="H33" s="79"/>
      <c r="I33" s="79"/>
      <c r="J33" s="79"/>
      <c r="K33" s="79"/>
      <c r="L33" s="74"/>
      <c r="M33" s="74"/>
      <c r="N33" s="74"/>
      <c r="O33" s="74"/>
    </row>
    <row r="34" spans="1:15" ht="15.75" customHeight="1" x14ac:dyDescent="0.25">
      <c r="A34" s="76" t="str">
        <f>[1]Entregables!C34</f>
        <v>06O1E2</v>
      </c>
      <c r="B34" s="74">
        <f>[1]Entregables!E34</f>
        <v>0.40000000596046448</v>
      </c>
      <c r="C34" s="74">
        <v>0</v>
      </c>
      <c r="D34" s="74">
        <v>1</v>
      </c>
      <c r="E34" s="74">
        <v>0.25</v>
      </c>
      <c r="F34" s="74">
        <v>0.25</v>
      </c>
      <c r="G34" s="79"/>
      <c r="H34" s="79"/>
      <c r="I34" s="79"/>
      <c r="J34" s="79"/>
      <c r="K34" s="79"/>
      <c r="L34" s="74"/>
      <c r="M34" s="74"/>
      <c r="N34" s="74"/>
      <c r="O34" s="74"/>
    </row>
    <row r="35" spans="1:15" ht="15.75" customHeight="1" x14ac:dyDescent="0.25">
      <c r="A35" s="76" t="str">
        <f>[1]Entregables!C35</f>
        <v>06O1E3</v>
      </c>
      <c r="B35" s="74">
        <f>[1]Entregables!E35</f>
        <v>0.10000000149011612</v>
      </c>
      <c r="C35" s="74">
        <v>0</v>
      </c>
      <c r="D35" s="74">
        <v>1</v>
      </c>
      <c r="E35" s="74">
        <v>0.3</v>
      </c>
      <c r="F35" s="74">
        <v>0.3</v>
      </c>
      <c r="G35" s="79"/>
      <c r="H35" s="79"/>
      <c r="I35" s="79"/>
      <c r="J35" s="79"/>
      <c r="K35" s="79"/>
      <c r="L35" s="74"/>
      <c r="M35" s="74"/>
      <c r="N35" s="74"/>
      <c r="O35" s="74"/>
    </row>
    <row r="36" spans="1:15" ht="15.75" customHeight="1" x14ac:dyDescent="0.25">
      <c r="A36" s="76" t="str">
        <f>[1]Entregables!C36</f>
        <v>06O1E4</v>
      </c>
      <c r="B36" s="74">
        <f>[1]Entregables!E36</f>
        <v>0.10000000149011612</v>
      </c>
      <c r="C36" s="74">
        <v>0.33</v>
      </c>
      <c r="D36" s="74">
        <v>0.99999996026357174</v>
      </c>
      <c r="E36" s="74">
        <v>0</v>
      </c>
      <c r="F36" s="74">
        <v>0.33</v>
      </c>
      <c r="G36" s="79"/>
      <c r="H36" s="79"/>
      <c r="I36" s="79"/>
      <c r="J36" s="79"/>
      <c r="K36" s="79"/>
      <c r="L36" s="74"/>
      <c r="M36" s="74"/>
      <c r="N36" s="74"/>
      <c r="O36" s="74"/>
    </row>
    <row r="37" spans="1:15" ht="15.75" customHeight="1" x14ac:dyDescent="0.25">
      <c r="A37" s="76" t="str">
        <f>[1]Entregables!C37</f>
        <v>06O2E1</v>
      </c>
      <c r="B37" s="74">
        <f>[1]Entregables!E37</f>
        <v>0.40000000596046448</v>
      </c>
      <c r="C37" s="74">
        <v>0</v>
      </c>
      <c r="D37" s="74">
        <v>1</v>
      </c>
      <c r="E37" s="74">
        <v>0.3</v>
      </c>
      <c r="F37" s="74">
        <v>0.3</v>
      </c>
      <c r="G37" s="79"/>
      <c r="H37" s="79"/>
      <c r="I37" s="79"/>
      <c r="J37" s="79"/>
      <c r="K37" s="79"/>
      <c r="L37" s="74"/>
      <c r="M37" s="74"/>
      <c r="N37" s="74"/>
      <c r="O37" s="74"/>
    </row>
    <row r="38" spans="1:15" ht="15.75" customHeight="1" x14ac:dyDescent="0.25">
      <c r="A38" s="76" t="str">
        <f>[1]Entregables!C38</f>
        <v>06O2E2</v>
      </c>
      <c r="B38" s="74">
        <f>[1]Entregables!E38</f>
        <v>0.30000001192092896</v>
      </c>
      <c r="C38" s="74">
        <v>0</v>
      </c>
      <c r="D38" s="74">
        <v>1</v>
      </c>
      <c r="E38" s="74">
        <v>0.3</v>
      </c>
      <c r="F38" s="74">
        <v>0.3</v>
      </c>
      <c r="G38" s="79"/>
      <c r="H38" s="79"/>
      <c r="I38" s="79"/>
      <c r="J38" s="79"/>
      <c r="K38" s="79"/>
      <c r="L38" s="74"/>
      <c r="M38" s="74"/>
      <c r="N38" s="74"/>
      <c r="O38" s="74"/>
    </row>
    <row r="39" spans="1:15" ht="15.75" customHeight="1" x14ac:dyDescent="0.25">
      <c r="A39" s="76" t="str">
        <f>[1]Entregables!C39</f>
        <v>06O2E3</v>
      </c>
      <c r="B39" s="74">
        <f>[1]Entregables!E39</f>
        <v>0.30000001192092896</v>
      </c>
      <c r="C39" s="74">
        <v>0</v>
      </c>
      <c r="D39" s="74">
        <v>1</v>
      </c>
      <c r="E39" s="74">
        <v>0.3</v>
      </c>
      <c r="F39" s="74">
        <v>0.3</v>
      </c>
      <c r="G39" s="79"/>
      <c r="H39" s="79"/>
      <c r="I39" s="79"/>
      <c r="J39" s="79"/>
      <c r="K39" s="79"/>
      <c r="L39" s="74"/>
      <c r="M39" s="74"/>
      <c r="N39" s="74"/>
      <c r="O39" s="74"/>
    </row>
    <row r="40" spans="1:15" ht="15.75" customHeight="1" x14ac:dyDescent="0.25">
      <c r="A40" s="76" t="str">
        <f>[1]Entregables!C40</f>
        <v>06O3E1</v>
      </c>
      <c r="B40" s="74">
        <f>[1]Entregables!E40</f>
        <v>0.69999998807907104</v>
      </c>
      <c r="C40" s="74">
        <v>0.05</v>
      </c>
      <c r="D40" s="74">
        <v>0.99999998509883903</v>
      </c>
      <c r="E40" s="74">
        <v>0.2</v>
      </c>
      <c r="F40" s="74">
        <v>0.25</v>
      </c>
      <c r="G40" s="79"/>
      <c r="H40" s="79"/>
      <c r="I40" s="79"/>
      <c r="J40" s="79"/>
      <c r="K40" s="79"/>
      <c r="L40" s="74"/>
      <c r="M40" s="74"/>
      <c r="N40" s="74"/>
      <c r="O40" s="74"/>
    </row>
    <row r="41" spans="1:15" ht="15.75" customHeight="1" x14ac:dyDescent="0.25">
      <c r="A41" s="76" t="str">
        <f>[1]Entregables!C41</f>
        <v>06O3E2</v>
      </c>
      <c r="B41" s="74">
        <f>[1]Entregables!E41</f>
        <v>0.30000001192092896</v>
      </c>
      <c r="C41" s="74">
        <v>0</v>
      </c>
      <c r="D41" s="74">
        <v>1</v>
      </c>
      <c r="E41" s="74">
        <v>0.2</v>
      </c>
      <c r="F41" s="74">
        <v>0.2</v>
      </c>
      <c r="G41" s="79"/>
      <c r="H41" s="79"/>
      <c r="I41" s="79"/>
      <c r="J41" s="79"/>
      <c r="K41" s="79"/>
      <c r="L41" s="74"/>
      <c r="M41" s="74"/>
      <c r="N41" s="74"/>
      <c r="O41" s="74"/>
    </row>
    <row r="42" spans="1:15" ht="15.75" customHeight="1" x14ac:dyDescent="0.25">
      <c r="A42" s="76" t="str">
        <f>[1]Entregables!C42</f>
        <v>06O4E1</v>
      </c>
      <c r="B42" s="74">
        <f>[1]Entregables!E42</f>
        <v>0.69999998807907104</v>
      </c>
      <c r="C42" s="74">
        <v>0.05</v>
      </c>
      <c r="D42" s="74">
        <v>0.99999998509883903</v>
      </c>
      <c r="E42" s="74">
        <v>0.2</v>
      </c>
      <c r="F42" s="74">
        <v>0.25</v>
      </c>
      <c r="G42" s="79"/>
      <c r="H42" s="79"/>
      <c r="I42" s="79"/>
      <c r="J42" s="79"/>
      <c r="K42" s="79"/>
      <c r="L42" s="74"/>
      <c r="M42" s="74"/>
      <c r="N42" s="74"/>
      <c r="O42" s="74"/>
    </row>
    <row r="43" spans="1:15" ht="15.75" customHeight="1" x14ac:dyDescent="0.25">
      <c r="A43" s="76" t="str">
        <f>[1]Entregables!C43</f>
        <v>06O4E2</v>
      </c>
      <c r="B43" s="74">
        <f>[1]Entregables!E43</f>
        <v>0.30000001192092896</v>
      </c>
      <c r="C43" s="74">
        <v>0.05</v>
      </c>
      <c r="D43" s="74">
        <v>0.99999998509883903</v>
      </c>
      <c r="E43" s="74">
        <v>0.2</v>
      </c>
      <c r="F43" s="74">
        <v>0.25</v>
      </c>
      <c r="G43" s="79"/>
      <c r="H43" s="79"/>
      <c r="I43" s="79"/>
      <c r="J43" s="79"/>
      <c r="K43" s="79"/>
      <c r="L43" s="74"/>
      <c r="M43" s="74"/>
      <c r="N43" s="74"/>
      <c r="O43" s="74"/>
    </row>
    <row r="44" spans="1:15" ht="15.75" customHeight="1" x14ac:dyDescent="0.25">
      <c r="A44" s="76" t="str">
        <f>[1]Entregables!C44</f>
        <v>07O1E1</v>
      </c>
      <c r="B44" s="74">
        <f>[1]Entregables!E44</f>
        <v>0.5</v>
      </c>
      <c r="C44" s="74">
        <v>0.6</v>
      </c>
      <c r="D44" s="74">
        <v>0.99999996026357174</v>
      </c>
      <c r="E44" s="74">
        <v>0.3</v>
      </c>
      <c r="F44" s="74">
        <v>0.89999999999999991</v>
      </c>
      <c r="G44" s="79"/>
      <c r="H44" s="79"/>
      <c r="I44" s="79"/>
      <c r="J44" s="79"/>
      <c r="K44" s="79"/>
      <c r="L44" s="74"/>
      <c r="M44" s="74"/>
      <c r="N44" s="74"/>
      <c r="O44" s="74"/>
    </row>
    <row r="45" spans="1:15" ht="15.75" customHeight="1" x14ac:dyDescent="0.25">
      <c r="A45" s="76" t="str">
        <f>[1]Entregables!C45</f>
        <v>07O1E2</v>
      </c>
      <c r="B45" s="74">
        <f>[1]Entregables!E45</f>
        <v>0.5</v>
      </c>
      <c r="C45" s="74">
        <v>0.2</v>
      </c>
      <c r="D45" s="74">
        <v>0.99999998509883903</v>
      </c>
      <c r="E45" s="74">
        <v>0.2</v>
      </c>
      <c r="F45" s="74">
        <v>0.4</v>
      </c>
      <c r="G45" s="79"/>
      <c r="H45" s="79"/>
      <c r="I45" s="79"/>
      <c r="J45" s="79"/>
      <c r="K45" s="79"/>
      <c r="L45" s="74"/>
      <c r="M45" s="74"/>
      <c r="N45" s="74"/>
      <c r="O45" s="74"/>
    </row>
    <row r="46" spans="1:15" ht="15.75" customHeight="1" x14ac:dyDescent="0.25">
      <c r="A46" s="76" t="str">
        <f>[1]Entregables!C46</f>
        <v>07O2E1</v>
      </c>
      <c r="B46" s="74">
        <f>[1]Entregables!E46</f>
        <v>0.40000000596046448</v>
      </c>
      <c r="C46" s="74">
        <v>0</v>
      </c>
      <c r="D46" s="74">
        <v>1</v>
      </c>
      <c r="E46" s="74">
        <v>0.3</v>
      </c>
      <c r="F46" s="74">
        <v>0.3</v>
      </c>
      <c r="G46" s="79"/>
      <c r="H46" s="79"/>
      <c r="I46" s="79"/>
      <c r="J46" s="79"/>
      <c r="K46" s="79"/>
      <c r="L46" s="74"/>
      <c r="M46" s="74"/>
      <c r="N46" s="74"/>
      <c r="O46" s="74"/>
    </row>
    <row r="47" spans="1:15" ht="15.75" customHeight="1" x14ac:dyDescent="0.25">
      <c r="A47" s="76" t="str">
        <f>[1]Entregables!C47</f>
        <v>07O2E2</v>
      </c>
      <c r="B47" s="74">
        <f>[1]Entregables!E47</f>
        <v>0.30000001192092896</v>
      </c>
      <c r="C47" s="74">
        <v>0</v>
      </c>
      <c r="D47" s="74">
        <v>1</v>
      </c>
      <c r="E47" s="74">
        <v>0.4</v>
      </c>
      <c r="F47" s="74">
        <v>0.4</v>
      </c>
      <c r="G47" s="79"/>
      <c r="H47" s="79"/>
      <c r="I47" s="79"/>
      <c r="J47" s="79"/>
      <c r="K47" s="79"/>
      <c r="L47" s="74"/>
      <c r="M47" s="74"/>
      <c r="N47" s="74"/>
      <c r="O47" s="74"/>
    </row>
    <row r="48" spans="1:15" ht="15.75" customHeight="1" x14ac:dyDescent="0.25">
      <c r="A48" s="76" t="str">
        <f>[1]Entregables!C48</f>
        <v>07O2E3</v>
      </c>
      <c r="B48" s="74">
        <f>[1]Entregables!E48</f>
        <v>0.30000001192092896</v>
      </c>
      <c r="C48" s="74">
        <v>0</v>
      </c>
      <c r="D48" s="74">
        <v>1</v>
      </c>
      <c r="E48" s="74">
        <v>0</v>
      </c>
      <c r="F48" s="74">
        <v>0</v>
      </c>
      <c r="G48" s="79"/>
      <c r="H48" s="79"/>
      <c r="I48" s="79"/>
      <c r="J48" s="79"/>
      <c r="K48" s="79"/>
      <c r="L48" s="74"/>
      <c r="M48" s="74"/>
      <c r="N48" s="74"/>
      <c r="O48" s="74"/>
    </row>
    <row r="49" spans="1:15" ht="15.75" customHeight="1" x14ac:dyDescent="0.25">
      <c r="A49" s="76" t="str">
        <f>[1]Entregables!C49</f>
        <v>08O1E1</v>
      </c>
      <c r="B49" s="74">
        <f>[1]Entregables!E49</f>
        <v>0.40000000596046448</v>
      </c>
      <c r="C49" s="80">
        <v>0.54500000000000004</v>
      </c>
      <c r="D49" s="74">
        <v>0.86507937162701576</v>
      </c>
      <c r="E49" s="74">
        <v>0.36930000000000002</v>
      </c>
      <c r="F49" s="74">
        <v>0.91430000000000011</v>
      </c>
      <c r="G49" s="79"/>
      <c r="H49" s="79"/>
      <c r="I49" s="79"/>
      <c r="J49" s="79"/>
      <c r="K49" s="79"/>
      <c r="L49" s="80"/>
      <c r="M49" s="80"/>
      <c r="N49" s="80"/>
      <c r="O49" s="80"/>
    </row>
    <row r="50" spans="1:15" ht="15.75" customHeight="1" x14ac:dyDescent="0.25">
      <c r="A50" s="76" t="str">
        <f>[1]Entregables!C50</f>
        <v>08O1E2</v>
      </c>
      <c r="B50" s="74">
        <f>[1]Entregables!E50</f>
        <v>0.60000002384185791</v>
      </c>
      <c r="C50" s="74">
        <v>0</v>
      </c>
      <c r="D50" s="74">
        <v>1</v>
      </c>
      <c r="E50" s="74">
        <v>5.3800000000000001E-2</v>
      </c>
      <c r="F50" s="74">
        <v>5.3800000000000001E-2</v>
      </c>
      <c r="G50" s="79"/>
      <c r="H50" s="79"/>
      <c r="I50" s="79"/>
      <c r="J50" s="79"/>
      <c r="K50" s="79"/>
      <c r="L50" s="74"/>
      <c r="M50" s="74"/>
      <c r="N50" s="74"/>
      <c r="O50" s="74"/>
    </row>
    <row r="51" spans="1:15" ht="15.75" customHeight="1" x14ac:dyDescent="0.25">
      <c r="A51" s="76" t="str">
        <f>[1]Entregables!C51</f>
        <v>08O2E1</v>
      </c>
      <c r="B51" s="74">
        <f>[1]Entregables!E51</f>
        <v>1</v>
      </c>
      <c r="C51" s="80">
        <v>0.29289999999999999</v>
      </c>
      <c r="D51" s="74">
        <v>0.7707894833563439</v>
      </c>
      <c r="E51" s="74">
        <v>0.33329999999999999</v>
      </c>
      <c r="F51" s="74">
        <v>0.62619999999999998</v>
      </c>
      <c r="G51" s="79"/>
      <c r="H51" s="79"/>
      <c r="I51" s="79"/>
      <c r="J51" s="79"/>
      <c r="K51" s="79"/>
      <c r="L51" s="80"/>
      <c r="M51" s="80"/>
      <c r="N51" s="80"/>
      <c r="O51" s="80"/>
    </row>
    <row r="52" spans="1:15" ht="15.75" customHeight="1" x14ac:dyDescent="0.25">
      <c r="A52" s="76" t="str">
        <f>[1]Entregables!C52</f>
        <v>38O1E1</v>
      </c>
      <c r="B52" s="74">
        <f>[1]Entregables!E52</f>
        <v>0.30000001192092896</v>
      </c>
      <c r="C52" s="74">
        <v>0.15</v>
      </c>
      <c r="D52" s="74">
        <v>0.74999999999999989</v>
      </c>
      <c r="E52" s="74">
        <v>0.7</v>
      </c>
      <c r="F52" s="74">
        <v>0.7</v>
      </c>
      <c r="G52" s="79"/>
      <c r="H52" s="79"/>
      <c r="I52" s="79"/>
      <c r="J52" s="79"/>
      <c r="K52" s="79"/>
      <c r="L52" s="74"/>
      <c r="M52" s="74"/>
      <c r="N52" s="74"/>
      <c r="O52" s="74"/>
    </row>
    <row r="53" spans="1:15" ht="15.75" customHeight="1" x14ac:dyDescent="0.25">
      <c r="A53" s="76" t="str">
        <f>[1]Entregables!C53</f>
        <v>38O1E2</v>
      </c>
      <c r="B53" s="74">
        <f>[1]Entregables!E53</f>
        <v>0.69999998807907104</v>
      </c>
      <c r="C53" s="74">
        <v>0</v>
      </c>
      <c r="D53" s="74">
        <v>1</v>
      </c>
      <c r="E53" s="74">
        <v>0</v>
      </c>
      <c r="F53" s="74">
        <v>0</v>
      </c>
      <c r="G53" s="79"/>
      <c r="H53" s="79"/>
      <c r="I53" s="79"/>
      <c r="J53" s="79"/>
      <c r="K53" s="79"/>
      <c r="L53" s="74"/>
      <c r="M53" s="74"/>
      <c r="N53" s="74"/>
      <c r="O53" s="74"/>
    </row>
    <row r="54" spans="1:15" ht="15.75" customHeight="1" x14ac:dyDescent="0.25">
      <c r="A54" s="76" t="str">
        <f>[1]Entregables!C54</f>
        <v>38O2E1</v>
      </c>
      <c r="B54" s="74">
        <f>[1]Entregables!E54</f>
        <v>1</v>
      </c>
      <c r="C54" s="74">
        <v>0</v>
      </c>
      <c r="D54" s="74">
        <v>1</v>
      </c>
      <c r="E54" s="74">
        <v>0.6</v>
      </c>
      <c r="F54" s="74">
        <v>0.6</v>
      </c>
      <c r="G54" s="79"/>
      <c r="H54" s="79"/>
      <c r="I54" s="79"/>
      <c r="J54" s="79"/>
      <c r="K54" s="79"/>
      <c r="L54" s="74"/>
      <c r="M54" s="74"/>
      <c r="N54" s="74"/>
      <c r="O54" s="74"/>
    </row>
    <row r="55" spans="1:15" ht="15.75" customHeight="1" x14ac:dyDescent="0.25">
      <c r="A55" s="76" t="str">
        <f>[1]Entregables!C55</f>
        <v>38O3E1</v>
      </c>
      <c r="B55" s="74">
        <f>[1]Entregables!E55</f>
        <v>0.5</v>
      </c>
      <c r="C55" s="74">
        <v>0</v>
      </c>
      <c r="D55" s="74">
        <v>1</v>
      </c>
      <c r="E55" s="74">
        <v>0</v>
      </c>
      <c r="F55" s="74">
        <v>0</v>
      </c>
      <c r="G55" s="79"/>
      <c r="H55" s="79"/>
      <c r="I55" s="79"/>
      <c r="J55" s="79"/>
      <c r="K55" s="79"/>
      <c r="L55" s="74"/>
      <c r="M55" s="74"/>
      <c r="N55" s="74"/>
      <c r="O55" s="74"/>
    </row>
    <row r="56" spans="1:15" ht="15.75" customHeight="1" x14ac:dyDescent="0.25">
      <c r="A56" s="76" t="str">
        <f>[1]Entregables!C56</f>
        <v>38O3E2</v>
      </c>
      <c r="B56" s="74">
        <f>[1]Entregables!E56</f>
        <v>0.5</v>
      </c>
      <c r="C56" s="74">
        <v>0</v>
      </c>
      <c r="D56" s="74">
        <v>1</v>
      </c>
      <c r="E56" s="74">
        <v>0</v>
      </c>
      <c r="F56" s="74">
        <v>0</v>
      </c>
      <c r="G56" s="79"/>
      <c r="H56" s="79"/>
      <c r="I56" s="79"/>
      <c r="J56" s="79"/>
      <c r="K56" s="79"/>
      <c r="L56" s="74"/>
      <c r="M56" s="74"/>
      <c r="N56" s="74"/>
      <c r="O56" s="74"/>
    </row>
    <row r="57" spans="1:15" ht="15.75" customHeight="1" x14ac:dyDescent="0.25">
      <c r="A57" s="76" t="str">
        <f>[1]Entregables!C57</f>
        <v>38O4E1</v>
      </c>
      <c r="B57" s="74">
        <f>[1]Entregables!E57</f>
        <v>1</v>
      </c>
      <c r="C57" s="74">
        <v>0.17</v>
      </c>
      <c r="D57" s="74">
        <v>0.99999998948153346</v>
      </c>
      <c r="E57" s="74">
        <v>0</v>
      </c>
      <c r="F57" s="74">
        <v>0</v>
      </c>
      <c r="G57" s="79"/>
      <c r="H57" s="79"/>
      <c r="I57" s="79"/>
      <c r="J57" s="79"/>
      <c r="K57" s="79"/>
      <c r="L57" s="74"/>
      <c r="M57" s="74"/>
      <c r="N57" s="74"/>
      <c r="O57" s="74"/>
    </row>
    <row r="58" spans="1:15" ht="15.75" customHeight="1" x14ac:dyDescent="0.25">
      <c r="A58" s="76" t="str">
        <f>[1]Entregables!C58</f>
        <v>10O2E1</v>
      </c>
      <c r="B58" s="74">
        <f>[1]Entregables!E58</f>
        <v>1</v>
      </c>
      <c r="C58" s="74">
        <v>0.17</v>
      </c>
      <c r="D58" s="74">
        <v>0.99999998948153346</v>
      </c>
      <c r="E58" s="74">
        <v>0.15</v>
      </c>
      <c r="F58" s="74">
        <v>0.32</v>
      </c>
      <c r="G58" s="79"/>
      <c r="H58" s="79"/>
      <c r="I58" s="79"/>
      <c r="J58" s="79"/>
      <c r="K58" s="79"/>
      <c r="L58" s="74"/>
      <c r="M58" s="74"/>
      <c r="N58" s="74"/>
      <c r="O58" s="74"/>
    </row>
    <row r="59" spans="1:15" ht="15.75" customHeight="1" x14ac:dyDescent="0.25">
      <c r="A59" s="76" t="str">
        <f>[1]Entregables!C59</f>
        <v>11O1E1</v>
      </c>
      <c r="B59" s="74">
        <f>[1]Entregables!E59</f>
        <v>0.30000001192092896</v>
      </c>
      <c r="C59" s="74">
        <v>0.06</v>
      </c>
      <c r="D59" s="74">
        <v>1</v>
      </c>
      <c r="E59" s="74">
        <v>0.23</v>
      </c>
      <c r="F59" s="74">
        <v>0.29000000000000004</v>
      </c>
      <c r="G59" s="79"/>
      <c r="H59" s="79"/>
      <c r="I59" s="79"/>
      <c r="J59" s="79"/>
      <c r="K59" s="79"/>
      <c r="L59" s="74"/>
      <c r="M59" s="74"/>
      <c r="N59" s="74"/>
      <c r="O59" s="74"/>
    </row>
    <row r="60" spans="1:15" ht="15.75" customHeight="1" x14ac:dyDescent="0.25">
      <c r="A60" s="76" t="str">
        <f>[1]Entregables!C60</f>
        <v>11O1E2</v>
      </c>
      <c r="B60" s="74">
        <f>[1]Entregables!E60</f>
        <v>0.30000001192092896</v>
      </c>
      <c r="C60" s="74">
        <v>0.06</v>
      </c>
      <c r="D60" s="74">
        <v>1</v>
      </c>
      <c r="E60" s="74">
        <v>0.23</v>
      </c>
      <c r="F60" s="74">
        <v>0.29000000000000004</v>
      </c>
      <c r="G60" s="79"/>
      <c r="H60" s="79"/>
      <c r="I60" s="79"/>
      <c r="J60" s="79"/>
      <c r="K60" s="79"/>
      <c r="L60" s="74"/>
      <c r="M60" s="74"/>
      <c r="N60" s="74"/>
      <c r="O60" s="74"/>
    </row>
    <row r="61" spans="1:15" ht="15.75" customHeight="1" x14ac:dyDescent="0.25">
      <c r="A61" s="76" t="str">
        <f>[1]Entregables!C61</f>
        <v>11O1E3</v>
      </c>
      <c r="B61" s="74">
        <f>[1]Entregables!E61</f>
        <v>0.40000000596046448</v>
      </c>
      <c r="C61" s="74">
        <v>0.06</v>
      </c>
      <c r="D61" s="74">
        <v>1</v>
      </c>
      <c r="E61" s="74">
        <v>0.23</v>
      </c>
      <c r="F61" s="74">
        <v>0.29000000000000004</v>
      </c>
      <c r="G61" s="79"/>
      <c r="H61" s="79"/>
      <c r="I61" s="79"/>
      <c r="J61" s="79"/>
      <c r="K61" s="79"/>
      <c r="L61" s="74"/>
      <c r="M61" s="74"/>
      <c r="N61" s="74"/>
      <c r="O61" s="74"/>
    </row>
    <row r="62" spans="1:15" ht="15.75" customHeight="1" x14ac:dyDescent="0.25">
      <c r="A62" s="76" t="str">
        <f>[1]Entregables!C62</f>
        <v>11O2E1</v>
      </c>
      <c r="B62" s="74">
        <f>[1]Entregables!E62</f>
        <v>1</v>
      </c>
      <c r="C62" s="74">
        <v>0.06</v>
      </c>
      <c r="D62" s="74">
        <v>1</v>
      </c>
      <c r="E62" s="74">
        <v>0.23</v>
      </c>
      <c r="F62" s="74">
        <v>0.29000000000000004</v>
      </c>
      <c r="G62" s="79"/>
      <c r="H62" s="79"/>
      <c r="I62" s="79"/>
      <c r="J62" s="79"/>
      <c r="K62" s="79"/>
      <c r="L62" s="74"/>
      <c r="M62" s="74"/>
      <c r="N62" s="74"/>
      <c r="O62" s="74"/>
    </row>
    <row r="63" spans="1:15" ht="15.75" customHeight="1" x14ac:dyDescent="0.25">
      <c r="A63" s="76" t="str">
        <f>[1]Entregables!C63</f>
        <v>11O3E1</v>
      </c>
      <c r="B63" s="74">
        <f>[1]Entregables!E63</f>
        <v>0.5</v>
      </c>
      <c r="C63" s="74">
        <v>0.06</v>
      </c>
      <c r="D63" s="74">
        <v>1</v>
      </c>
      <c r="E63" s="74">
        <v>0.23</v>
      </c>
      <c r="F63" s="74">
        <v>0.29000000000000004</v>
      </c>
      <c r="G63" s="79"/>
      <c r="H63" s="79"/>
      <c r="I63" s="79"/>
      <c r="J63" s="79"/>
      <c r="K63" s="79"/>
      <c r="L63" s="74"/>
      <c r="M63" s="74"/>
      <c r="N63" s="74"/>
      <c r="O63" s="74"/>
    </row>
    <row r="64" spans="1:15" ht="15.75" customHeight="1" x14ac:dyDescent="0.25">
      <c r="A64" s="76" t="str">
        <f>[1]Entregables!C64</f>
        <v>11O3E2</v>
      </c>
      <c r="B64" s="74">
        <f>[1]Entregables!E64</f>
        <v>0.5</v>
      </c>
      <c r="C64" s="74">
        <v>0.06</v>
      </c>
      <c r="D64" s="74">
        <v>1</v>
      </c>
      <c r="E64" s="74">
        <v>0.23</v>
      </c>
      <c r="F64" s="74">
        <v>0.29000000000000004</v>
      </c>
      <c r="G64" s="79"/>
      <c r="H64" s="79"/>
      <c r="I64" s="79"/>
      <c r="J64" s="79"/>
      <c r="K64" s="79"/>
      <c r="L64" s="74"/>
      <c r="M64" s="74"/>
      <c r="N64" s="74"/>
      <c r="O64" s="74"/>
    </row>
    <row r="65" spans="1:15" ht="15.75" customHeight="1" x14ac:dyDescent="0.25">
      <c r="A65" s="76" t="str">
        <f>[1]Entregables!C65</f>
        <v>11O4E1</v>
      </c>
      <c r="B65" s="74">
        <f>[1]Entregables!E65</f>
        <v>0.60000002384185791</v>
      </c>
      <c r="C65" s="74">
        <v>0.06</v>
      </c>
      <c r="D65" s="74">
        <v>1</v>
      </c>
      <c r="E65" s="74">
        <v>0.23</v>
      </c>
      <c r="F65" s="74">
        <v>0.29000000000000004</v>
      </c>
      <c r="G65" s="79"/>
      <c r="H65" s="79"/>
      <c r="I65" s="79"/>
      <c r="J65" s="79"/>
      <c r="K65" s="79"/>
      <c r="L65" s="74"/>
      <c r="M65" s="74"/>
      <c r="N65" s="74"/>
      <c r="O65" s="74"/>
    </row>
    <row r="66" spans="1:15" ht="15.75" customHeight="1" x14ac:dyDescent="0.25">
      <c r="A66" s="76" t="str">
        <f>[1]Entregables!C66</f>
        <v>11O4E2</v>
      </c>
      <c r="B66" s="74">
        <f>[1]Entregables!E66</f>
        <v>0.30000001192092896</v>
      </c>
      <c r="C66" s="74">
        <v>0.06</v>
      </c>
      <c r="D66" s="74">
        <v>1</v>
      </c>
      <c r="E66" s="74">
        <v>0.23</v>
      </c>
      <c r="F66" s="74">
        <v>0.29000000000000004</v>
      </c>
      <c r="G66" s="79"/>
      <c r="H66" s="79"/>
      <c r="I66" s="79"/>
      <c r="J66" s="79"/>
      <c r="K66" s="79"/>
      <c r="L66" s="74"/>
      <c r="M66" s="74"/>
      <c r="N66" s="74"/>
      <c r="O66" s="74"/>
    </row>
    <row r="67" spans="1:15" ht="15.75" customHeight="1" x14ac:dyDescent="0.25">
      <c r="A67" s="76" t="str">
        <f>[1]Entregables!C67</f>
        <v>11O4E3</v>
      </c>
      <c r="B67" s="74">
        <f>[1]Entregables!E67</f>
        <v>0.10000000149011612</v>
      </c>
      <c r="C67" s="74">
        <v>0.06</v>
      </c>
      <c r="D67" s="74">
        <v>1</v>
      </c>
      <c r="E67" s="74">
        <v>0.23</v>
      </c>
      <c r="F67" s="74">
        <v>0.29000000000000004</v>
      </c>
      <c r="G67" s="79"/>
      <c r="H67" s="79"/>
      <c r="I67" s="79"/>
      <c r="J67" s="79"/>
      <c r="K67" s="79"/>
      <c r="L67" s="74"/>
      <c r="M67" s="74"/>
      <c r="N67" s="74"/>
      <c r="O67" s="74"/>
    </row>
    <row r="68" spans="1:15" ht="15.75" customHeight="1" x14ac:dyDescent="0.25">
      <c r="A68" s="76" t="str">
        <f>[1]Entregables!C68</f>
        <v>12O1E1</v>
      </c>
      <c r="B68" s="74">
        <f>[1]Entregables!E68</f>
        <v>0.69999998807907104</v>
      </c>
      <c r="C68" s="74">
        <v>0.08</v>
      </c>
      <c r="D68" s="74">
        <v>1</v>
      </c>
      <c r="E68" s="74">
        <v>0.23</v>
      </c>
      <c r="F68" s="74">
        <v>0.31</v>
      </c>
      <c r="G68" s="79"/>
      <c r="H68" s="79"/>
      <c r="I68" s="79"/>
      <c r="J68" s="79"/>
      <c r="K68" s="79"/>
      <c r="L68" s="74"/>
      <c r="M68" s="74"/>
      <c r="N68" s="74"/>
      <c r="O68" s="74"/>
    </row>
    <row r="69" spans="1:15" ht="15.75" customHeight="1" x14ac:dyDescent="0.25">
      <c r="A69" s="76" t="str">
        <f>[1]Entregables!C69</f>
        <v>12O1E2</v>
      </c>
      <c r="B69" s="74">
        <f>[1]Entregables!E69</f>
        <v>0.30000001192092896</v>
      </c>
      <c r="C69" s="74">
        <v>0.08</v>
      </c>
      <c r="D69" s="74">
        <v>1</v>
      </c>
      <c r="E69" s="74">
        <v>0.23</v>
      </c>
      <c r="F69" s="74">
        <v>0.31</v>
      </c>
      <c r="G69" s="79"/>
      <c r="H69" s="79"/>
      <c r="I69" s="79"/>
      <c r="J69" s="79"/>
      <c r="K69" s="79"/>
      <c r="L69" s="74"/>
      <c r="M69" s="74"/>
      <c r="N69" s="74"/>
      <c r="O69" s="74"/>
    </row>
    <row r="70" spans="1:15" ht="15.75" customHeight="1" x14ac:dyDescent="0.25">
      <c r="A70" s="76" t="str">
        <f>[1]Entregables!C70</f>
        <v>12O2E1</v>
      </c>
      <c r="B70" s="74">
        <f>[1]Entregables!E70</f>
        <v>1</v>
      </c>
      <c r="C70" s="74">
        <v>0.06</v>
      </c>
      <c r="D70" s="74">
        <v>1</v>
      </c>
      <c r="E70" s="74">
        <v>0.23</v>
      </c>
      <c r="F70" s="74">
        <v>0.29000000000000004</v>
      </c>
      <c r="G70" s="79"/>
      <c r="H70" s="79"/>
      <c r="I70" s="79"/>
      <c r="J70" s="79"/>
      <c r="K70" s="79"/>
      <c r="L70" s="74"/>
      <c r="M70" s="74"/>
      <c r="N70" s="74"/>
      <c r="O70" s="74"/>
    </row>
    <row r="71" spans="1:15" ht="15.75" customHeight="1" x14ac:dyDescent="0.25">
      <c r="A71" s="76" t="str">
        <f>[1]Entregables!C71</f>
        <v>12O3E1</v>
      </c>
      <c r="B71" s="74">
        <f>[1]Entregables!E71</f>
        <v>0.5</v>
      </c>
      <c r="C71" s="74">
        <v>0.06</v>
      </c>
      <c r="D71" s="74">
        <v>1</v>
      </c>
      <c r="E71" s="74">
        <v>0.23</v>
      </c>
      <c r="F71" s="74">
        <v>0.29000000000000004</v>
      </c>
      <c r="G71" s="79"/>
      <c r="H71" s="79"/>
      <c r="I71" s="79"/>
      <c r="J71" s="79"/>
      <c r="K71" s="79"/>
      <c r="L71" s="74"/>
      <c r="M71" s="74"/>
      <c r="N71" s="74"/>
      <c r="O71" s="74"/>
    </row>
    <row r="72" spans="1:15" ht="15.75" customHeight="1" x14ac:dyDescent="0.25">
      <c r="A72" s="76" t="str">
        <f>[1]Entregables!C72</f>
        <v>12O3E2</v>
      </c>
      <c r="B72" s="74">
        <f>[1]Entregables!E72</f>
        <v>0.5</v>
      </c>
      <c r="C72" s="74">
        <v>0.06</v>
      </c>
      <c r="D72" s="74">
        <v>1</v>
      </c>
      <c r="E72" s="74">
        <v>0.23</v>
      </c>
      <c r="F72" s="74">
        <v>0.29000000000000004</v>
      </c>
      <c r="G72" s="79"/>
      <c r="H72" s="79"/>
      <c r="I72" s="79"/>
      <c r="J72" s="79"/>
      <c r="K72" s="79"/>
      <c r="L72" s="74"/>
      <c r="M72" s="74"/>
      <c r="N72" s="74"/>
      <c r="O72" s="74"/>
    </row>
    <row r="73" spans="1:15" ht="15.75" customHeight="1" x14ac:dyDescent="0.25">
      <c r="A73" s="76" t="str">
        <f>[1]Entregables!C73</f>
        <v>13O1E1</v>
      </c>
      <c r="B73" s="74">
        <f>[1]Entregables!E73</f>
        <v>0.5</v>
      </c>
      <c r="C73" s="74">
        <v>0.25</v>
      </c>
      <c r="D73" s="74">
        <v>1</v>
      </c>
      <c r="E73" s="74">
        <v>0.1</v>
      </c>
      <c r="F73" s="74">
        <v>0.35</v>
      </c>
      <c r="G73" s="79"/>
      <c r="H73" s="79"/>
      <c r="I73" s="79"/>
      <c r="J73" s="79"/>
      <c r="K73" s="79"/>
      <c r="L73" s="74"/>
      <c r="M73" s="74"/>
      <c r="N73" s="74"/>
      <c r="O73" s="74"/>
    </row>
    <row r="74" spans="1:15" ht="15.75" customHeight="1" x14ac:dyDescent="0.25">
      <c r="A74" s="76" t="str">
        <f>[1]Entregables!C74</f>
        <v>13O1E2</v>
      </c>
      <c r="B74" s="74">
        <f>[1]Entregables!E74</f>
        <v>0.25</v>
      </c>
      <c r="C74" s="74">
        <v>0.25</v>
      </c>
      <c r="D74" s="74">
        <v>1</v>
      </c>
      <c r="E74" s="74">
        <v>0.2</v>
      </c>
      <c r="F74" s="74">
        <v>0.45</v>
      </c>
      <c r="G74" s="79"/>
      <c r="H74" s="79"/>
      <c r="I74" s="79"/>
      <c r="J74" s="79"/>
      <c r="K74" s="79"/>
      <c r="L74" s="74"/>
      <c r="M74" s="74"/>
      <c r="N74" s="74"/>
      <c r="O74" s="74"/>
    </row>
    <row r="75" spans="1:15" ht="15.75" customHeight="1" x14ac:dyDescent="0.25">
      <c r="A75" s="76" t="str">
        <f>[1]Entregables!C75</f>
        <v>13O1E3</v>
      </c>
      <c r="B75" s="74">
        <f>[1]Entregables!E75</f>
        <v>0.25</v>
      </c>
      <c r="C75" s="74">
        <v>0.15</v>
      </c>
      <c r="D75" s="74">
        <v>1</v>
      </c>
      <c r="E75" s="74">
        <v>0.15</v>
      </c>
      <c r="F75" s="74">
        <v>0.3</v>
      </c>
      <c r="G75" s="79"/>
      <c r="H75" s="79"/>
      <c r="I75" s="79"/>
      <c r="J75" s="79"/>
      <c r="K75" s="79"/>
      <c r="L75" s="74"/>
      <c r="M75" s="74"/>
      <c r="N75" s="74"/>
      <c r="O75" s="74"/>
    </row>
    <row r="76" spans="1:15" ht="15.75" customHeight="1" x14ac:dyDescent="0.25">
      <c r="A76" s="76" t="str">
        <f>[1]Entregables!C76</f>
        <v>13O2E1</v>
      </c>
      <c r="B76" s="74">
        <f>[1]Entregables!E76</f>
        <v>0.60000002384185791</v>
      </c>
      <c r="C76" s="74">
        <v>0.1</v>
      </c>
      <c r="D76" s="74">
        <v>0.99999998509883903</v>
      </c>
      <c r="E76" s="74">
        <v>0.15</v>
      </c>
      <c r="F76" s="74">
        <v>0.25</v>
      </c>
      <c r="G76" s="79"/>
      <c r="H76" s="79"/>
      <c r="I76" s="79"/>
      <c r="J76" s="79"/>
      <c r="K76" s="79"/>
      <c r="L76" s="74"/>
      <c r="M76" s="74"/>
      <c r="N76" s="74"/>
      <c r="O76" s="74"/>
    </row>
    <row r="77" spans="1:15" ht="15.75" customHeight="1" x14ac:dyDescent="0.25">
      <c r="A77" s="76" t="str">
        <f>[1]Entregables!C77</f>
        <v>13O2E2</v>
      </c>
      <c r="B77" s="74">
        <f>[1]Entregables!E77</f>
        <v>0.20000000298023224</v>
      </c>
      <c r="C77" s="74">
        <v>0</v>
      </c>
      <c r="D77" s="74">
        <v>0</v>
      </c>
      <c r="E77" s="74">
        <v>0.15</v>
      </c>
      <c r="F77" s="74">
        <v>0.15</v>
      </c>
      <c r="G77" s="79"/>
      <c r="H77" s="79"/>
      <c r="I77" s="79"/>
      <c r="J77" s="79"/>
      <c r="K77" s="79"/>
      <c r="L77" s="74"/>
      <c r="M77" s="74"/>
      <c r="N77" s="74"/>
      <c r="O77" s="74"/>
    </row>
    <row r="78" spans="1:15" ht="15.75" customHeight="1" x14ac:dyDescent="0.25">
      <c r="A78" s="76" t="str">
        <f>[1]Entregables!C78</f>
        <v>13O2E3</v>
      </c>
      <c r="B78" s="74">
        <f>[1]Entregables!E78</f>
        <v>0.20000000298023224</v>
      </c>
      <c r="C78" s="74">
        <v>0.15</v>
      </c>
      <c r="D78" s="74">
        <v>0.99999996026357174</v>
      </c>
      <c r="E78" s="74">
        <v>0.15</v>
      </c>
      <c r="F78" s="74">
        <v>0.3</v>
      </c>
      <c r="G78" s="79"/>
      <c r="H78" s="79"/>
      <c r="I78" s="79"/>
      <c r="J78" s="79"/>
      <c r="K78" s="79"/>
      <c r="L78" s="74"/>
      <c r="M78" s="74"/>
      <c r="N78" s="74"/>
      <c r="O78" s="74"/>
    </row>
    <row r="79" spans="1:15" ht="15.75" customHeight="1" x14ac:dyDescent="0.25">
      <c r="A79" s="76" t="str">
        <f>[1]Entregables!C79</f>
        <v>13O3E1</v>
      </c>
      <c r="B79" s="74">
        <f>[1]Entregables!E79</f>
        <v>0.40000000596046448</v>
      </c>
      <c r="C79" s="74">
        <v>0.05</v>
      </c>
      <c r="D79" s="74">
        <v>0.99999998509883903</v>
      </c>
      <c r="E79" s="74">
        <v>0.25</v>
      </c>
      <c r="F79" s="74">
        <v>0.3</v>
      </c>
      <c r="G79" s="79"/>
      <c r="H79" s="79"/>
      <c r="I79" s="79"/>
      <c r="J79" s="79"/>
      <c r="K79" s="79"/>
      <c r="L79" s="74"/>
      <c r="M79" s="74"/>
      <c r="N79" s="74"/>
      <c r="O79" s="74"/>
    </row>
    <row r="80" spans="1:15" ht="15.75" customHeight="1" x14ac:dyDescent="0.25">
      <c r="A80" s="76" t="str">
        <f>[1]Entregables!C80</f>
        <v>13O3E2</v>
      </c>
      <c r="B80" s="74">
        <f>[1]Entregables!E80</f>
        <v>0.60000002384185791</v>
      </c>
      <c r="C80" s="74">
        <v>0</v>
      </c>
      <c r="D80" s="74">
        <v>0</v>
      </c>
      <c r="E80" s="74">
        <v>0.1</v>
      </c>
      <c r="F80" s="74">
        <v>0.1</v>
      </c>
      <c r="G80" s="79"/>
      <c r="H80" s="79"/>
      <c r="I80" s="79"/>
      <c r="J80" s="79"/>
      <c r="K80" s="79"/>
      <c r="L80" s="74"/>
      <c r="M80" s="74"/>
      <c r="N80" s="74"/>
      <c r="O80" s="74"/>
    </row>
    <row r="81" spans="1:15" ht="15.75" customHeight="1" x14ac:dyDescent="0.25">
      <c r="A81" s="76" t="str">
        <f>[1]Entregables!C81</f>
        <v>13O4E1</v>
      </c>
      <c r="B81" s="74">
        <f>[1]Entregables!E81</f>
        <v>0.75</v>
      </c>
      <c r="C81" s="74">
        <v>0.1</v>
      </c>
      <c r="D81" s="74">
        <v>0.99999998509883903</v>
      </c>
      <c r="E81" s="74">
        <v>0.15</v>
      </c>
      <c r="F81" s="74">
        <v>0.25</v>
      </c>
      <c r="G81" s="79"/>
      <c r="H81" s="79"/>
      <c r="I81" s="79"/>
      <c r="J81" s="79"/>
      <c r="K81" s="79"/>
      <c r="L81" s="74"/>
      <c r="M81" s="74"/>
      <c r="N81" s="74"/>
      <c r="O81" s="74"/>
    </row>
    <row r="82" spans="1:15" ht="15.75" customHeight="1" x14ac:dyDescent="0.25">
      <c r="A82" s="76" t="str">
        <f>[1]Entregables!C82</f>
        <v>13O4E2</v>
      </c>
      <c r="B82" s="74">
        <f>[1]Entregables!E82</f>
        <v>0.25</v>
      </c>
      <c r="C82" s="74">
        <v>0.05</v>
      </c>
      <c r="D82" s="74">
        <v>0.99999998509883903</v>
      </c>
      <c r="E82" s="74">
        <v>0.15</v>
      </c>
      <c r="F82" s="74">
        <v>0.2</v>
      </c>
      <c r="G82" s="79"/>
      <c r="H82" s="79"/>
      <c r="I82" s="79"/>
      <c r="J82" s="79"/>
      <c r="K82" s="79"/>
      <c r="L82" s="74"/>
      <c r="M82" s="74"/>
      <c r="N82" s="74"/>
      <c r="O82" s="74"/>
    </row>
    <row r="83" spans="1:15" ht="15.75" customHeight="1" x14ac:dyDescent="0.25">
      <c r="A83" s="76" t="str">
        <f>[1]Entregables!C83</f>
        <v>14O1E1</v>
      </c>
      <c r="B83" s="74">
        <f>[1]Entregables!E83</f>
        <v>0.40000000596046448</v>
      </c>
      <c r="C83" s="74">
        <v>0.05</v>
      </c>
      <c r="D83" s="74">
        <v>1</v>
      </c>
      <c r="E83" s="74">
        <v>0.2</v>
      </c>
      <c r="F83" s="74">
        <v>0.25</v>
      </c>
      <c r="G83" s="79"/>
      <c r="H83" s="79"/>
      <c r="I83" s="79"/>
      <c r="J83" s="79"/>
      <c r="K83" s="79"/>
      <c r="L83" s="74"/>
      <c r="M83" s="74"/>
      <c r="N83" s="74"/>
      <c r="O83" s="74"/>
    </row>
    <row r="84" spans="1:15" ht="15.75" customHeight="1" x14ac:dyDescent="0.25">
      <c r="A84" s="76" t="str">
        <f>[1]Entregables!C84</f>
        <v>14O1E2</v>
      </c>
      <c r="B84" s="74">
        <f>[1]Entregables!E84</f>
        <v>0.30000001192092896</v>
      </c>
      <c r="C84" s="74">
        <v>0</v>
      </c>
      <c r="D84" s="74">
        <v>0</v>
      </c>
      <c r="E84" s="74">
        <v>0.03</v>
      </c>
      <c r="F84" s="74">
        <v>0.03</v>
      </c>
      <c r="G84" s="79"/>
      <c r="H84" s="79"/>
      <c r="I84" s="79"/>
      <c r="J84" s="79"/>
      <c r="K84" s="79"/>
      <c r="L84" s="74"/>
      <c r="M84" s="74"/>
      <c r="N84" s="74"/>
      <c r="O84" s="74"/>
    </row>
    <row r="85" spans="1:15" ht="15.75" customHeight="1" x14ac:dyDescent="0.25">
      <c r="A85" s="76" t="str">
        <f>[1]Entregables!C85</f>
        <v>14O1E3</v>
      </c>
      <c r="B85" s="74">
        <f>[1]Entregables!E85</f>
        <v>0.30000001192092896</v>
      </c>
      <c r="C85" s="74">
        <v>0.04</v>
      </c>
      <c r="D85" s="74">
        <v>0.79999998807907124</v>
      </c>
      <c r="E85" s="74">
        <v>0.1</v>
      </c>
      <c r="F85" s="74">
        <v>0.14000000000000001</v>
      </c>
      <c r="G85" s="79"/>
      <c r="H85" s="79"/>
      <c r="I85" s="79"/>
      <c r="J85" s="79"/>
      <c r="K85" s="79"/>
      <c r="L85" s="74"/>
      <c r="M85" s="74"/>
      <c r="N85" s="74"/>
      <c r="O85" s="74"/>
    </row>
    <row r="86" spans="1:15" ht="15.75" customHeight="1" x14ac:dyDescent="0.25">
      <c r="A86" s="76" t="str">
        <f>[1]Entregables!C86</f>
        <v>14O2E1</v>
      </c>
      <c r="B86" s="74">
        <f>[1]Entregables!E86</f>
        <v>0.40000000596046448</v>
      </c>
      <c r="C86" s="74">
        <v>0.1</v>
      </c>
      <c r="D86" s="74">
        <v>0.99999998509883903</v>
      </c>
      <c r="E86" s="74">
        <v>0.2</v>
      </c>
      <c r="F86" s="74">
        <v>0.30000000000000004</v>
      </c>
      <c r="G86" s="79"/>
      <c r="H86" s="79"/>
      <c r="I86" s="79"/>
      <c r="J86" s="79"/>
      <c r="K86" s="79"/>
      <c r="L86" s="74"/>
      <c r="M86" s="74"/>
      <c r="N86" s="74"/>
      <c r="O86" s="74"/>
    </row>
    <row r="87" spans="1:15" ht="15.75" customHeight="1" x14ac:dyDescent="0.25">
      <c r="A87" s="76" t="str">
        <f>[1]Entregables!C87</f>
        <v>14O2E2</v>
      </c>
      <c r="B87" s="74">
        <f>[1]Entregables!E87</f>
        <v>0.60000002384185791</v>
      </c>
      <c r="C87" s="74">
        <v>0.1</v>
      </c>
      <c r="D87" s="74">
        <v>0.99999998509883903</v>
      </c>
      <c r="E87" s="74">
        <v>0.2</v>
      </c>
      <c r="F87" s="74">
        <v>0.30000000000000004</v>
      </c>
      <c r="G87" s="79"/>
      <c r="H87" s="79"/>
      <c r="I87" s="79"/>
      <c r="J87" s="79"/>
      <c r="K87" s="79"/>
      <c r="L87" s="74"/>
      <c r="M87" s="74"/>
      <c r="N87" s="74"/>
      <c r="O87" s="74"/>
    </row>
    <row r="88" spans="1:15" ht="15.75" customHeight="1" x14ac:dyDescent="0.25">
      <c r="A88" s="76" t="str">
        <f>[1]Entregables!C88</f>
        <v>14O3E1</v>
      </c>
      <c r="B88" s="74">
        <f>[1]Entregables!E88</f>
        <v>0.40000000596046448</v>
      </c>
      <c r="C88" s="74">
        <v>0.02</v>
      </c>
      <c r="D88" s="74">
        <v>0.19999999701976781</v>
      </c>
      <c r="E88" s="74">
        <v>0.08</v>
      </c>
      <c r="F88" s="74">
        <v>0.1</v>
      </c>
      <c r="G88" s="79"/>
      <c r="H88" s="79"/>
      <c r="I88" s="79"/>
      <c r="J88" s="79"/>
      <c r="K88" s="79"/>
      <c r="L88" s="74"/>
      <c r="M88" s="74"/>
      <c r="N88" s="74"/>
      <c r="O88" s="74"/>
    </row>
    <row r="89" spans="1:15" ht="15.75" customHeight="1" x14ac:dyDescent="0.25">
      <c r="A89" s="76" t="str">
        <f>[1]Entregables!C89</f>
        <v>14O3E2</v>
      </c>
      <c r="B89" s="74">
        <f>[1]Entregables!E89</f>
        <v>0.60000002384185791</v>
      </c>
      <c r="C89" s="74">
        <v>0.08</v>
      </c>
      <c r="D89" s="74">
        <v>0.79999998807907124</v>
      </c>
      <c r="E89" s="74">
        <v>0.15</v>
      </c>
      <c r="F89" s="74">
        <v>0.22999999999999998</v>
      </c>
      <c r="G89" s="79"/>
      <c r="H89" s="79"/>
      <c r="I89" s="79"/>
      <c r="J89" s="79"/>
      <c r="K89" s="79"/>
      <c r="L89" s="74"/>
      <c r="M89" s="74"/>
      <c r="N89" s="74"/>
      <c r="O89" s="74"/>
    </row>
    <row r="90" spans="1:15" ht="15.75" customHeight="1" x14ac:dyDescent="0.25">
      <c r="A90" s="76" t="str">
        <f>[1]Entregables!C90</f>
        <v>15O1E1</v>
      </c>
      <c r="B90" s="74">
        <f>[1]Entregables!E90</f>
        <v>0.40000000596046448</v>
      </c>
      <c r="C90" s="74">
        <v>0.3</v>
      </c>
      <c r="D90" s="74">
        <v>0.99999996026357174</v>
      </c>
      <c r="E90" s="74">
        <v>0.7</v>
      </c>
      <c r="F90" s="74">
        <v>1</v>
      </c>
      <c r="G90" s="79"/>
      <c r="H90" s="79"/>
      <c r="I90" s="79"/>
      <c r="J90" s="79"/>
      <c r="K90" s="79"/>
      <c r="L90" s="74"/>
      <c r="M90" s="74"/>
      <c r="N90" s="74"/>
      <c r="O90" s="74"/>
    </row>
    <row r="91" spans="1:15" ht="15.75" customHeight="1" x14ac:dyDescent="0.25">
      <c r="A91" s="76" t="str">
        <f>[1]Entregables!C91</f>
        <v>15O1E2</v>
      </c>
      <c r="B91" s="74">
        <f>[1]Entregables!E91</f>
        <v>0.60000002384185791</v>
      </c>
      <c r="C91" s="74">
        <v>0</v>
      </c>
      <c r="D91" s="74">
        <v>1</v>
      </c>
      <c r="E91" s="74">
        <v>0.13</v>
      </c>
      <c r="F91" s="74">
        <v>0.13</v>
      </c>
      <c r="G91" s="79"/>
      <c r="H91" s="79"/>
      <c r="I91" s="79"/>
      <c r="J91" s="79"/>
      <c r="K91" s="79"/>
      <c r="L91" s="74"/>
      <c r="M91" s="74"/>
      <c r="N91" s="74"/>
      <c r="O91" s="74"/>
    </row>
    <row r="92" spans="1:15" ht="15.75" customHeight="1" x14ac:dyDescent="0.25">
      <c r="A92" s="76" t="str">
        <f>[1]Entregables!C92</f>
        <v>15O2E1</v>
      </c>
      <c r="B92" s="74">
        <f>[1]Entregables!E92</f>
        <v>0.60000002384185791</v>
      </c>
      <c r="C92" s="74">
        <v>0.1</v>
      </c>
      <c r="D92" s="74">
        <v>0.49999999254941951</v>
      </c>
      <c r="E92" s="74">
        <v>0.8</v>
      </c>
      <c r="F92" s="74">
        <v>0.9</v>
      </c>
      <c r="G92" s="79"/>
      <c r="H92" s="79"/>
      <c r="I92" s="79"/>
      <c r="J92" s="79"/>
      <c r="K92" s="79"/>
      <c r="L92" s="74"/>
      <c r="M92" s="74"/>
      <c r="N92" s="74"/>
      <c r="O92" s="74"/>
    </row>
    <row r="93" spans="1:15" ht="15.75" customHeight="1" x14ac:dyDescent="0.25">
      <c r="A93" s="76" t="str">
        <f>[1]Entregables!C93</f>
        <v>15O2E2</v>
      </c>
      <c r="B93" s="74">
        <f>[1]Entregables!E93</f>
        <v>0.40000000596046448</v>
      </c>
      <c r="C93" s="74">
        <v>0</v>
      </c>
      <c r="D93" s="74">
        <v>1</v>
      </c>
      <c r="E93" s="74">
        <v>0.25</v>
      </c>
      <c r="F93" s="74">
        <v>0.25</v>
      </c>
      <c r="G93" s="79"/>
      <c r="H93" s="79"/>
      <c r="I93" s="79"/>
      <c r="J93" s="79"/>
      <c r="K93" s="79"/>
      <c r="L93" s="74"/>
      <c r="M93" s="74"/>
      <c r="N93" s="74"/>
      <c r="O93" s="74"/>
    </row>
    <row r="94" spans="1:15" ht="15.75" customHeight="1" x14ac:dyDescent="0.25">
      <c r="A94" s="76" t="str">
        <f>[1]Entregables!C94</f>
        <v>16O1E1</v>
      </c>
      <c r="B94" s="74">
        <f>[1]Entregables!E94</f>
        <v>0.60000002384185791</v>
      </c>
      <c r="C94" s="74">
        <v>0.02</v>
      </c>
      <c r="D94" s="74">
        <v>1</v>
      </c>
      <c r="E94" s="74">
        <v>0.03</v>
      </c>
      <c r="F94" s="74">
        <v>0.05</v>
      </c>
      <c r="G94" s="79"/>
      <c r="H94" s="79"/>
      <c r="I94" s="79"/>
      <c r="J94" s="79"/>
      <c r="K94" s="79"/>
      <c r="L94" s="74"/>
      <c r="M94" s="74"/>
      <c r="N94" s="74"/>
      <c r="O94" s="74"/>
    </row>
    <row r="95" spans="1:15" ht="15.75" customHeight="1" x14ac:dyDescent="0.25">
      <c r="A95" s="76" t="str">
        <f>[1]Entregables!C95</f>
        <v>16O1E2</v>
      </c>
      <c r="B95" s="74">
        <f>[1]Entregables!E95</f>
        <v>0.20000000298023224</v>
      </c>
      <c r="C95" s="74">
        <v>0</v>
      </c>
      <c r="D95" s="74">
        <v>1</v>
      </c>
      <c r="E95" s="74">
        <v>0.1</v>
      </c>
      <c r="F95" s="74">
        <v>0.1</v>
      </c>
      <c r="G95" s="79"/>
      <c r="H95" s="79"/>
      <c r="I95" s="79"/>
      <c r="J95" s="79"/>
      <c r="K95" s="79"/>
      <c r="L95" s="74"/>
      <c r="M95" s="74"/>
      <c r="N95" s="74"/>
      <c r="O95" s="74"/>
    </row>
    <row r="96" spans="1:15" ht="15.75" customHeight="1" x14ac:dyDescent="0.25">
      <c r="A96" s="76" t="str">
        <f>[1]Entregables!C96</f>
        <v>16O1E3</v>
      </c>
      <c r="B96" s="74">
        <f>[1]Entregables!E96</f>
        <v>0.10000000149011612</v>
      </c>
      <c r="C96" s="74">
        <v>0.15</v>
      </c>
      <c r="D96" s="74">
        <v>1</v>
      </c>
      <c r="E96" s="74">
        <v>0.1</v>
      </c>
      <c r="F96" s="74">
        <v>0.25</v>
      </c>
      <c r="G96" s="79"/>
      <c r="H96" s="79"/>
      <c r="I96" s="79"/>
      <c r="J96" s="79"/>
      <c r="K96" s="79"/>
      <c r="L96" s="74"/>
      <c r="M96" s="74"/>
      <c r="N96" s="74"/>
      <c r="O96" s="74"/>
    </row>
    <row r="97" spans="1:15" ht="15.75" customHeight="1" x14ac:dyDescent="0.25">
      <c r="A97" s="76" t="str">
        <f>[1]Entregables!C97</f>
        <v>16O1E4</v>
      </c>
      <c r="B97" s="74">
        <f>[1]Entregables!E97</f>
        <v>0.10000000149011612</v>
      </c>
      <c r="C97" s="74">
        <v>0.1</v>
      </c>
      <c r="D97" s="74">
        <v>1</v>
      </c>
      <c r="E97" s="74">
        <v>0.3</v>
      </c>
      <c r="F97" s="74">
        <v>0.4</v>
      </c>
      <c r="G97" s="79"/>
      <c r="H97" s="79"/>
      <c r="I97" s="79"/>
      <c r="J97" s="79"/>
      <c r="K97" s="79"/>
      <c r="L97" s="74"/>
      <c r="M97" s="74"/>
      <c r="N97" s="74"/>
      <c r="O97" s="74"/>
    </row>
    <row r="98" spans="1:15" ht="15.75" customHeight="1" x14ac:dyDescent="0.25">
      <c r="A98" s="76" t="str">
        <f>[1]Entregables!C98</f>
        <v>16O2E1</v>
      </c>
      <c r="B98" s="74">
        <f>[1]Entregables!E98</f>
        <v>1</v>
      </c>
      <c r="C98" s="74">
        <v>0.05</v>
      </c>
      <c r="D98" s="74">
        <v>1</v>
      </c>
      <c r="E98" s="74">
        <v>0.1</v>
      </c>
      <c r="F98" s="74">
        <v>0.15000000000000002</v>
      </c>
      <c r="G98" s="79"/>
      <c r="H98" s="79"/>
      <c r="I98" s="79"/>
      <c r="J98" s="79"/>
      <c r="K98" s="79"/>
      <c r="L98" s="74"/>
      <c r="M98" s="74"/>
      <c r="N98" s="74"/>
      <c r="O98" s="74"/>
    </row>
    <row r="99" spans="1:15" ht="15.75" customHeight="1" x14ac:dyDescent="0.25">
      <c r="A99" s="76" t="str">
        <f>[1]Entregables!C99</f>
        <v>17O1E1</v>
      </c>
      <c r="B99" s="74">
        <f>[1]Entregables!E99</f>
        <v>0.20000000298023224</v>
      </c>
      <c r="C99" s="74">
        <v>0.1</v>
      </c>
      <c r="D99" s="74">
        <v>0.99999998509883903</v>
      </c>
      <c r="E99" s="74">
        <v>0.4</v>
      </c>
      <c r="F99" s="74">
        <v>0.5</v>
      </c>
      <c r="G99" s="79"/>
      <c r="H99" s="79"/>
      <c r="I99" s="79"/>
      <c r="J99" s="79"/>
      <c r="K99" s="79"/>
      <c r="L99" s="74"/>
      <c r="M99" s="74"/>
      <c r="N99" s="74"/>
      <c r="O99" s="74"/>
    </row>
    <row r="100" spans="1:15" ht="15.75" customHeight="1" x14ac:dyDescent="0.25">
      <c r="A100" s="76" t="str">
        <f>[1]Entregables!C100</f>
        <v>17O1E2</v>
      </c>
      <c r="B100" s="74">
        <f>[1]Entregables!E100</f>
        <v>0.30000001192092896</v>
      </c>
      <c r="C100" s="74">
        <v>0.05</v>
      </c>
      <c r="D100" s="74">
        <v>0.99999998509883903</v>
      </c>
      <c r="E100" s="74">
        <v>0.2</v>
      </c>
      <c r="F100" s="74">
        <v>0.25</v>
      </c>
      <c r="G100" s="79"/>
      <c r="H100" s="79"/>
      <c r="I100" s="79"/>
      <c r="J100" s="79"/>
      <c r="K100" s="79"/>
      <c r="L100" s="74"/>
      <c r="M100" s="74"/>
      <c r="N100" s="74"/>
      <c r="O100" s="74"/>
    </row>
    <row r="101" spans="1:15" ht="15.75" customHeight="1" x14ac:dyDescent="0.25">
      <c r="A101" s="76" t="str">
        <f>[1]Entregables!C101</f>
        <v>17O1E3</v>
      </c>
      <c r="B101" s="74">
        <f>[1]Entregables!E101</f>
        <v>0.30000001192092896</v>
      </c>
      <c r="C101" s="74">
        <v>0.05</v>
      </c>
      <c r="D101" s="74">
        <v>0.99999998509883903</v>
      </c>
      <c r="E101" s="74">
        <v>0.2</v>
      </c>
      <c r="F101" s="74">
        <v>0.25</v>
      </c>
      <c r="G101" s="79"/>
      <c r="H101" s="79"/>
      <c r="I101" s="79"/>
      <c r="J101" s="79"/>
      <c r="K101" s="79"/>
      <c r="L101" s="74"/>
      <c r="M101" s="74"/>
      <c r="N101" s="74"/>
      <c r="O101" s="74"/>
    </row>
    <row r="102" spans="1:15" ht="15.75" customHeight="1" x14ac:dyDescent="0.25">
      <c r="A102" s="76" t="str">
        <f>[1]Entregables!C102</f>
        <v>17O1E4</v>
      </c>
      <c r="B102" s="74">
        <f>[1]Entregables!E102</f>
        <v>0.20000000298023224</v>
      </c>
      <c r="C102" s="74">
        <v>0</v>
      </c>
      <c r="D102" s="74">
        <v>1</v>
      </c>
      <c r="E102" s="74">
        <v>0</v>
      </c>
      <c r="F102" s="74">
        <v>0</v>
      </c>
      <c r="G102" s="79"/>
      <c r="H102" s="79"/>
      <c r="I102" s="79"/>
      <c r="J102" s="79"/>
      <c r="K102" s="79"/>
      <c r="L102" s="74"/>
      <c r="M102" s="74"/>
      <c r="N102" s="74"/>
      <c r="O102" s="74"/>
    </row>
    <row r="103" spans="1:15" ht="15.75" customHeight="1" x14ac:dyDescent="0.25">
      <c r="A103" s="76" t="str">
        <f>[1]Entregables!C103</f>
        <v>17O2E1</v>
      </c>
      <c r="B103" s="74">
        <f>[1]Entregables!E103</f>
        <v>0.5</v>
      </c>
      <c r="C103" s="74">
        <v>0.05</v>
      </c>
      <c r="D103" s="74">
        <v>1</v>
      </c>
      <c r="E103" s="74">
        <v>0.05</v>
      </c>
      <c r="F103" s="74">
        <v>0.1</v>
      </c>
      <c r="G103" s="79"/>
      <c r="H103" s="79"/>
      <c r="I103" s="79"/>
      <c r="J103" s="79"/>
      <c r="K103" s="79"/>
      <c r="L103" s="74"/>
      <c r="M103" s="74"/>
      <c r="N103" s="74"/>
      <c r="O103" s="74"/>
    </row>
    <row r="104" spans="1:15" ht="15.75" customHeight="1" x14ac:dyDescent="0.25">
      <c r="A104" s="76" t="str">
        <f>[1]Entregables!C104</f>
        <v>17O2E2</v>
      </c>
      <c r="B104" s="74">
        <f>[1]Entregables!E104</f>
        <v>0.20000000298023224</v>
      </c>
      <c r="C104" s="74">
        <v>0</v>
      </c>
      <c r="D104" s="74">
        <v>1</v>
      </c>
      <c r="E104" s="74">
        <v>0</v>
      </c>
      <c r="F104" s="74">
        <v>0</v>
      </c>
      <c r="G104" s="79"/>
      <c r="H104" s="79"/>
      <c r="I104" s="79"/>
      <c r="J104" s="79"/>
      <c r="K104" s="79"/>
      <c r="L104" s="74"/>
      <c r="M104" s="74"/>
      <c r="N104" s="74"/>
      <c r="O104" s="74"/>
    </row>
    <row r="105" spans="1:15" ht="15.75" customHeight="1" x14ac:dyDescent="0.25">
      <c r="A105" s="76" t="str">
        <f>[1]Entregables!C105</f>
        <v>17O2E3</v>
      </c>
      <c r="B105" s="74">
        <f>[1]Entregables!E105</f>
        <v>0.30000001192092896</v>
      </c>
      <c r="C105" s="74">
        <v>0</v>
      </c>
      <c r="D105" s="74">
        <v>1</v>
      </c>
      <c r="E105" s="74">
        <v>0</v>
      </c>
      <c r="F105" s="74">
        <v>0</v>
      </c>
      <c r="G105" s="79"/>
      <c r="H105" s="79"/>
      <c r="I105" s="79"/>
      <c r="J105" s="79"/>
      <c r="K105" s="79"/>
      <c r="L105" s="74"/>
      <c r="M105" s="74"/>
      <c r="N105" s="74"/>
      <c r="O105" s="74"/>
    </row>
    <row r="106" spans="1:15" ht="15.75" customHeight="1" x14ac:dyDescent="0.25">
      <c r="A106" s="76" t="str">
        <f>[1]Entregables!C106</f>
        <v>17O3E1</v>
      </c>
      <c r="B106" s="74">
        <f>[1]Entregables!E106</f>
        <v>0.40000000596046448</v>
      </c>
      <c r="C106" s="74">
        <v>0</v>
      </c>
      <c r="D106" s="74">
        <v>1</v>
      </c>
      <c r="E106" s="74">
        <v>0.05</v>
      </c>
      <c r="F106" s="74">
        <v>0.05</v>
      </c>
      <c r="G106" s="79"/>
      <c r="H106" s="79"/>
      <c r="I106" s="79"/>
      <c r="J106" s="79"/>
      <c r="K106" s="79"/>
      <c r="L106" s="74"/>
      <c r="M106" s="74"/>
      <c r="N106" s="74"/>
      <c r="O106" s="74"/>
    </row>
    <row r="107" spans="1:15" ht="15.75" customHeight="1" x14ac:dyDescent="0.25">
      <c r="A107" s="76" t="str">
        <f>[1]Entregables!C107</f>
        <v>17O3E2</v>
      </c>
      <c r="B107" s="74">
        <f>[1]Entregables!E107</f>
        <v>0.30000001192092896</v>
      </c>
      <c r="C107" s="74">
        <v>0</v>
      </c>
      <c r="D107" s="74">
        <v>1</v>
      </c>
      <c r="E107" s="74">
        <v>0</v>
      </c>
      <c r="F107" s="74">
        <v>0</v>
      </c>
      <c r="G107" s="79"/>
      <c r="H107" s="79"/>
      <c r="I107" s="79"/>
      <c r="J107" s="79"/>
      <c r="K107" s="79"/>
      <c r="L107" s="74"/>
      <c r="M107" s="74"/>
      <c r="N107" s="74"/>
      <c r="O107" s="74"/>
    </row>
    <row r="108" spans="1:15" ht="15.75" customHeight="1" x14ac:dyDescent="0.25">
      <c r="A108" s="76" t="str">
        <f>[1]Entregables!C108</f>
        <v>17O3E3</v>
      </c>
      <c r="B108" s="74">
        <f>[1]Entregables!E108</f>
        <v>0.20000000298023224</v>
      </c>
      <c r="C108" s="74">
        <v>0</v>
      </c>
      <c r="D108" s="74">
        <v>1</v>
      </c>
      <c r="E108" s="74">
        <v>0.2</v>
      </c>
      <c r="F108" s="74">
        <v>0.2</v>
      </c>
      <c r="G108" s="79"/>
      <c r="H108" s="79"/>
      <c r="I108" s="79"/>
      <c r="J108" s="79"/>
      <c r="K108" s="79"/>
      <c r="L108" s="74"/>
      <c r="M108" s="74"/>
      <c r="N108" s="74"/>
      <c r="O108" s="74"/>
    </row>
    <row r="109" spans="1:15" ht="15.75" customHeight="1" x14ac:dyDescent="0.25">
      <c r="A109" s="76" t="str">
        <f>[1]Entregables!C109</f>
        <v>17O3E4</v>
      </c>
      <c r="B109" s="74">
        <f>[1]Entregables!E109</f>
        <v>0.10000000149011612</v>
      </c>
      <c r="C109" s="74">
        <v>0</v>
      </c>
      <c r="D109" s="74">
        <v>1</v>
      </c>
      <c r="E109" s="74">
        <v>0</v>
      </c>
      <c r="F109" s="74">
        <v>0</v>
      </c>
      <c r="G109" s="79"/>
      <c r="H109" s="79"/>
      <c r="I109" s="79"/>
      <c r="J109" s="79"/>
      <c r="K109" s="79"/>
      <c r="L109" s="74"/>
      <c r="M109" s="74"/>
      <c r="N109" s="74"/>
      <c r="O109" s="74"/>
    </row>
    <row r="110" spans="1:15" ht="15.75" customHeight="1" x14ac:dyDescent="0.25">
      <c r="A110" s="76" t="str">
        <f>[1]Entregables!C110</f>
        <v>17O4E1</v>
      </c>
      <c r="B110" s="74">
        <f>[1]Entregables!E110</f>
        <v>0.30000001192092896</v>
      </c>
      <c r="C110" s="74">
        <v>0</v>
      </c>
      <c r="D110" s="74">
        <v>1</v>
      </c>
      <c r="E110" s="74">
        <v>0.2</v>
      </c>
      <c r="F110" s="74">
        <v>0.2</v>
      </c>
      <c r="G110" s="79"/>
      <c r="H110" s="79"/>
      <c r="I110" s="79"/>
      <c r="J110" s="79"/>
      <c r="K110" s="79"/>
      <c r="L110" s="74"/>
      <c r="M110" s="74"/>
      <c r="N110" s="74"/>
      <c r="O110" s="74"/>
    </row>
    <row r="111" spans="1:15" ht="15.75" customHeight="1" x14ac:dyDescent="0.25">
      <c r="A111" s="76" t="str">
        <f>[1]Entregables!C111</f>
        <v>17O4E2</v>
      </c>
      <c r="B111" s="74">
        <f>[1]Entregables!E111</f>
        <v>0.5</v>
      </c>
      <c r="C111" s="74">
        <v>0.05</v>
      </c>
      <c r="D111" s="74">
        <v>1</v>
      </c>
      <c r="E111" s="74">
        <v>0.2</v>
      </c>
      <c r="F111" s="74">
        <v>0.25</v>
      </c>
      <c r="G111" s="79"/>
      <c r="H111" s="79"/>
      <c r="I111" s="79"/>
      <c r="J111" s="79"/>
      <c r="K111" s="79"/>
      <c r="L111" s="74"/>
      <c r="M111" s="74"/>
      <c r="N111" s="74"/>
      <c r="O111" s="74"/>
    </row>
    <row r="112" spans="1:15" ht="15.75" customHeight="1" x14ac:dyDescent="0.25">
      <c r="A112" s="76" t="str">
        <f>[1]Entregables!C112</f>
        <v>17O4E3</v>
      </c>
      <c r="B112" s="74">
        <f>[1]Entregables!E112</f>
        <v>0.20000000298023224</v>
      </c>
      <c r="C112" s="74">
        <v>0</v>
      </c>
      <c r="D112" s="74">
        <v>1</v>
      </c>
      <c r="E112" s="74">
        <v>0</v>
      </c>
      <c r="F112" s="74">
        <v>0</v>
      </c>
      <c r="G112" s="79"/>
      <c r="H112" s="79"/>
      <c r="I112" s="79"/>
      <c r="J112" s="79"/>
      <c r="K112" s="79"/>
      <c r="L112" s="74"/>
      <c r="M112" s="74"/>
      <c r="N112" s="74"/>
      <c r="O112" s="74"/>
    </row>
    <row r="113" spans="1:15" ht="15.75" customHeight="1" x14ac:dyDescent="0.25">
      <c r="A113" s="76" t="str">
        <f>[1]Entregables!C113</f>
        <v>18O1E1</v>
      </c>
      <c r="B113" s="74">
        <f>[1]Entregables!E113</f>
        <v>0.30000001192092896</v>
      </c>
      <c r="C113" s="74">
        <v>0.1</v>
      </c>
      <c r="D113" s="74">
        <v>0.99999998509883903</v>
      </c>
      <c r="E113" s="74">
        <v>0.9</v>
      </c>
      <c r="F113" s="74">
        <v>1</v>
      </c>
      <c r="G113" s="79"/>
      <c r="H113" s="79"/>
      <c r="I113" s="79"/>
      <c r="J113" s="79"/>
      <c r="K113" s="79"/>
      <c r="L113" s="74"/>
      <c r="M113" s="74"/>
      <c r="N113" s="74"/>
      <c r="O113" s="74"/>
    </row>
    <row r="114" spans="1:15" ht="15.75" customHeight="1" x14ac:dyDescent="0.25">
      <c r="A114" s="76" t="str">
        <f>[1]Entregables!C114</f>
        <v>18O1E2</v>
      </c>
      <c r="B114" s="74">
        <f>[1]Entregables!E114</f>
        <v>0.5</v>
      </c>
      <c r="C114" s="74">
        <v>0</v>
      </c>
      <c r="D114" s="74">
        <v>1</v>
      </c>
      <c r="E114" s="74">
        <v>0.81</v>
      </c>
      <c r="F114" s="74">
        <v>0.81</v>
      </c>
      <c r="G114" s="79"/>
      <c r="H114" s="79"/>
      <c r="I114" s="79"/>
      <c r="J114" s="79"/>
      <c r="K114" s="79"/>
      <c r="L114" s="74"/>
      <c r="M114" s="74"/>
      <c r="N114" s="74"/>
      <c r="O114" s="74"/>
    </row>
    <row r="115" spans="1:15" ht="15.75" customHeight="1" x14ac:dyDescent="0.25">
      <c r="A115" s="76" t="str">
        <f>[1]Entregables!C115</f>
        <v>18O1E3</v>
      </c>
      <c r="B115" s="74">
        <f>[1]Entregables!E115</f>
        <v>0.20000000298023224</v>
      </c>
      <c r="C115" s="74">
        <v>0</v>
      </c>
      <c r="D115" s="74">
        <v>1</v>
      </c>
      <c r="E115" s="74">
        <v>0.1</v>
      </c>
      <c r="F115" s="74">
        <v>0.1</v>
      </c>
      <c r="G115" s="79"/>
      <c r="H115" s="79"/>
      <c r="I115" s="79"/>
      <c r="J115" s="79"/>
      <c r="K115" s="79"/>
      <c r="L115" s="74"/>
      <c r="M115" s="74"/>
      <c r="N115" s="74"/>
      <c r="O115" s="74"/>
    </row>
    <row r="116" spans="1:15" ht="15.75" customHeight="1" x14ac:dyDescent="0.25">
      <c r="A116" s="76" t="str">
        <f>[1]Entregables!C116</f>
        <v>18O2E1</v>
      </c>
      <c r="B116" s="74">
        <f>[1]Entregables!E116</f>
        <v>0.25</v>
      </c>
      <c r="C116" s="74">
        <v>0.75</v>
      </c>
      <c r="D116" s="74">
        <v>1</v>
      </c>
      <c r="E116" s="74">
        <v>0.25</v>
      </c>
      <c r="F116" s="74">
        <v>1</v>
      </c>
      <c r="G116" s="79"/>
      <c r="H116" s="79"/>
      <c r="I116" s="79"/>
      <c r="J116" s="79"/>
      <c r="K116" s="79"/>
      <c r="L116" s="74"/>
      <c r="M116" s="74"/>
      <c r="N116" s="74"/>
      <c r="O116" s="74"/>
    </row>
    <row r="117" spans="1:15" ht="15.75" customHeight="1" x14ac:dyDescent="0.25">
      <c r="A117" s="76" t="str">
        <f>[1]Entregables!C117</f>
        <v>18O2E2</v>
      </c>
      <c r="B117" s="74">
        <f>[1]Entregables!E117</f>
        <v>0.34999999403953552</v>
      </c>
      <c r="C117" s="74">
        <v>0.7</v>
      </c>
      <c r="D117" s="74">
        <v>1</v>
      </c>
      <c r="E117" s="74">
        <v>0.3</v>
      </c>
      <c r="F117" s="74">
        <v>1</v>
      </c>
      <c r="G117" s="79"/>
      <c r="H117" s="79"/>
      <c r="I117" s="79"/>
      <c r="J117" s="79"/>
      <c r="K117" s="79"/>
      <c r="L117" s="74"/>
      <c r="M117" s="74"/>
      <c r="N117" s="74"/>
      <c r="O117" s="74"/>
    </row>
    <row r="118" spans="1:15" ht="15.75" customHeight="1" x14ac:dyDescent="0.25">
      <c r="A118" s="76" t="str">
        <f>[1]Entregables!C118</f>
        <v>18O2E3</v>
      </c>
      <c r="B118" s="74">
        <f>[1]Entregables!E118</f>
        <v>0.40000000596046448</v>
      </c>
      <c r="C118" s="74">
        <v>0</v>
      </c>
      <c r="D118" s="74">
        <v>1</v>
      </c>
      <c r="E118" s="74">
        <v>0.2</v>
      </c>
      <c r="F118" s="74">
        <v>0.2</v>
      </c>
      <c r="G118" s="79"/>
      <c r="H118" s="79"/>
      <c r="I118" s="79"/>
      <c r="J118" s="79"/>
      <c r="K118" s="79"/>
      <c r="L118" s="74"/>
      <c r="M118" s="74"/>
      <c r="N118" s="74"/>
      <c r="O118" s="74"/>
    </row>
    <row r="119" spans="1:15" ht="15.75" customHeight="1" x14ac:dyDescent="0.25">
      <c r="A119" s="76" t="str">
        <f>[1]Entregables!C119</f>
        <v>19O1E1</v>
      </c>
      <c r="B119" s="74">
        <f>[1]Entregables!E119</f>
        <v>0.69999998807907104</v>
      </c>
      <c r="C119" s="74">
        <v>0.05</v>
      </c>
      <c r="D119" s="74">
        <v>0.99999998509883903</v>
      </c>
      <c r="E119" s="74">
        <v>0.4</v>
      </c>
      <c r="F119" s="74">
        <v>0.45</v>
      </c>
      <c r="G119" s="79"/>
      <c r="H119" s="79"/>
      <c r="I119" s="79"/>
      <c r="J119" s="79"/>
      <c r="K119" s="79"/>
      <c r="L119" s="74"/>
      <c r="M119" s="74"/>
      <c r="N119" s="74"/>
      <c r="O119" s="74"/>
    </row>
    <row r="120" spans="1:15" ht="15.75" customHeight="1" x14ac:dyDescent="0.25">
      <c r="A120" s="76" t="str">
        <f>[1]Entregables!C120</f>
        <v>19O1E2</v>
      </c>
      <c r="B120" s="74">
        <f>[1]Entregables!E120</f>
        <v>0.30000001192092896</v>
      </c>
      <c r="C120" s="74">
        <v>0</v>
      </c>
      <c r="D120" s="74">
        <v>1</v>
      </c>
      <c r="E120" s="74">
        <v>0.15</v>
      </c>
      <c r="F120" s="74">
        <v>0.15</v>
      </c>
      <c r="G120" s="79"/>
      <c r="H120" s="79"/>
      <c r="I120" s="79"/>
      <c r="J120" s="79"/>
      <c r="K120" s="79"/>
      <c r="L120" s="74"/>
      <c r="M120" s="74"/>
      <c r="N120" s="74"/>
      <c r="O120" s="74"/>
    </row>
    <row r="121" spans="1:15" ht="15.75" customHeight="1" x14ac:dyDescent="0.25">
      <c r="A121" s="76" t="str">
        <f>[1]Entregables!C121</f>
        <v>19O2E1</v>
      </c>
      <c r="B121" s="74">
        <f>[1]Entregables!E121</f>
        <v>0.60000002384185791</v>
      </c>
      <c r="C121" s="74">
        <v>0.05</v>
      </c>
      <c r="D121" s="74">
        <v>0.99999998509883903</v>
      </c>
      <c r="E121" s="74">
        <v>0.25</v>
      </c>
      <c r="F121" s="74">
        <v>0.3</v>
      </c>
      <c r="G121" s="79"/>
      <c r="H121" s="79"/>
      <c r="I121" s="79"/>
      <c r="J121" s="79"/>
      <c r="K121" s="79"/>
      <c r="L121" s="74"/>
      <c r="M121" s="74"/>
      <c r="N121" s="74"/>
      <c r="O121" s="74"/>
    </row>
    <row r="122" spans="1:15" ht="15.75" customHeight="1" x14ac:dyDescent="0.25">
      <c r="A122" s="76" t="str">
        <f>[1]Entregables!C122</f>
        <v>19O2E2</v>
      </c>
      <c r="B122" s="74">
        <f>[1]Entregables!E122</f>
        <v>0.30000001192092896</v>
      </c>
      <c r="C122" s="74">
        <v>0</v>
      </c>
      <c r="D122" s="74">
        <v>1</v>
      </c>
      <c r="E122" s="74">
        <v>0</v>
      </c>
      <c r="F122" s="74">
        <v>0</v>
      </c>
      <c r="G122" s="79"/>
      <c r="H122" s="79"/>
      <c r="I122" s="79"/>
      <c r="J122" s="79"/>
      <c r="K122" s="79"/>
      <c r="L122" s="74"/>
      <c r="M122" s="74"/>
      <c r="N122" s="74"/>
      <c r="O122" s="74"/>
    </row>
    <row r="123" spans="1:15" ht="15.75" customHeight="1" x14ac:dyDescent="0.25">
      <c r="A123" s="76" t="str">
        <f>[1]Entregables!C123</f>
        <v>19O2E3</v>
      </c>
      <c r="B123" s="74">
        <f>[1]Entregables!E123</f>
        <v>0.10000000149011612</v>
      </c>
      <c r="C123" s="74">
        <v>0</v>
      </c>
      <c r="D123" s="74">
        <v>1</v>
      </c>
      <c r="E123" s="74">
        <v>0.15</v>
      </c>
      <c r="F123" s="74">
        <v>0.15</v>
      </c>
      <c r="G123" s="79"/>
      <c r="H123" s="79"/>
      <c r="I123" s="79"/>
      <c r="J123" s="79"/>
      <c r="K123" s="79"/>
      <c r="L123" s="74"/>
      <c r="M123" s="74"/>
      <c r="N123" s="74"/>
      <c r="O123" s="74"/>
    </row>
    <row r="124" spans="1:15" ht="15.75" customHeight="1" x14ac:dyDescent="0.25">
      <c r="A124" s="76" t="str">
        <f>[1]Entregables!C124</f>
        <v>19O3E1</v>
      </c>
      <c r="B124" s="74">
        <f>[1]Entregables!E124</f>
        <v>0.30000001192092896</v>
      </c>
      <c r="C124" s="74">
        <v>0</v>
      </c>
      <c r="D124" s="74">
        <v>1</v>
      </c>
      <c r="E124" s="74">
        <v>0.25</v>
      </c>
      <c r="F124" s="74">
        <v>0.25</v>
      </c>
      <c r="G124" s="79"/>
      <c r="H124" s="79"/>
      <c r="I124" s="79"/>
      <c r="J124" s="79"/>
      <c r="K124" s="79"/>
      <c r="L124" s="74"/>
      <c r="M124" s="74"/>
      <c r="N124" s="74"/>
      <c r="O124" s="74"/>
    </row>
    <row r="125" spans="1:15" ht="15.75" customHeight="1" x14ac:dyDescent="0.25">
      <c r="A125" s="76" t="str">
        <f>[1]Entregables!C125</f>
        <v>19O3E2</v>
      </c>
      <c r="B125" s="74">
        <f>[1]Entregables!E125</f>
        <v>0.30000001192092896</v>
      </c>
      <c r="C125" s="74">
        <v>0.05</v>
      </c>
      <c r="D125" s="74">
        <v>0.99999998509883903</v>
      </c>
      <c r="E125" s="74">
        <v>0.25</v>
      </c>
      <c r="F125" s="74">
        <v>0.3</v>
      </c>
      <c r="G125" s="79"/>
      <c r="H125" s="79"/>
      <c r="I125" s="79"/>
      <c r="J125" s="79"/>
      <c r="K125" s="79"/>
      <c r="L125" s="74"/>
      <c r="M125" s="74"/>
      <c r="N125" s="74"/>
      <c r="O125" s="74"/>
    </row>
    <row r="126" spans="1:15" ht="15.75" customHeight="1" x14ac:dyDescent="0.25">
      <c r="A126" s="76" t="str">
        <f>[1]Entregables!C126</f>
        <v>19O3E3</v>
      </c>
      <c r="B126" s="74">
        <f>[1]Entregables!E126</f>
        <v>0.20000000298023224</v>
      </c>
      <c r="C126" s="74">
        <v>0.05</v>
      </c>
      <c r="D126" s="74">
        <v>0.99999998509883903</v>
      </c>
      <c r="E126" s="74">
        <v>0.1</v>
      </c>
      <c r="F126" s="74">
        <v>0.15000000000000002</v>
      </c>
      <c r="G126" s="79"/>
      <c r="H126" s="79"/>
      <c r="I126" s="79"/>
      <c r="J126" s="79"/>
      <c r="K126" s="79"/>
      <c r="L126" s="74"/>
      <c r="M126" s="74"/>
      <c r="N126" s="74"/>
      <c r="O126" s="74"/>
    </row>
    <row r="127" spans="1:15" ht="15.75" customHeight="1" x14ac:dyDescent="0.25">
      <c r="A127" s="76" t="str">
        <f>[1]Entregables!C127</f>
        <v>19O3E4</v>
      </c>
      <c r="B127" s="74">
        <f>[1]Entregables!E127</f>
        <v>0.20000000298023224</v>
      </c>
      <c r="C127" s="74">
        <v>0.05</v>
      </c>
      <c r="D127" s="74">
        <v>0.99999998509883903</v>
      </c>
      <c r="E127" s="74">
        <v>0.1</v>
      </c>
      <c r="F127" s="74">
        <v>0.15000000000000002</v>
      </c>
      <c r="G127" s="79"/>
      <c r="H127" s="79"/>
      <c r="I127" s="79"/>
      <c r="J127" s="79"/>
      <c r="K127" s="79"/>
      <c r="L127" s="74"/>
      <c r="M127" s="74"/>
      <c r="N127" s="74"/>
      <c r="O127" s="74"/>
    </row>
    <row r="128" spans="1:15" ht="15.75" customHeight="1" x14ac:dyDescent="0.25">
      <c r="A128" s="76" t="str">
        <f>[1]Entregables!C128</f>
        <v>19O4E1</v>
      </c>
      <c r="B128" s="74">
        <f>[1]Entregables!E128</f>
        <v>0.20000000298023224</v>
      </c>
      <c r="C128" s="74">
        <v>0.12</v>
      </c>
      <c r="D128" s="74">
        <v>1</v>
      </c>
      <c r="E128" s="74">
        <v>0.26</v>
      </c>
      <c r="F128" s="74">
        <v>0.38</v>
      </c>
      <c r="G128" s="79"/>
      <c r="H128" s="79"/>
      <c r="I128" s="79"/>
      <c r="J128" s="79"/>
      <c r="K128" s="79"/>
      <c r="L128" s="74"/>
      <c r="M128" s="74"/>
      <c r="N128" s="74"/>
      <c r="O128" s="74"/>
    </row>
    <row r="129" spans="1:15" ht="15.75" customHeight="1" x14ac:dyDescent="0.25">
      <c r="A129" s="76" t="str">
        <f>[1]Entregables!C129</f>
        <v>19O4E2</v>
      </c>
      <c r="B129" s="74">
        <f>[1]Entregables!E129</f>
        <v>0.20000000298023224</v>
      </c>
      <c r="C129" s="74">
        <v>0.06</v>
      </c>
      <c r="D129" s="74">
        <v>1</v>
      </c>
      <c r="E129" s="74">
        <v>0.27</v>
      </c>
      <c r="F129" s="74">
        <v>0.33</v>
      </c>
      <c r="G129" s="79"/>
      <c r="H129" s="79"/>
      <c r="I129" s="79"/>
      <c r="J129" s="79"/>
      <c r="K129" s="79"/>
      <c r="L129" s="74"/>
      <c r="M129" s="74"/>
      <c r="N129" s="74"/>
      <c r="O129" s="74"/>
    </row>
    <row r="130" spans="1:15" ht="15.75" customHeight="1" x14ac:dyDescent="0.25">
      <c r="A130" s="76" t="str">
        <f>[1]Entregables!C130</f>
        <v>19O4E3</v>
      </c>
      <c r="B130" s="74">
        <f>[1]Entregables!E130</f>
        <v>0.20000000298023224</v>
      </c>
      <c r="C130" s="74">
        <v>0.06</v>
      </c>
      <c r="D130" s="74">
        <v>1</v>
      </c>
      <c r="E130" s="74">
        <v>0.16</v>
      </c>
      <c r="F130" s="74">
        <v>0.22</v>
      </c>
      <c r="G130" s="79"/>
      <c r="H130" s="79"/>
      <c r="I130" s="79"/>
      <c r="J130" s="79"/>
      <c r="K130" s="79"/>
      <c r="L130" s="74"/>
      <c r="M130" s="74"/>
      <c r="N130" s="74"/>
      <c r="O130" s="74"/>
    </row>
    <row r="131" spans="1:15" ht="15.75" customHeight="1" x14ac:dyDescent="0.25">
      <c r="A131" s="76" t="str">
        <f>[1]Entregables!C131</f>
        <v>19O4E4</v>
      </c>
      <c r="B131" s="74">
        <f>[1]Entregables!E131</f>
        <v>0.20000000298023224</v>
      </c>
      <c r="C131" s="74">
        <v>0.05</v>
      </c>
      <c r="D131" s="74">
        <v>0.99999998509883903</v>
      </c>
      <c r="E131" s="74">
        <v>0.3</v>
      </c>
      <c r="F131" s="74">
        <v>0.35</v>
      </c>
      <c r="G131" s="79"/>
      <c r="H131" s="79"/>
      <c r="I131" s="79"/>
      <c r="J131" s="79"/>
      <c r="K131" s="79"/>
      <c r="L131" s="74"/>
      <c r="M131" s="74"/>
      <c r="N131" s="74"/>
      <c r="O131" s="74"/>
    </row>
    <row r="132" spans="1:15" ht="15.75" customHeight="1" x14ac:dyDescent="0.25">
      <c r="A132" s="76" t="str">
        <f>[1]Entregables!C132</f>
        <v>19O4E5</v>
      </c>
      <c r="B132" s="74">
        <f>[1]Entregables!E132</f>
        <v>0.20000000298023224</v>
      </c>
      <c r="C132" s="74">
        <v>0.05</v>
      </c>
      <c r="D132" s="74">
        <v>0.99999998509883903</v>
      </c>
      <c r="E132" s="74">
        <v>0.15</v>
      </c>
      <c r="F132" s="74">
        <v>0.2</v>
      </c>
      <c r="G132" s="79"/>
      <c r="H132" s="79"/>
      <c r="I132" s="79"/>
      <c r="J132" s="79"/>
      <c r="K132" s="79"/>
      <c r="L132" s="74"/>
      <c r="M132" s="74"/>
      <c r="N132" s="74"/>
      <c r="O132" s="74"/>
    </row>
    <row r="133" spans="1:15" ht="15.75" customHeight="1" x14ac:dyDescent="0.25">
      <c r="A133" s="76" t="str">
        <f>[1]Entregables!C133</f>
        <v>20O1E1</v>
      </c>
      <c r="B133" s="74">
        <f>[1]Entregables!E133</f>
        <v>0.30000001192092896</v>
      </c>
      <c r="C133" s="74">
        <v>0</v>
      </c>
      <c r="D133" s="74">
        <v>0</v>
      </c>
      <c r="E133" s="74">
        <v>0.4</v>
      </c>
      <c r="F133" s="74">
        <v>0.4</v>
      </c>
      <c r="G133" s="79"/>
      <c r="H133" s="79"/>
      <c r="I133" s="79"/>
      <c r="J133" s="79"/>
      <c r="K133" s="79"/>
      <c r="L133" s="74"/>
      <c r="M133" s="74"/>
      <c r="N133" s="74"/>
      <c r="O133" s="74"/>
    </row>
    <row r="134" spans="1:15" ht="15.75" customHeight="1" x14ac:dyDescent="0.25">
      <c r="A134" s="76" t="str">
        <f>[1]Entregables!C134</f>
        <v>20O1E2</v>
      </c>
      <c r="B134" s="74">
        <f>[1]Entregables!E134</f>
        <v>0.5</v>
      </c>
      <c r="C134" s="74">
        <v>0</v>
      </c>
      <c r="D134" s="74">
        <v>1</v>
      </c>
      <c r="E134" s="74">
        <v>0</v>
      </c>
      <c r="F134" s="74">
        <v>0</v>
      </c>
      <c r="G134" s="79"/>
      <c r="H134" s="79"/>
      <c r="I134" s="79"/>
      <c r="J134" s="79"/>
      <c r="K134" s="79"/>
      <c r="L134" s="74"/>
      <c r="M134" s="74"/>
      <c r="N134" s="74"/>
      <c r="O134" s="74"/>
    </row>
    <row r="135" spans="1:15" ht="15.75" customHeight="1" x14ac:dyDescent="0.25">
      <c r="A135" s="76" t="str">
        <f>[1]Entregables!C135</f>
        <v>20O1E3</v>
      </c>
      <c r="B135" s="74">
        <f>[1]Entregables!E135</f>
        <v>0.20000000298023224</v>
      </c>
      <c r="C135" s="74">
        <v>0</v>
      </c>
      <c r="D135" s="74">
        <v>1</v>
      </c>
      <c r="E135" s="74">
        <v>0</v>
      </c>
      <c r="F135" s="74">
        <v>0</v>
      </c>
      <c r="G135" s="79"/>
      <c r="H135" s="79"/>
      <c r="I135" s="79"/>
      <c r="J135" s="79"/>
      <c r="K135" s="79"/>
      <c r="L135" s="74"/>
      <c r="M135" s="74"/>
      <c r="N135" s="74"/>
      <c r="O135" s="74"/>
    </row>
    <row r="136" spans="1:15" ht="15.75" customHeight="1" x14ac:dyDescent="0.25">
      <c r="A136" s="76" t="str">
        <f>[1]Entregables!C136</f>
        <v>20O2E1</v>
      </c>
      <c r="B136" s="74">
        <f>[1]Entregables!E136</f>
        <v>0.5</v>
      </c>
      <c r="C136" s="74">
        <v>0</v>
      </c>
      <c r="D136" s="74">
        <v>1</v>
      </c>
      <c r="E136" s="74">
        <v>0.02</v>
      </c>
      <c r="F136" s="74">
        <v>0.02</v>
      </c>
      <c r="G136" s="79"/>
      <c r="H136" s="79"/>
      <c r="I136" s="79"/>
      <c r="J136" s="79"/>
      <c r="K136" s="79"/>
      <c r="L136" s="74"/>
      <c r="M136" s="74"/>
      <c r="N136" s="74"/>
      <c r="O136" s="74"/>
    </row>
    <row r="137" spans="1:15" ht="15.75" customHeight="1" x14ac:dyDescent="0.25">
      <c r="A137" s="76" t="str">
        <f>[1]Entregables!C137</f>
        <v>20O2E2</v>
      </c>
      <c r="B137" s="74">
        <f>[1]Entregables!E137</f>
        <v>0.5</v>
      </c>
      <c r="C137" s="74">
        <v>0</v>
      </c>
      <c r="D137" s="74">
        <v>1</v>
      </c>
      <c r="E137" s="74">
        <v>0</v>
      </c>
      <c r="F137" s="74">
        <v>0</v>
      </c>
      <c r="G137" s="79"/>
      <c r="H137" s="79"/>
      <c r="I137" s="79"/>
      <c r="J137" s="79"/>
      <c r="K137" s="79"/>
      <c r="L137" s="74"/>
      <c r="M137" s="74"/>
      <c r="N137" s="74"/>
      <c r="O137" s="74"/>
    </row>
    <row r="138" spans="1:15" ht="15.75" customHeight="1" x14ac:dyDescent="0.25">
      <c r="A138" s="76" t="str">
        <f>[1]Entregables!C138</f>
        <v>20O3E1</v>
      </c>
      <c r="B138" s="74">
        <f>[1]Entregables!E138</f>
        <v>0.69999998807907104</v>
      </c>
      <c r="C138" s="74">
        <v>0</v>
      </c>
      <c r="D138" s="74">
        <v>1</v>
      </c>
      <c r="E138" s="74">
        <v>0</v>
      </c>
      <c r="F138" s="74">
        <v>0</v>
      </c>
      <c r="G138" s="79"/>
      <c r="H138" s="79"/>
      <c r="I138" s="79"/>
      <c r="J138" s="79"/>
      <c r="K138" s="79"/>
      <c r="L138" s="74"/>
      <c r="M138" s="74"/>
      <c r="N138" s="74"/>
      <c r="O138" s="74"/>
    </row>
    <row r="139" spans="1:15" ht="15.75" customHeight="1" x14ac:dyDescent="0.25">
      <c r="A139" s="76" t="str">
        <f>[1]Entregables!C139</f>
        <v>20O3E2</v>
      </c>
      <c r="B139" s="74">
        <f>[1]Entregables!E139</f>
        <v>0.30000001192092896</v>
      </c>
      <c r="C139" s="74">
        <v>0</v>
      </c>
      <c r="D139" s="74">
        <v>1</v>
      </c>
      <c r="E139" s="74">
        <v>0</v>
      </c>
      <c r="F139" s="74">
        <v>0</v>
      </c>
      <c r="G139" s="79"/>
      <c r="H139" s="79"/>
      <c r="I139" s="79"/>
      <c r="J139" s="79"/>
      <c r="K139" s="79"/>
      <c r="L139" s="74"/>
      <c r="M139" s="74"/>
      <c r="N139" s="74"/>
      <c r="O139" s="74"/>
    </row>
    <row r="140" spans="1:15" ht="15.75" customHeight="1" x14ac:dyDescent="0.25">
      <c r="A140" s="76" t="str">
        <f>[1]Entregables!C140</f>
        <v>20O4E1</v>
      </c>
      <c r="B140" s="74">
        <f>[1]Entregables!E140</f>
        <v>0.20000000298023224</v>
      </c>
      <c r="C140" s="74">
        <v>1</v>
      </c>
      <c r="D140" s="74">
        <v>1</v>
      </c>
      <c r="E140" s="74">
        <v>0</v>
      </c>
      <c r="F140" s="74">
        <v>1</v>
      </c>
      <c r="G140" s="79"/>
      <c r="H140" s="79"/>
      <c r="I140" s="79"/>
      <c r="J140" s="79"/>
      <c r="K140" s="79"/>
      <c r="L140" s="74"/>
      <c r="M140" s="74"/>
      <c r="N140" s="74"/>
      <c r="O140" s="74"/>
    </row>
    <row r="141" spans="1:15" ht="15.75" customHeight="1" x14ac:dyDescent="0.25">
      <c r="A141" s="76" t="str">
        <f>[1]Entregables!C141</f>
        <v>20O4E2</v>
      </c>
      <c r="B141" s="74">
        <f>[1]Entregables!E141</f>
        <v>0.60000002384185791</v>
      </c>
      <c r="C141" s="74">
        <v>0</v>
      </c>
      <c r="D141" s="74">
        <v>1</v>
      </c>
      <c r="E141" s="74">
        <v>0.15</v>
      </c>
      <c r="F141" s="74">
        <v>0.15</v>
      </c>
      <c r="G141" s="79"/>
      <c r="H141" s="79"/>
      <c r="I141" s="79"/>
      <c r="J141" s="79"/>
      <c r="K141" s="79"/>
      <c r="L141" s="74"/>
      <c r="M141" s="74"/>
      <c r="N141" s="74"/>
      <c r="O141" s="74"/>
    </row>
    <row r="142" spans="1:15" ht="15.75" customHeight="1" x14ac:dyDescent="0.25">
      <c r="A142" s="76" t="str">
        <f>[1]Entregables!C142</f>
        <v>20O4E3</v>
      </c>
      <c r="B142" s="74">
        <f>[1]Entregables!E142</f>
        <v>0.10000000149011612</v>
      </c>
      <c r="C142" s="74">
        <v>0</v>
      </c>
      <c r="D142" s="74">
        <v>1</v>
      </c>
      <c r="E142" s="74">
        <v>0.7</v>
      </c>
      <c r="F142" s="74">
        <v>0.7</v>
      </c>
      <c r="G142" s="79"/>
      <c r="H142" s="79"/>
      <c r="I142" s="79"/>
      <c r="J142" s="79"/>
      <c r="K142" s="79"/>
      <c r="L142" s="74"/>
      <c r="M142" s="74"/>
      <c r="N142" s="74"/>
      <c r="O142" s="74"/>
    </row>
    <row r="143" spans="1:15" ht="15.75" customHeight="1" x14ac:dyDescent="0.25">
      <c r="A143" s="76" t="str">
        <f>[1]Entregables!C143</f>
        <v>20O4E4</v>
      </c>
      <c r="B143" s="74">
        <f>[1]Entregables!E143</f>
        <v>0.10000000149011612</v>
      </c>
      <c r="C143" s="74">
        <v>0</v>
      </c>
      <c r="D143" s="74">
        <v>1</v>
      </c>
      <c r="E143" s="74">
        <v>0.1</v>
      </c>
      <c r="F143" s="74">
        <v>0.1</v>
      </c>
      <c r="G143" s="79"/>
      <c r="H143" s="79"/>
      <c r="I143" s="79"/>
      <c r="J143" s="79"/>
      <c r="K143" s="79"/>
      <c r="L143" s="74"/>
      <c r="M143" s="74"/>
      <c r="N143" s="74"/>
      <c r="O143" s="74"/>
    </row>
    <row r="144" spans="1:15" ht="15.75" customHeight="1" x14ac:dyDescent="0.25">
      <c r="A144" s="76" t="str">
        <f>[1]Entregables!C144</f>
        <v>23O1E1</v>
      </c>
      <c r="B144" s="74">
        <f>[1]Entregables!E144</f>
        <v>0.30000001192092896</v>
      </c>
      <c r="C144" s="74">
        <v>0.25</v>
      </c>
      <c r="D144" s="74">
        <v>1</v>
      </c>
      <c r="E144" s="74">
        <v>0.25</v>
      </c>
      <c r="F144" s="74">
        <v>0.5</v>
      </c>
      <c r="G144" s="79"/>
      <c r="H144" s="79"/>
      <c r="I144" s="79"/>
      <c r="J144" s="79"/>
      <c r="K144" s="79"/>
      <c r="L144" s="74"/>
      <c r="M144" s="74"/>
      <c r="N144" s="74"/>
      <c r="O144" s="74"/>
    </row>
    <row r="145" spans="1:15" ht="15.75" customHeight="1" x14ac:dyDescent="0.25">
      <c r="A145" s="76" t="str">
        <f>[1]Entregables!C145</f>
        <v>23O1E2</v>
      </c>
      <c r="B145" s="74">
        <f>[1]Entregables!E145</f>
        <v>0.30000001192092896</v>
      </c>
      <c r="C145" s="74"/>
      <c r="D145" s="74">
        <v>1</v>
      </c>
      <c r="E145" s="74">
        <v>0</v>
      </c>
      <c r="F145" s="74">
        <v>0</v>
      </c>
      <c r="G145" s="79"/>
      <c r="H145" s="79"/>
      <c r="I145" s="79"/>
      <c r="J145" s="79"/>
      <c r="K145" s="79"/>
      <c r="L145" s="74"/>
      <c r="M145" s="74"/>
      <c r="N145" s="74"/>
      <c r="O145" s="74"/>
    </row>
    <row r="146" spans="1:15" ht="15.75" customHeight="1" x14ac:dyDescent="0.25">
      <c r="A146" s="76" t="str">
        <f>[1]Entregables!C146</f>
        <v>23O1E3</v>
      </c>
      <c r="B146" s="74">
        <f>[1]Entregables!E146</f>
        <v>0.40000000596046448</v>
      </c>
      <c r="C146" s="74"/>
      <c r="D146" s="74">
        <v>1</v>
      </c>
      <c r="E146" s="74">
        <v>0</v>
      </c>
      <c r="F146" s="74">
        <v>0</v>
      </c>
      <c r="G146" s="79"/>
      <c r="H146" s="79"/>
      <c r="I146" s="79"/>
      <c r="J146" s="79"/>
      <c r="K146" s="79"/>
      <c r="L146" s="74"/>
      <c r="M146" s="74"/>
      <c r="N146" s="74"/>
      <c r="O146" s="74"/>
    </row>
    <row r="147" spans="1:15" ht="15.75" customHeight="1" x14ac:dyDescent="0.25">
      <c r="A147" s="76" t="str">
        <f>[1]Entregables!C147</f>
        <v>23O2E1</v>
      </c>
      <c r="B147" s="74">
        <f>[1]Entregables!E147</f>
        <v>1</v>
      </c>
      <c r="C147" s="74">
        <v>0.2</v>
      </c>
      <c r="D147" s="74">
        <v>0.99999998509883903</v>
      </c>
      <c r="E147" s="74">
        <v>0.2</v>
      </c>
      <c r="F147" s="74">
        <v>0.4</v>
      </c>
      <c r="G147" s="79"/>
      <c r="H147" s="79"/>
      <c r="I147" s="79"/>
      <c r="J147" s="79"/>
      <c r="K147" s="79"/>
      <c r="L147" s="74"/>
      <c r="M147" s="74"/>
      <c r="N147" s="74"/>
      <c r="O147" s="74"/>
    </row>
    <row r="148" spans="1:15" ht="15.75" customHeight="1" x14ac:dyDescent="0.25">
      <c r="A148" s="76" t="str">
        <f>[1]Entregables!C148</f>
        <v>24O1E1</v>
      </c>
      <c r="B148" s="74">
        <f>[1]Entregables!E148</f>
        <v>0.34999999403953552</v>
      </c>
      <c r="C148" s="74">
        <v>7.8E-2</v>
      </c>
      <c r="D148" s="74">
        <v>0.99999997936762341</v>
      </c>
      <c r="E148" s="74">
        <v>0.2</v>
      </c>
      <c r="F148" s="74">
        <v>0.27800000000000002</v>
      </c>
      <c r="G148" s="79"/>
      <c r="H148" s="79"/>
      <c r="I148" s="79"/>
      <c r="J148" s="79"/>
      <c r="K148" s="79"/>
      <c r="L148" s="74"/>
      <c r="M148" s="74"/>
      <c r="N148" s="74"/>
      <c r="O148" s="74"/>
    </row>
    <row r="149" spans="1:15" ht="15.75" customHeight="1" x14ac:dyDescent="0.25">
      <c r="A149" s="76" t="str">
        <f>[1]Entregables!C149</f>
        <v>24O1E2</v>
      </c>
      <c r="B149" s="74">
        <f>[1]Entregables!E149</f>
        <v>0.10000000149011612</v>
      </c>
      <c r="C149" s="74">
        <v>2.8000000000000001E-2</v>
      </c>
      <c r="D149" s="74">
        <v>0.99999996913330991</v>
      </c>
      <c r="E149" s="74">
        <v>0.15</v>
      </c>
      <c r="F149" s="74">
        <v>0.17799999999999999</v>
      </c>
      <c r="G149" s="79"/>
      <c r="H149" s="79"/>
      <c r="I149" s="79"/>
      <c r="J149" s="79"/>
      <c r="K149" s="79"/>
      <c r="L149" s="74"/>
      <c r="M149" s="74"/>
      <c r="N149" s="74"/>
      <c r="O149" s="74"/>
    </row>
    <row r="150" spans="1:15" ht="15.75" customHeight="1" x14ac:dyDescent="0.25">
      <c r="A150" s="76" t="str">
        <f>[1]Entregables!C150</f>
        <v>24O1E3</v>
      </c>
      <c r="B150" s="74">
        <f>[1]Entregables!E150</f>
        <v>0.25</v>
      </c>
      <c r="C150" s="74">
        <v>0.1</v>
      </c>
      <c r="D150" s="74">
        <v>0.99999998509883903</v>
      </c>
      <c r="E150" s="74">
        <v>0.22</v>
      </c>
      <c r="F150" s="74">
        <v>0.32</v>
      </c>
      <c r="G150" s="79"/>
      <c r="H150" s="79"/>
      <c r="I150" s="79"/>
      <c r="J150" s="79"/>
      <c r="K150" s="79"/>
      <c r="L150" s="74"/>
      <c r="M150" s="74"/>
      <c r="N150" s="74"/>
      <c r="O150" s="74"/>
    </row>
    <row r="151" spans="1:15" ht="15.75" customHeight="1" x14ac:dyDescent="0.25">
      <c r="A151" s="76" t="str">
        <f>[1]Entregables!C151</f>
        <v>24O1E4</v>
      </c>
      <c r="B151" s="74">
        <f>[1]Entregables!E151</f>
        <v>0.25</v>
      </c>
      <c r="C151" s="80">
        <v>9.1999999999999998E-2</v>
      </c>
      <c r="D151" s="74">
        <v>0.61333330896165728</v>
      </c>
      <c r="E151" s="74">
        <v>0.22</v>
      </c>
      <c r="F151" s="74">
        <v>0.312</v>
      </c>
      <c r="G151" s="79"/>
      <c r="H151" s="79"/>
      <c r="I151" s="79"/>
      <c r="J151" s="79"/>
      <c r="K151" s="79"/>
      <c r="L151" s="76"/>
      <c r="M151" s="76"/>
      <c r="N151" s="76"/>
      <c r="O151" s="76"/>
    </row>
    <row r="152" spans="1:15" ht="15.75" customHeight="1" x14ac:dyDescent="0.25">
      <c r="A152" s="76" t="str">
        <f>[1]Entregables!C152</f>
        <v>24O1E5</v>
      </c>
      <c r="B152" s="74">
        <f>[1]Entregables!E152</f>
        <v>5.000000074505806E-2</v>
      </c>
      <c r="C152" s="74">
        <v>0.02</v>
      </c>
      <c r="D152" s="74">
        <v>1</v>
      </c>
      <c r="E152" s="74">
        <v>0.2</v>
      </c>
      <c r="F152" s="74">
        <v>0.22</v>
      </c>
      <c r="G152" s="79"/>
      <c r="H152" s="79"/>
      <c r="I152" s="79"/>
      <c r="J152" s="79"/>
      <c r="K152" s="79"/>
      <c r="L152" s="74"/>
      <c r="M152" s="74"/>
      <c r="N152" s="74"/>
      <c r="O152" s="74"/>
    </row>
    <row r="153" spans="1:15" ht="15.75" customHeight="1" x14ac:dyDescent="0.25">
      <c r="A153" s="76" t="str">
        <f>[1]Entregables!C153</f>
        <v>24O2E1</v>
      </c>
      <c r="B153" s="74">
        <f>[1]Entregables!E153</f>
        <v>0.15000000596046448</v>
      </c>
      <c r="C153" s="74">
        <v>0.1</v>
      </c>
      <c r="D153" s="74">
        <v>0.83333335195978531</v>
      </c>
      <c r="E153" s="74">
        <v>0.22</v>
      </c>
      <c r="F153" s="74">
        <v>0.32</v>
      </c>
      <c r="G153" s="79"/>
      <c r="H153" s="79"/>
      <c r="I153" s="79"/>
      <c r="J153" s="79"/>
      <c r="K153" s="79"/>
      <c r="L153" s="74"/>
      <c r="M153" s="74"/>
      <c r="N153" s="74"/>
      <c r="O153" s="74"/>
    </row>
    <row r="154" spans="1:15" ht="15.75" customHeight="1" x14ac:dyDescent="0.25">
      <c r="A154" s="76" t="str">
        <f>[1]Entregables!C154</f>
        <v>24O2E2</v>
      </c>
      <c r="B154" s="74">
        <f>[1]Entregables!E154</f>
        <v>0.60000002384185791</v>
      </c>
      <c r="C154" s="74">
        <v>0.02</v>
      </c>
      <c r="D154" s="74">
        <v>1</v>
      </c>
      <c r="E154" s="74">
        <v>0.2</v>
      </c>
      <c r="F154" s="74">
        <v>0.22</v>
      </c>
      <c r="G154" s="79"/>
      <c r="H154" s="79"/>
      <c r="I154" s="79"/>
      <c r="J154" s="79"/>
      <c r="K154" s="79"/>
      <c r="L154" s="74"/>
      <c r="M154" s="74"/>
      <c r="N154" s="74"/>
      <c r="O154" s="74"/>
    </row>
    <row r="155" spans="1:15" ht="15.75" customHeight="1" x14ac:dyDescent="0.25">
      <c r="A155" s="76" t="str">
        <f>[1]Entregables!C155</f>
        <v>24O2E3</v>
      </c>
      <c r="B155" s="74">
        <f>[1]Entregables!E155</f>
        <v>0.15000000596046448</v>
      </c>
      <c r="C155" s="74">
        <v>0.05</v>
      </c>
      <c r="D155" s="74">
        <v>0.99999998509883903</v>
      </c>
      <c r="E155" s="74">
        <v>0.23</v>
      </c>
      <c r="F155" s="74">
        <v>0.28000000000000003</v>
      </c>
      <c r="G155" s="79"/>
      <c r="H155" s="79"/>
      <c r="I155" s="79"/>
      <c r="J155" s="79"/>
      <c r="K155" s="79"/>
      <c r="L155" s="74"/>
      <c r="M155" s="74"/>
      <c r="N155" s="74"/>
      <c r="O155" s="74"/>
    </row>
    <row r="156" spans="1:15" ht="15.75" customHeight="1" x14ac:dyDescent="0.25">
      <c r="A156" s="76" t="str">
        <f>[1]Entregables!C156</f>
        <v>24O2E4</v>
      </c>
      <c r="B156" s="74">
        <f>[1]Entregables!E156</f>
        <v>0.10000000149011612</v>
      </c>
      <c r="C156" s="74">
        <v>0.04</v>
      </c>
      <c r="D156" s="74">
        <v>1</v>
      </c>
      <c r="E156" s="74">
        <v>0.2</v>
      </c>
      <c r="F156" s="74">
        <v>0.24000000000000002</v>
      </c>
      <c r="G156" s="79"/>
      <c r="H156" s="79"/>
      <c r="I156" s="79"/>
      <c r="J156" s="79"/>
      <c r="K156" s="79"/>
      <c r="L156" s="74"/>
      <c r="M156" s="74"/>
      <c r="N156" s="74"/>
      <c r="O156" s="74"/>
    </row>
    <row r="157" spans="1:15" ht="15.75" customHeight="1" x14ac:dyDescent="0.25">
      <c r="A157" s="76" t="str">
        <f>[1]Entregables!C157</f>
        <v>24O3E1</v>
      </c>
      <c r="B157" s="74">
        <f>[1]Entregables!E157</f>
        <v>0.40000000596046448</v>
      </c>
      <c r="C157" s="74">
        <v>0</v>
      </c>
      <c r="D157" s="74">
        <v>1</v>
      </c>
      <c r="E157" s="74">
        <v>0.2</v>
      </c>
      <c r="F157" s="74">
        <v>0.2</v>
      </c>
      <c r="G157" s="79"/>
      <c r="H157" s="79"/>
      <c r="I157" s="79"/>
      <c r="J157" s="79"/>
      <c r="K157" s="79"/>
      <c r="L157" s="74"/>
      <c r="M157" s="74"/>
      <c r="N157" s="74"/>
      <c r="O157" s="74"/>
    </row>
    <row r="158" spans="1:15" ht="15.75" customHeight="1" x14ac:dyDescent="0.25">
      <c r="A158" s="76" t="str">
        <f>[1]Entregables!C158</f>
        <v>24O3E2</v>
      </c>
      <c r="B158" s="74">
        <f>[1]Entregables!E158</f>
        <v>0.20000000298023224</v>
      </c>
      <c r="C158" s="74">
        <v>0.05</v>
      </c>
      <c r="D158" s="74">
        <v>0.99999998509883903</v>
      </c>
      <c r="E158" s="74">
        <v>0.18</v>
      </c>
      <c r="F158" s="74">
        <v>0.22999999999999998</v>
      </c>
      <c r="G158" s="79"/>
      <c r="H158" s="79"/>
      <c r="I158" s="79"/>
      <c r="J158" s="79"/>
      <c r="K158" s="79"/>
      <c r="L158" s="74"/>
      <c r="M158" s="74"/>
      <c r="N158" s="74"/>
      <c r="O158" s="74"/>
    </row>
    <row r="159" spans="1:15" ht="15.75" customHeight="1" x14ac:dyDescent="0.25">
      <c r="A159" s="76" t="str">
        <f>[1]Entregables!C159</f>
        <v>24O3E3</v>
      </c>
      <c r="B159" s="74">
        <f>[1]Entregables!E159</f>
        <v>0.40000000596046448</v>
      </c>
      <c r="C159" s="74">
        <v>0.02</v>
      </c>
      <c r="D159" s="74">
        <v>1</v>
      </c>
      <c r="E159" s="74">
        <v>0.2</v>
      </c>
      <c r="F159" s="74">
        <v>0.22</v>
      </c>
      <c r="G159" s="79"/>
      <c r="H159" s="79"/>
      <c r="I159" s="79"/>
      <c r="J159" s="79"/>
      <c r="K159" s="79"/>
      <c r="L159" s="74"/>
      <c r="M159" s="74"/>
      <c r="N159" s="74"/>
      <c r="O159" s="74"/>
    </row>
    <row r="160" spans="1:15" ht="15.75" customHeight="1" x14ac:dyDescent="0.25">
      <c r="A160" s="76" t="str">
        <f>[1]Entregables!C160</f>
        <v>25O1E1</v>
      </c>
      <c r="B160" s="74">
        <f>[1]Entregables!E160</f>
        <v>0.69999998807907104</v>
      </c>
      <c r="C160" s="74">
        <v>0</v>
      </c>
      <c r="D160" s="74">
        <v>0</v>
      </c>
      <c r="E160" s="74">
        <v>0</v>
      </c>
      <c r="F160" s="74">
        <v>0</v>
      </c>
      <c r="G160" s="79"/>
      <c r="H160" s="79"/>
      <c r="I160" s="79"/>
      <c r="J160" s="79"/>
      <c r="K160" s="79"/>
      <c r="L160" s="74"/>
      <c r="M160" s="74"/>
      <c r="N160" s="74"/>
      <c r="O160" s="74"/>
    </row>
    <row r="161" spans="1:15" ht="15.75" customHeight="1" x14ac:dyDescent="0.25">
      <c r="A161" s="76" t="str">
        <f>[1]Entregables!C161</f>
        <v>25O1E2</v>
      </c>
      <c r="B161" s="74">
        <f>[1]Entregables!E161</f>
        <v>0.30000001192092896</v>
      </c>
      <c r="C161" s="74">
        <v>0.25</v>
      </c>
      <c r="D161" s="74">
        <v>0.5</v>
      </c>
      <c r="E161" s="74">
        <v>0.5</v>
      </c>
      <c r="F161" s="74">
        <v>0.75</v>
      </c>
      <c r="G161" s="79"/>
      <c r="H161" s="79"/>
      <c r="I161" s="79"/>
      <c r="J161" s="79"/>
      <c r="K161" s="79"/>
      <c r="L161" s="74"/>
      <c r="M161" s="74"/>
      <c r="N161" s="74"/>
      <c r="O161" s="74"/>
    </row>
    <row r="162" spans="1:15" ht="15.75" customHeight="1" x14ac:dyDescent="0.25">
      <c r="A162" s="76" t="str">
        <f>[1]Entregables!C162</f>
        <v>25O2E1</v>
      </c>
      <c r="B162" s="74">
        <f>[1]Entregables!E162</f>
        <v>0.60000002384185791</v>
      </c>
      <c r="C162" s="74">
        <v>0.13</v>
      </c>
      <c r="D162" s="74">
        <v>0.52</v>
      </c>
      <c r="E162" s="74">
        <v>0.13</v>
      </c>
      <c r="F162" s="74">
        <v>0.26</v>
      </c>
      <c r="G162" s="79"/>
      <c r="H162" s="79"/>
      <c r="I162" s="79"/>
      <c r="J162" s="79"/>
      <c r="K162" s="79"/>
      <c r="L162" s="74"/>
      <c r="M162" s="74"/>
      <c r="N162" s="74"/>
      <c r="O162" s="74"/>
    </row>
    <row r="163" spans="1:15" ht="15.75" customHeight="1" x14ac:dyDescent="0.25">
      <c r="A163" s="76" t="str">
        <f>[1]Entregables!C163</f>
        <v>25O2E2</v>
      </c>
      <c r="B163" s="74">
        <f>[1]Entregables!E163</f>
        <v>0.20000000298023224</v>
      </c>
      <c r="C163" s="74">
        <v>0</v>
      </c>
      <c r="D163" s="74">
        <v>1</v>
      </c>
      <c r="E163" s="74">
        <v>0</v>
      </c>
      <c r="F163" s="74">
        <v>0</v>
      </c>
      <c r="G163" s="79"/>
      <c r="H163" s="79"/>
      <c r="I163" s="79"/>
      <c r="J163" s="79"/>
      <c r="K163" s="79"/>
      <c r="L163" s="74"/>
      <c r="M163" s="74"/>
      <c r="N163" s="74"/>
      <c r="O163" s="74"/>
    </row>
    <row r="164" spans="1:15" ht="15.75" customHeight="1" x14ac:dyDescent="0.25">
      <c r="A164" s="76" t="str">
        <f>[1]Entregables!C164</f>
        <v>25O2E3</v>
      </c>
      <c r="B164" s="74">
        <f>[1]Entregables!E164</f>
        <v>0.20000000298023224</v>
      </c>
      <c r="C164" s="74">
        <v>0</v>
      </c>
      <c r="D164" s="74">
        <v>1</v>
      </c>
      <c r="E164" s="74">
        <v>0.1</v>
      </c>
      <c r="F164" s="74">
        <v>0.1</v>
      </c>
      <c r="G164" s="79"/>
      <c r="H164" s="79"/>
      <c r="I164" s="79"/>
      <c r="J164" s="79"/>
      <c r="K164" s="79"/>
      <c r="L164" s="74"/>
      <c r="M164" s="74"/>
      <c r="N164" s="74"/>
      <c r="O164" s="74"/>
    </row>
    <row r="165" spans="1:15" ht="15.75" customHeight="1" x14ac:dyDescent="0.25">
      <c r="A165" s="76" t="str">
        <f>[1]Entregables!C165</f>
        <v>27O1E1</v>
      </c>
      <c r="B165" s="74">
        <f>[1]Entregables!E165</f>
        <v>0.5</v>
      </c>
      <c r="C165" s="74">
        <v>0.05</v>
      </c>
      <c r="D165" s="74">
        <v>0.99999998509883903</v>
      </c>
      <c r="E165" s="74">
        <v>0.24</v>
      </c>
      <c r="F165" s="74">
        <v>0.28999999999999998</v>
      </c>
      <c r="G165" s="79"/>
      <c r="H165" s="79"/>
      <c r="I165" s="79"/>
      <c r="J165" s="79"/>
      <c r="K165" s="79"/>
      <c r="L165" s="74"/>
      <c r="M165" s="74"/>
      <c r="N165" s="74"/>
      <c r="O165" s="74"/>
    </row>
    <row r="166" spans="1:15" ht="15.75" customHeight="1" x14ac:dyDescent="0.25">
      <c r="A166" s="76" t="str">
        <f>[1]Entregables!C166</f>
        <v>27O1E2</v>
      </c>
      <c r="B166" s="74">
        <f>[1]Entregables!E166</f>
        <v>0.5</v>
      </c>
      <c r="C166" s="74">
        <v>0</v>
      </c>
      <c r="D166" s="74">
        <v>1</v>
      </c>
      <c r="E166" s="74">
        <v>0</v>
      </c>
      <c r="F166" s="74">
        <v>0</v>
      </c>
      <c r="G166" s="79"/>
      <c r="H166" s="79"/>
      <c r="I166" s="79"/>
      <c r="J166" s="79"/>
      <c r="K166" s="79"/>
      <c r="L166" s="74"/>
      <c r="M166" s="74"/>
      <c r="N166" s="74"/>
      <c r="O166" s="74"/>
    </row>
    <row r="167" spans="1:15" ht="15.75" customHeight="1" x14ac:dyDescent="0.25">
      <c r="A167" s="76" t="str">
        <f>[1]Entregables!C167</f>
        <v>27O2E1</v>
      </c>
      <c r="B167" s="74">
        <f>[1]Entregables!E167</f>
        <v>0.5</v>
      </c>
      <c r="C167" s="74">
        <v>0.02</v>
      </c>
      <c r="D167" s="74">
        <v>0.39999999403953562</v>
      </c>
      <c r="E167" s="74">
        <v>0.1</v>
      </c>
      <c r="F167" s="74">
        <v>0.12000000000000001</v>
      </c>
      <c r="G167" s="79"/>
      <c r="H167" s="79"/>
      <c r="I167" s="79"/>
      <c r="J167" s="79"/>
      <c r="K167" s="79"/>
      <c r="L167" s="74"/>
      <c r="M167" s="74"/>
      <c r="N167" s="74"/>
      <c r="O167" s="74"/>
    </row>
    <row r="168" spans="1:15" ht="15.75" customHeight="1" x14ac:dyDescent="0.25">
      <c r="A168" s="76" t="str">
        <f>[1]Entregables!C168</f>
        <v>27O2E2</v>
      </c>
      <c r="B168" s="74">
        <f>[1]Entregables!E168</f>
        <v>0.5</v>
      </c>
      <c r="C168" s="74">
        <v>0.01</v>
      </c>
      <c r="D168" s="74">
        <v>1</v>
      </c>
      <c r="E168" s="74">
        <v>0.1</v>
      </c>
      <c r="F168" s="74">
        <v>0.11</v>
      </c>
      <c r="G168" s="79"/>
      <c r="H168" s="79"/>
      <c r="I168" s="79"/>
      <c r="J168" s="79"/>
      <c r="K168" s="79"/>
      <c r="L168" s="74"/>
      <c r="M168" s="74"/>
      <c r="N168" s="74"/>
      <c r="O168" s="74"/>
    </row>
    <row r="169" spans="1:15" ht="15.75" customHeight="1" x14ac:dyDescent="0.25">
      <c r="A169" s="76" t="str">
        <f>[1]Entregables!C169</f>
        <v>28O1E1</v>
      </c>
      <c r="B169" s="74">
        <f>[1]Entregables!E169</f>
        <v>0.30000001192092896</v>
      </c>
      <c r="C169" s="74">
        <v>0.5</v>
      </c>
      <c r="D169" s="74">
        <v>1</v>
      </c>
      <c r="E169" s="74">
        <v>0.15</v>
      </c>
      <c r="F169" s="74">
        <v>0.65</v>
      </c>
      <c r="G169" s="79"/>
      <c r="H169" s="79"/>
      <c r="I169" s="79"/>
      <c r="J169" s="79"/>
      <c r="K169" s="79"/>
      <c r="L169" s="74"/>
      <c r="M169" s="74"/>
      <c r="N169" s="74"/>
      <c r="O169" s="74"/>
    </row>
    <row r="170" spans="1:15" ht="15.75" customHeight="1" x14ac:dyDescent="0.25">
      <c r="A170" s="76" t="str">
        <f>[1]Entregables!C170</f>
        <v>28O1E2</v>
      </c>
      <c r="B170" s="74">
        <f>[1]Entregables!E170</f>
        <v>0.69999998807907104</v>
      </c>
      <c r="C170" s="74">
        <v>0.2</v>
      </c>
      <c r="D170" s="74">
        <v>0.99999998509883903</v>
      </c>
      <c r="E170" s="74">
        <v>0.2</v>
      </c>
      <c r="F170" s="74">
        <v>0.4</v>
      </c>
      <c r="G170" s="79"/>
      <c r="H170" s="79"/>
      <c r="I170" s="79"/>
      <c r="J170" s="79"/>
      <c r="K170" s="79"/>
      <c r="L170" s="74"/>
      <c r="M170" s="74"/>
      <c r="N170" s="74"/>
      <c r="O170" s="74"/>
    </row>
    <row r="171" spans="1:15" ht="15.75" customHeight="1" x14ac:dyDescent="0.25">
      <c r="A171" s="76" t="str">
        <f>[1]Entregables!C171</f>
        <v>28O2E1</v>
      </c>
      <c r="B171" s="74">
        <f>[1]Entregables!E171</f>
        <v>0.5</v>
      </c>
      <c r="C171" s="74">
        <v>1</v>
      </c>
      <c r="D171" s="74">
        <v>1</v>
      </c>
      <c r="E171" s="74">
        <v>0</v>
      </c>
      <c r="F171" s="74">
        <v>1</v>
      </c>
      <c r="G171" s="79"/>
      <c r="H171" s="79"/>
      <c r="I171" s="79"/>
      <c r="J171" s="79"/>
      <c r="K171" s="79"/>
      <c r="L171" s="74"/>
      <c r="M171" s="74"/>
      <c r="N171" s="74"/>
      <c r="O171" s="74"/>
    </row>
    <row r="172" spans="1:15" ht="15.75" customHeight="1" x14ac:dyDescent="0.25">
      <c r="A172" s="76" t="str">
        <f>[1]Entregables!C172</f>
        <v>28O2E2</v>
      </c>
      <c r="B172" s="74">
        <f>[1]Entregables!E172</f>
        <v>0.5</v>
      </c>
      <c r="C172" s="74">
        <v>0.2</v>
      </c>
      <c r="D172" s="74">
        <v>0.99999998509883903</v>
      </c>
      <c r="E172" s="74">
        <v>0.3</v>
      </c>
      <c r="F172" s="74">
        <v>0.5</v>
      </c>
      <c r="G172" s="79"/>
      <c r="H172" s="79"/>
      <c r="I172" s="79"/>
      <c r="J172" s="79"/>
      <c r="K172" s="79"/>
      <c r="L172" s="74"/>
      <c r="M172" s="74"/>
      <c r="N172" s="74"/>
      <c r="O172" s="74"/>
    </row>
    <row r="173" spans="1:15" ht="15.75" customHeight="1" x14ac:dyDescent="0.25">
      <c r="A173" s="76" t="str">
        <f>[1]Entregables!C173</f>
        <v>28O3E1</v>
      </c>
      <c r="B173" s="74">
        <f>[1]Entregables!E173</f>
        <v>1</v>
      </c>
      <c r="C173" s="74">
        <v>0.02</v>
      </c>
      <c r="D173" s="74">
        <v>0.19999999701976781</v>
      </c>
      <c r="E173" s="74">
        <v>0</v>
      </c>
      <c r="F173" s="74">
        <v>0.02</v>
      </c>
      <c r="G173" s="79"/>
      <c r="H173" s="79"/>
      <c r="I173" s="79"/>
      <c r="J173" s="79"/>
      <c r="K173" s="79"/>
      <c r="L173" s="74"/>
      <c r="M173" s="74"/>
      <c r="N173" s="74"/>
      <c r="O173" s="74"/>
    </row>
    <row r="174" spans="1:15" ht="15.75" customHeight="1" x14ac:dyDescent="0.25">
      <c r="A174" s="76" t="str">
        <f>[1]Entregables!C174</f>
        <v>29O1E1</v>
      </c>
      <c r="B174" s="74">
        <f>[1]Entregables!E174</f>
        <v>0.40000000596046448</v>
      </c>
      <c r="C174" s="74">
        <v>0</v>
      </c>
      <c r="D174" s="74">
        <v>1</v>
      </c>
      <c r="E174" s="74">
        <v>0</v>
      </c>
      <c r="F174" s="74">
        <v>0</v>
      </c>
      <c r="G174" s="79"/>
      <c r="H174" s="79"/>
      <c r="I174" s="79"/>
      <c r="J174" s="79"/>
      <c r="K174" s="79"/>
      <c r="L174" s="74"/>
      <c r="M174" s="74"/>
      <c r="N174" s="74"/>
      <c r="O174" s="74"/>
    </row>
    <row r="175" spans="1:15" ht="15.75" customHeight="1" x14ac:dyDescent="0.25">
      <c r="A175" s="76" t="str">
        <f>[1]Entregables!C175</f>
        <v>29O1E2</v>
      </c>
      <c r="B175" s="74">
        <f>[1]Entregables!E175</f>
        <v>0.60000002384185791</v>
      </c>
      <c r="C175" s="74">
        <v>0</v>
      </c>
      <c r="D175" s="74">
        <v>1</v>
      </c>
      <c r="E175" s="74">
        <v>0</v>
      </c>
      <c r="F175" s="74">
        <v>0</v>
      </c>
      <c r="G175" s="79"/>
      <c r="H175" s="79"/>
      <c r="I175" s="79"/>
      <c r="J175" s="79"/>
      <c r="K175" s="79"/>
      <c r="L175" s="74"/>
      <c r="M175" s="74"/>
      <c r="N175" s="74"/>
      <c r="O175" s="74"/>
    </row>
    <row r="176" spans="1:15" ht="15.75" customHeight="1" x14ac:dyDescent="0.25">
      <c r="A176" s="76" t="str">
        <f>[1]Entregables!C176</f>
        <v>29O2E1</v>
      </c>
      <c r="B176" s="74">
        <f>[1]Entregables!E176</f>
        <v>1</v>
      </c>
      <c r="C176" s="74">
        <v>0</v>
      </c>
      <c r="D176" s="74">
        <v>1</v>
      </c>
      <c r="E176" s="74">
        <v>0</v>
      </c>
      <c r="F176" s="74">
        <v>0</v>
      </c>
      <c r="G176" s="79"/>
      <c r="H176" s="79"/>
      <c r="I176" s="79"/>
      <c r="J176" s="79"/>
      <c r="K176" s="79"/>
      <c r="L176" s="74"/>
      <c r="M176" s="74"/>
      <c r="N176" s="74"/>
      <c r="O176" s="74"/>
    </row>
    <row r="177" spans="1:15" ht="15.75" customHeight="1" x14ac:dyDescent="0.25">
      <c r="A177" s="76" t="str">
        <f>[1]Entregables!C177</f>
        <v>29O3E1</v>
      </c>
      <c r="B177" s="74">
        <f>[1]Entregables!E177</f>
        <v>1</v>
      </c>
      <c r="C177" s="74">
        <v>0</v>
      </c>
      <c r="D177" s="74">
        <v>1</v>
      </c>
      <c r="E177" s="74">
        <v>0.1</v>
      </c>
      <c r="F177" s="74">
        <v>0.1</v>
      </c>
      <c r="G177" s="79"/>
      <c r="H177" s="79"/>
      <c r="I177" s="79"/>
      <c r="J177" s="79"/>
      <c r="K177" s="79"/>
      <c r="L177" s="74"/>
      <c r="M177" s="74"/>
      <c r="N177" s="74"/>
      <c r="O177" s="74"/>
    </row>
    <row r="178" spans="1:15" ht="15.75" customHeight="1" x14ac:dyDescent="0.25">
      <c r="A178" s="76" t="str">
        <f>[1]Entregables!C178</f>
        <v>30O1E1</v>
      </c>
      <c r="B178" s="74">
        <f>[1]Entregables!E178</f>
        <v>1</v>
      </c>
      <c r="C178" s="74">
        <v>0</v>
      </c>
      <c r="D178" s="74">
        <v>1</v>
      </c>
      <c r="E178" s="74">
        <v>0</v>
      </c>
      <c r="F178" s="74">
        <v>0</v>
      </c>
      <c r="G178" s="79"/>
      <c r="H178" s="79"/>
      <c r="I178" s="79"/>
      <c r="J178" s="79"/>
      <c r="K178" s="79"/>
      <c r="L178" s="74"/>
      <c r="M178" s="74"/>
      <c r="N178" s="74"/>
      <c r="O178" s="74"/>
    </row>
    <row r="179" spans="1:15" ht="15.75" customHeight="1" x14ac:dyDescent="0.25">
      <c r="A179" s="76" t="str">
        <f>[1]Entregables!C179</f>
        <v>30O2E1</v>
      </c>
      <c r="B179" s="74">
        <f>[1]Entregables!E179</f>
        <v>0.5</v>
      </c>
      <c r="C179" s="74">
        <v>0</v>
      </c>
      <c r="D179" s="74">
        <v>1</v>
      </c>
      <c r="E179" s="74">
        <v>0.17</v>
      </c>
      <c r="F179" s="74">
        <v>0.17</v>
      </c>
      <c r="G179" s="79"/>
      <c r="H179" s="79"/>
      <c r="I179" s="79"/>
      <c r="J179" s="79"/>
      <c r="K179" s="79"/>
      <c r="L179" s="74"/>
      <c r="M179" s="74"/>
      <c r="N179" s="74"/>
      <c r="O179" s="74"/>
    </row>
    <row r="180" spans="1:15" ht="15.75" customHeight="1" x14ac:dyDescent="0.25">
      <c r="A180" s="76" t="str">
        <f>[1]Entregables!C180</f>
        <v>30O2E2</v>
      </c>
      <c r="B180" s="74">
        <f>[1]Entregables!E180</f>
        <v>0.5</v>
      </c>
      <c r="C180" s="74">
        <v>0</v>
      </c>
      <c r="D180" s="74">
        <v>1</v>
      </c>
      <c r="E180" s="74">
        <v>0.17</v>
      </c>
      <c r="F180" s="74">
        <v>0.17</v>
      </c>
      <c r="G180" s="79"/>
      <c r="H180" s="79"/>
      <c r="I180" s="79"/>
      <c r="J180" s="79"/>
      <c r="K180" s="79"/>
      <c r="L180" s="74"/>
      <c r="M180" s="74"/>
      <c r="N180" s="74"/>
      <c r="O180" s="74"/>
    </row>
    <row r="181" spans="1:15" ht="15.75" customHeight="1" x14ac:dyDescent="0.25">
      <c r="A181" s="76" t="str">
        <f>[1]Entregables!C181</f>
        <v>31O1E1</v>
      </c>
      <c r="B181" s="74">
        <f>[1]Entregables!E181</f>
        <v>1</v>
      </c>
      <c r="C181" s="74">
        <v>0</v>
      </c>
      <c r="D181" s="74">
        <v>1</v>
      </c>
      <c r="E181" s="74">
        <v>0.34</v>
      </c>
      <c r="F181" s="74">
        <v>0.34</v>
      </c>
      <c r="G181" s="79"/>
      <c r="H181" s="79"/>
      <c r="I181" s="79"/>
      <c r="J181" s="79"/>
      <c r="K181" s="79"/>
      <c r="L181" s="74"/>
      <c r="M181" s="74"/>
      <c r="N181" s="74"/>
      <c r="O181" s="74"/>
    </row>
    <row r="182" spans="1:15" ht="15.75" customHeight="1" x14ac:dyDescent="0.25">
      <c r="A182" s="76" t="str">
        <f>[1]Entregables!C182</f>
        <v>31O1E2</v>
      </c>
      <c r="B182" s="74">
        <f>[1]Entregables!E182</f>
        <v>5.000000074505806E-2</v>
      </c>
      <c r="C182" s="74">
        <v>0</v>
      </c>
      <c r="D182" s="74">
        <v>0</v>
      </c>
      <c r="E182" s="74">
        <v>0.1</v>
      </c>
      <c r="F182" s="74">
        <v>0.1</v>
      </c>
      <c r="G182" s="79"/>
      <c r="H182" s="79"/>
      <c r="I182" s="79"/>
      <c r="J182" s="79"/>
      <c r="K182" s="79"/>
      <c r="L182" s="74"/>
      <c r="M182" s="74"/>
      <c r="N182" s="74"/>
      <c r="O182" s="74"/>
    </row>
    <row r="183" spans="1:15" ht="15.75" customHeight="1" x14ac:dyDescent="0.25">
      <c r="A183" s="76" t="str">
        <f>[1]Entregables!C183</f>
        <v>31O2E1</v>
      </c>
      <c r="B183" s="74">
        <f>[1]Entregables!E183</f>
        <v>0.40000000596046448</v>
      </c>
      <c r="C183" s="74">
        <v>1</v>
      </c>
      <c r="D183" s="74">
        <v>1</v>
      </c>
      <c r="E183" s="74">
        <v>0</v>
      </c>
      <c r="F183" s="74">
        <v>1</v>
      </c>
      <c r="G183" s="79"/>
      <c r="H183" s="79"/>
      <c r="I183" s="79"/>
      <c r="J183" s="79"/>
      <c r="K183" s="79"/>
      <c r="L183" s="74"/>
      <c r="M183" s="74"/>
      <c r="N183" s="74"/>
      <c r="O183" s="74"/>
    </row>
    <row r="184" spans="1:15" ht="15.75" customHeight="1" x14ac:dyDescent="0.25">
      <c r="A184" s="76" t="str">
        <f>[1]Entregables!C184</f>
        <v>31O2E2</v>
      </c>
      <c r="B184" s="74">
        <f>[1]Entregables!E184</f>
        <v>0.5</v>
      </c>
      <c r="C184" s="74">
        <v>0.02</v>
      </c>
      <c r="D184" s="74">
        <v>0.1428571422489322</v>
      </c>
      <c r="E184" s="74">
        <v>0.32</v>
      </c>
      <c r="F184" s="74">
        <v>0.34</v>
      </c>
      <c r="G184" s="79"/>
      <c r="H184" s="79"/>
      <c r="I184" s="79"/>
      <c r="J184" s="79"/>
      <c r="K184" s="79"/>
      <c r="L184" s="74"/>
      <c r="M184" s="74"/>
      <c r="N184" s="74"/>
      <c r="O184" s="74"/>
    </row>
    <row r="185" spans="1:15" ht="15.75" customHeight="1" x14ac:dyDescent="0.25">
      <c r="A185" s="76" t="str">
        <f>[1]Entregables!C185</f>
        <v>31O2E3</v>
      </c>
      <c r="B185" s="74">
        <f>[1]Entregables!E185</f>
        <v>5.000000074505806E-2</v>
      </c>
      <c r="C185" s="74">
        <v>0.15</v>
      </c>
      <c r="D185" s="74">
        <v>0.15</v>
      </c>
      <c r="E185" s="74">
        <v>0.75</v>
      </c>
      <c r="F185" s="74">
        <v>0.9</v>
      </c>
      <c r="G185" s="79"/>
      <c r="H185" s="79"/>
      <c r="I185" s="79"/>
      <c r="J185" s="79"/>
      <c r="K185" s="79"/>
      <c r="L185" s="74"/>
      <c r="M185" s="74"/>
      <c r="N185" s="74"/>
      <c r="O185" s="74"/>
    </row>
    <row r="186" spans="1:15" ht="15.75" customHeight="1" x14ac:dyDescent="0.25">
      <c r="A186" s="76" t="str">
        <f>[1]Entregables!C186</f>
        <v>31O2E4</v>
      </c>
      <c r="B186" s="74">
        <f>[1]Entregables!E186</f>
        <v>0.40000000596046448</v>
      </c>
      <c r="C186" s="74">
        <v>0.1</v>
      </c>
      <c r="D186" s="74">
        <v>0.99999998509883903</v>
      </c>
      <c r="E186" s="74">
        <v>0.2</v>
      </c>
      <c r="F186" s="74">
        <v>0.30000000000000004</v>
      </c>
      <c r="G186" s="79"/>
      <c r="H186" s="79"/>
      <c r="I186" s="79"/>
      <c r="J186" s="79"/>
      <c r="K186" s="79"/>
      <c r="L186" s="74"/>
      <c r="M186" s="74"/>
      <c r="N186" s="74"/>
      <c r="O186" s="74"/>
    </row>
    <row r="187" spans="1:15" ht="15.75" customHeight="1" x14ac:dyDescent="0.25">
      <c r="A187" s="76" t="str">
        <f>[1]Entregables!C187</f>
        <v>31O3E1</v>
      </c>
      <c r="B187" s="74">
        <f>[1]Entregables!E187</f>
        <v>0.60000002384185791</v>
      </c>
      <c r="C187" s="74">
        <v>0</v>
      </c>
      <c r="D187" s="74">
        <v>1</v>
      </c>
      <c r="E187" s="74">
        <v>0</v>
      </c>
      <c r="F187" s="74">
        <v>0</v>
      </c>
      <c r="G187" s="79"/>
      <c r="H187" s="79"/>
      <c r="I187" s="79"/>
      <c r="J187" s="79"/>
      <c r="K187" s="79"/>
      <c r="L187" s="74"/>
      <c r="M187" s="74"/>
      <c r="N187" s="74"/>
      <c r="O187" s="74"/>
    </row>
    <row r="188" spans="1:15" ht="15.75" customHeight="1" x14ac:dyDescent="0.25">
      <c r="A188" s="76" t="str">
        <f>[1]Entregables!C188</f>
        <v>31O3E2</v>
      </c>
      <c r="B188" s="74">
        <f>[1]Entregables!E188</f>
        <v>1</v>
      </c>
      <c r="C188" s="74">
        <v>0</v>
      </c>
      <c r="D188" s="74">
        <v>1</v>
      </c>
      <c r="E188" s="74">
        <v>0</v>
      </c>
      <c r="F188" s="74">
        <v>0</v>
      </c>
      <c r="G188" s="79"/>
      <c r="H188" s="79"/>
      <c r="I188" s="79"/>
      <c r="J188" s="79"/>
      <c r="K188" s="79"/>
      <c r="L188" s="74"/>
      <c r="M188" s="74"/>
      <c r="N188" s="74"/>
      <c r="O188" s="74"/>
    </row>
    <row r="189" spans="1:15" ht="15.75" customHeight="1" x14ac:dyDescent="0.25">
      <c r="A189" s="76" t="str">
        <f>[1]Entregables!C189</f>
        <v>32O1E1</v>
      </c>
      <c r="B189" s="74">
        <f>[1]Entregables!E189</f>
        <v>0.5</v>
      </c>
      <c r="C189" s="74">
        <v>0.04</v>
      </c>
      <c r="D189" s="74">
        <v>0.79999998807907124</v>
      </c>
      <c r="E189" s="74">
        <v>0.08</v>
      </c>
      <c r="F189" s="74">
        <v>0.12</v>
      </c>
      <c r="G189" s="79"/>
      <c r="H189" s="79"/>
      <c r="I189" s="79"/>
      <c r="J189" s="79"/>
      <c r="K189" s="79"/>
      <c r="L189" s="74"/>
      <c r="M189" s="74"/>
      <c r="N189" s="74"/>
      <c r="O189" s="74"/>
    </row>
    <row r="190" spans="1:15" ht="15.75" customHeight="1" x14ac:dyDescent="0.25">
      <c r="A190" s="76" t="str">
        <f>[1]Entregables!C190</f>
        <v>32O1E2</v>
      </c>
      <c r="B190" s="74">
        <f>[1]Entregables!E190</f>
        <v>0.5</v>
      </c>
      <c r="C190" s="74">
        <v>0</v>
      </c>
      <c r="D190" s="74">
        <v>1</v>
      </c>
      <c r="E190" s="74">
        <v>0</v>
      </c>
      <c r="F190" s="74">
        <v>0</v>
      </c>
      <c r="G190" s="79"/>
      <c r="H190" s="79"/>
      <c r="I190" s="79"/>
      <c r="J190" s="79"/>
      <c r="K190" s="79"/>
      <c r="L190" s="74"/>
      <c r="M190" s="74"/>
      <c r="N190" s="74"/>
      <c r="O190" s="74"/>
    </row>
    <row r="191" spans="1:15" ht="15.75" customHeight="1" x14ac:dyDescent="0.25">
      <c r="A191" s="76" t="str">
        <f>[1]Entregables!C191</f>
        <v>32O2E1</v>
      </c>
      <c r="B191" s="74">
        <f>[1]Entregables!E191</f>
        <v>0.60000002384185791</v>
      </c>
      <c r="C191" s="74">
        <v>0.02</v>
      </c>
      <c r="D191" s="74">
        <v>0.19999999701976781</v>
      </c>
      <c r="E191" s="74">
        <v>0.05</v>
      </c>
      <c r="F191" s="74">
        <v>7.0000000000000007E-2</v>
      </c>
      <c r="G191" s="79"/>
      <c r="H191" s="79"/>
      <c r="I191" s="79"/>
      <c r="J191" s="79"/>
      <c r="K191" s="79"/>
      <c r="L191" s="74"/>
      <c r="M191" s="74"/>
      <c r="N191" s="74"/>
      <c r="O191" s="74"/>
    </row>
    <row r="192" spans="1:15" ht="15.75" customHeight="1" x14ac:dyDescent="0.25">
      <c r="A192" s="76" t="str">
        <f>[1]Entregables!C192</f>
        <v>32O2E2</v>
      </c>
      <c r="B192" s="74">
        <f>[1]Entregables!E192</f>
        <v>0.30000001192092896</v>
      </c>
      <c r="C192" s="74">
        <v>0.03</v>
      </c>
      <c r="D192" s="74">
        <v>0.29999999552965168</v>
      </c>
      <c r="E192" s="74">
        <v>7.0000000000000007E-2</v>
      </c>
      <c r="F192" s="74">
        <v>0.1</v>
      </c>
      <c r="G192" s="79"/>
      <c r="H192" s="79"/>
      <c r="I192" s="79"/>
      <c r="J192" s="79"/>
      <c r="K192" s="79"/>
      <c r="L192" s="74"/>
      <c r="M192" s="74"/>
      <c r="N192" s="74"/>
      <c r="O192" s="74"/>
    </row>
    <row r="193" spans="1:15" ht="15.75" customHeight="1" x14ac:dyDescent="0.25">
      <c r="A193" s="76" t="str">
        <f>[1]Entregables!C193</f>
        <v>32O2E3</v>
      </c>
      <c r="B193" s="74">
        <f>[1]Entregables!E193</f>
        <v>0.10000000149011612</v>
      </c>
      <c r="C193" s="74">
        <v>0</v>
      </c>
      <c r="D193" s="74">
        <v>1</v>
      </c>
      <c r="E193" s="74">
        <v>0.1</v>
      </c>
      <c r="F193" s="74">
        <v>0.1</v>
      </c>
      <c r="G193" s="79"/>
      <c r="H193" s="79"/>
      <c r="I193" s="79"/>
      <c r="J193" s="79"/>
      <c r="K193" s="79"/>
      <c r="L193" s="74"/>
      <c r="M193" s="74"/>
      <c r="N193" s="74"/>
      <c r="O193" s="74"/>
    </row>
    <row r="194" spans="1:15" ht="15.75" customHeight="1" x14ac:dyDescent="0.25">
      <c r="A194" s="76" t="str">
        <f>[1]Entregables!C194</f>
        <v>32O3E1</v>
      </c>
      <c r="B194" s="74">
        <f>[1]Entregables!E194</f>
        <v>1</v>
      </c>
      <c r="C194" s="74">
        <v>0</v>
      </c>
      <c r="D194" s="74">
        <v>1</v>
      </c>
      <c r="E194" s="74">
        <v>0</v>
      </c>
      <c r="F194" s="74">
        <v>0</v>
      </c>
      <c r="G194" s="79"/>
      <c r="H194" s="79"/>
      <c r="I194" s="79"/>
      <c r="J194" s="79"/>
      <c r="K194" s="79"/>
      <c r="L194" s="74"/>
      <c r="M194" s="74"/>
      <c r="N194" s="74"/>
      <c r="O194" s="74"/>
    </row>
    <row r="195" spans="1:15" ht="15.75" customHeight="1" x14ac:dyDescent="0.25">
      <c r="A195" s="76" t="str">
        <f>[1]Entregables!C195</f>
        <v>34O1E1</v>
      </c>
      <c r="B195" s="74">
        <f>[1]Entregables!E195</f>
        <v>0.30000001192092896</v>
      </c>
      <c r="C195" s="74">
        <v>0.05</v>
      </c>
      <c r="D195" s="74">
        <v>1</v>
      </c>
      <c r="E195" s="74">
        <v>1</v>
      </c>
      <c r="F195" s="74">
        <v>1</v>
      </c>
      <c r="G195" s="79"/>
      <c r="H195" s="79"/>
      <c r="I195" s="79"/>
      <c r="J195" s="79"/>
      <c r="K195" s="79"/>
      <c r="L195" s="74"/>
      <c r="M195" s="74"/>
      <c r="N195" s="74"/>
      <c r="O195" s="74"/>
    </row>
    <row r="196" spans="1:15" ht="15.75" customHeight="1" x14ac:dyDescent="0.25">
      <c r="A196" s="76" t="str">
        <f>[1]Entregables!C196</f>
        <v>34O1E2</v>
      </c>
      <c r="B196" s="74">
        <f>[1]Entregables!E196</f>
        <v>0.69999998807907104</v>
      </c>
      <c r="C196" s="74"/>
      <c r="D196" s="74">
        <v>1</v>
      </c>
      <c r="E196" s="74">
        <v>0</v>
      </c>
      <c r="F196" s="74">
        <v>0</v>
      </c>
      <c r="G196" s="79"/>
      <c r="H196" s="79"/>
      <c r="I196" s="79"/>
      <c r="J196" s="79"/>
      <c r="K196" s="79"/>
      <c r="L196" s="74"/>
      <c r="M196" s="74"/>
      <c r="N196" s="74"/>
      <c r="O196" s="74"/>
    </row>
    <row r="197" spans="1:15" ht="15.75" customHeight="1" x14ac:dyDescent="0.25">
      <c r="A197" s="76" t="str">
        <f>[1]Entregables!C197</f>
        <v>34O2E1</v>
      </c>
      <c r="B197" s="74">
        <f>[1]Entregables!E197</f>
        <v>1</v>
      </c>
      <c r="C197" s="74"/>
      <c r="D197" s="74">
        <v>1</v>
      </c>
      <c r="E197" s="74">
        <v>0</v>
      </c>
      <c r="F197" s="74">
        <v>0</v>
      </c>
      <c r="G197" s="79"/>
      <c r="H197" s="79"/>
      <c r="I197" s="79"/>
      <c r="J197" s="79"/>
      <c r="K197" s="79"/>
      <c r="L197" s="74"/>
      <c r="M197" s="74"/>
      <c r="N197" s="74"/>
      <c r="O197" s="74"/>
    </row>
    <row r="198" spans="1:15" ht="15.75" customHeight="1" x14ac:dyDescent="0.25">
      <c r="A198" s="76" t="str">
        <f>[1]Entregables!C198</f>
        <v>35O1E1</v>
      </c>
      <c r="B198" s="74">
        <f>[1]Entregables!E198</f>
        <v>0.40000000596046448</v>
      </c>
      <c r="C198" s="74">
        <v>0</v>
      </c>
      <c r="D198" s="74">
        <v>0</v>
      </c>
      <c r="E198" s="74">
        <v>0.1</v>
      </c>
      <c r="F198" s="74">
        <v>0.1</v>
      </c>
      <c r="G198" s="79"/>
      <c r="H198" s="79"/>
      <c r="I198" s="79"/>
      <c r="J198" s="79"/>
      <c r="K198" s="79"/>
      <c r="L198" s="74"/>
      <c r="M198" s="74"/>
      <c r="N198" s="74"/>
      <c r="O198" s="74"/>
    </row>
    <row r="199" spans="1:15" ht="15.75" customHeight="1" x14ac:dyDescent="0.25">
      <c r="A199" s="76" t="str">
        <f>[1]Entregables!C199</f>
        <v>35O1E2</v>
      </c>
      <c r="B199" s="74">
        <f>[1]Entregables!E199</f>
        <v>0.40000000596046448</v>
      </c>
      <c r="C199" s="74">
        <v>0</v>
      </c>
      <c r="D199" s="74">
        <v>1</v>
      </c>
      <c r="E199" s="74">
        <v>0.05</v>
      </c>
      <c r="F199" s="74">
        <v>0.05</v>
      </c>
      <c r="G199" s="79"/>
      <c r="H199" s="79"/>
      <c r="I199" s="79"/>
      <c r="J199" s="79"/>
      <c r="K199" s="79"/>
      <c r="L199" s="74"/>
      <c r="M199" s="74"/>
      <c r="N199" s="74"/>
      <c r="O199" s="74"/>
    </row>
    <row r="200" spans="1:15" ht="15.75" customHeight="1" x14ac:dyDescent="0.25">
      <c r="A200" s="76" t="str">
        <f>[1]Entregables!C200</f>
        <v>35O1E3</v>
      </c>
      <c r="B200" s="74">
        <f>[1]Entregables!E200</f>
        <v>0.20000000298023224</v>
      </c>
      <c r="C200" s="74">
        <v>0</v>
      </c>
      <c r="D200" s="74">
        <v>1</v>
      </c>
      <c r="E200" s="74">
        <v>0</v>
      </c>
      <c r="F200" s="74">
        <v>0</v>
      </c>
      <c r="G200" s="79"/>
      <c r="H200" s="79"/>
      <c r="I200" s="79"/>
      <c r="J200" s="79"/>
      <c r="K200" s="79"/>
      <c r="L200" s="74"/>
      <c r="M200" s="74"/>
      <c r="N200" s="74"/>
      <c r="O200" s="74"/>
    </row>
    <row r="201" spans="1:15" ht="15.75" customHeight="1" x14ac:dyDescent="0.25">
      <c r="A201" s="76" t="str">
        <f>[1]Entregables!C201</f>
        <v>35O2E1</v>
      </c>
      <c r="B201" s="74">
        <f>[1]Entregables!E201</f>
        <v>0.69999998807907104</v>
      </c>
      <c r="C201" s="74">
        <v>0.4</v>
      </c>
      <c r="D201" s="74">
        <v>1</v>
      </c>
      <c r="E201" s="74">
        <v>0.2</v>
      </c>
      <c r="F201" s="74">
        <v>0.60000000000000009</v>
      </c>
      <c r="G201" s="79"/>
      <c r="H201" s="79"/>
      <c r="I201" s="79"/>
      <c r="J201" s="79"/>
      <c r="K201" s="79"/>
      <c r="L201" s="74"/>
      <c r="M201" s="74"/>
      <c r="N201" s="74"/>
      <c r="O201" s="74"/>
    </row>
    <row r="202" spans="1:15" ht="15.75" customHeight="1" x14ac:dyDescent="0.25">
      <c r="A202" s="76" t="str">
        <f>[1]Entregables!C202</f>
        <v>35O2E2</v>
      </c>
      <c r="B202" s="74">
        <f>[1]Entregables!E202</f>
        <v>0.30000001192092896</v>
      </c>
      <c r="C202" s="74">
        <v>0</v>
      </c>
      <c r="D202" s="74">
        <v>1</v>
      </c>
      <c r="E202" s="74">
        <v>0</v>
      </c>
      <c r="F202" s="74">
        <v>0</v>
      </c>
      <c r="G202" s="79"/>
      <c r="H202" s="79"/>
      <c r="I202" s="79"/>
      <c r="J202" s="79"/>
      <c r="K202" s="79"/>
      <c r="L202" s="74"/>
      <c r="M202" s="74"/>
      <c r="N202" s="74"/>
      <c r="O202" s="74"/>
    </row>
    <row r="203" spans="1:15" ht="15.75" customHeight="1" x14ac:dyDescent="0.25">
      <c r="A203" s="76" t="str">
        <f>[1]Entregables!C203</f>
        <v>35O3E1</v>
      </c>
      <c r="B203" s="74">
        <f>[1]Entregables!E203</f>
        <v>0.30000001192092896</v>
      </c>
      <c r="C203" s="74">
        <v>0.05</v>
      </c>
      <c r="D203" s="74">
        <v>1</v>
      </c>
      <c r="E203" s="74">
        <v>0.1</v>
      </c>
      <c r="F203" s="74">
        <v>0.15000000000000002</v>
      </c>
      <c r="G203" s="79"/>
      <c r="H203" s="79"/>
      <c r="I203" s="79"/>
      <c r="J203" s="79"/>
      <c r="K203" s="79"/>
      <c r="L203" s="74"/>
      <c r="M203" s="74"/>
      <c r="N203" s="74"/>
      <c r="O203" s="74"/>
    </row>
    <row r="204" spans="1:15" ht="15.75" customHeight="1" x14ac:dyDescent="0.25">
      <c r="A204" s="76" t="str">
        <f>[1]Entregables!C204</f>
        <v>35O3E2</v>
      </c>
      <c r="B204" s="74">
        <f>[1]Entregables!E204</f>
        <v>0.20000000298023224</v>
      </c>
      <c r="C204" s="74">
        <v>0</v>
      </c>
      <c r="D204" s="74">
        <v>1</v>
      </c>
      <c r="E204" s="74">
        <v>0</v>
      </c>
      <c r="F204" s="74">
        <v>0</v>
      </c>
      <c r="G204" s="79"/>
      <c r="H204" s="79"/>
      <c r="I204" s="79"/>
      <c r="J204" s="79"/>
      <c r="K204" s="79"/>
      <c r="L204" s="74"/>
      <c r="M204" s="74"/>
      <c r="N204" s="74"/>
      <c r="O204" s="74"/>
    </row>
    <row r="205" spans="1:15" ht="15.75" customHeight="1" x14ac:dyDescent="0.25">
      <c r="A205" s="76" t="str">
        <f>[1]Entregables!C205</f>
        <v>35O3E3</v>
      </c>
      <c r="B205" s="74">
        <f>[1]Entregables!E205</f>
        <v>0.25</v>
      </c>
      <c r="C205" s="74">
        <v>0</v>
      </c>
      <c r="D205" s="74">
        <v>1</v>
      </c>
      <c r="E205" s="74">
        <v>0.1</v>
      </c>
      <c r="F205" s="74">
        <v>0.1</v>
      </c>
      <c r="G205" s="79"/>
      <c r="H205" s="79"/>
      <c r="I205" s="79"/>
      <c r="J205" s="79"/>
      <c r="K205" s="79"/>
      <c r="L205" s="74"/>
      <c r="M205" s="74"/>
      <c r="N205" s="74"/>
      <c r="O205" s="74"/>
    </row>
    <row r="206" spans="1:15" ht="15.75" customHeight="1" x14ac:dyDescent="0.25">
      <c r="A206" s="76" t="str">
        <f>[1]Entregables!C206</f>
        <v>35O3E4</v>
      </c>
      <c r="B206" s="74">
        <f>[1]Entregables!E206</f>
        <v>0.25</v>
      </c>
      <c r="C206" s="74">
        <v>0</v>
      </c>
      <c r="D206" s="74">
        <v>1</v>
      </c>
      <c r="E206" s="74">
        <v>0</v>
      </c>
      <c r="F206" s="74">
        <v>0</v>
      </c>
      <c r="G206" s="79"/>
      <c r="H206" s="79"/>
      <c r="I206" s="79"/>
      <c r="J206" s="79"/>
      <c r="K206" s="79"/>
      <c r="L206" s="74"/>
      <c r="M206" s="74"/>
      <c r="N206" s="74"/>
      <c r="O206" s="74"/>
    </row>
    <row r="207" spans="1:15" ht="15.75" customHeight="1" x14ac:dyDescent="0.25">
      <c r="A207" s="76" t="str">
        <f>[1]Entregables!C207</f>
        <v>36O1E1</v>
      </c>
      <c r="B207" s="74">
        <f>[1]Entregables!E207</f>
        <v>0.60000002384185791</v>
      </c>
      <c r="C207" s="74">
        <v>0.08</v>
      </c>
      <c r="D207" s="74">
        <v>0.79999998807907124</v>
      </c>
      <c r="E207" s="74">
        <v>0.2</v>
      </c>
      <c r="F207" s="74">
        <v>0.28000000000000003</v>
      </c>
      <c r="G207" s="79"/>
      <c r="H207" s="79"/>
      <c r="I207" s="79"/>
      <c r="J207" s="79"/>
      <c r="K207" s="79"/>
      <c r="L207" s="74"/>
      <c r="M207" s="74"/>
      <c r="N207" s="74"/>
      <c r="O207" s="74"/>
    </row>
    <row r="208" spans="1:15" ht="15.75" customHeight="1" x14ac:dyDescent="0.25">
      <c r="A208" s="76" t="str">
        <f>[1]Entregables!C208</f>
        <v>36O1E2</v>
      </c>
      <c r="B208" s="74">
        <f>[1]Entregables!E208</f>
        <v>0.40000000596046448</v>
      </c>
      <c r="C208" s="74">
        <v>0</v>
      </c>
      <c r="D208" s="74">
        <v>1</v>
      </c>
      <c r="E208" s="74">
        <v>0.21</v>
      </c>
      <c r="F208" s="74">
        <v>0.21</v>
      </c>
      <c r="G208" s="79"/>
      <c r="H208" s="79"/>
      <c r="I208" s="79"/>
      <c r="J208" s="79"/>
      <c r="K208" s="79"/>
      <c r="L208" s="74"/>
      <c r="M208" s="74"/>
      <c r="N208" s="74"/>
      <c r="O208" s="74"/>
    </row>
    <row r="209" spans="1:15" ht="15.75" customHeight="1" x14ac:dyDescent="0.25">
      <c r="A209" s="76" t="str">
        <f>[1]Entregables!C209</f>
        <v>36O2E1</v>
      </c>
      <c r="B209" s="74">
        <f>[1]Entregables!E209</f>
        <v>0.20000000298023224</v>
      </c>
      <c r="C209" s="74">
        <v>0.15</v>
      </c>
      <c r="D209" s="74">
        <v>0.99999996026357174</v>
      </c>
      <c r="E209" s="74">
        <v>0.41</v>
      </c>
      <c r="F209" s="74">
        <v>0.55999999999999994</v>
      </c>
      <c r="G209" s="79"/>
      <c r="H209" s="79"/>
      <c r="I209" s="79"/>
      <c r="J209" s="79"/>
      <c r="K209" s="79"/>
      <c r="L209" s="74"/>
      <c r="M209" s="74"/>
      <c r="N209" s="74"/>
      <c r="O209" s="74"/>
    </row>
    <row r="210" spans="1:15" ht="15.75" customHeight="1" x14ac:dyDescent="0.25">
      <c r="A210" s="76" t="str">
        <f>[1]Entregables!C210</f>
        <v>36O2E2</v>
      </c>
      <c r="B210" s="74">
        <f>[1]Entregables!E210</f>
        <v>0.30000001192092896</v>
      </c>
      <c r="C210" s="74">
        <v>0.4</v>
      </c>
      <c r="D210" s="74">
        <v>1</v>
      </c>
      <c r="E210" s="74">
        <v>0.19</v>
      </c>
      <c r="F210" s="74">
        <v>0.59000000000000008</v>
      </c>
      <c r="G210" s="79"/>
      <c r="H210" s="79"/>
      <c r="I210" s="79"/>
      <c r="J210" s="79"/>
      <c r="K210" s="79"/>
      <c r="L210" s="74"/>
      <c r="M210" s="74"/>
      <c r="N210" s="74"/>
      <c r="O210" s="74"/>
    </row>
    <row r="211" spans="1:15" ht="15.75" customHeight="1" x14ac:dyDescent="0.25">
      <c r="A211" s="76" t="str">
        <f>[1]Entregables!C211</f>
        <v>36O2E3</v>
      </c>
      <c r="B211" s="74">
        <f>[1]Entregables!E211</f>
        <v>0.20000000298023224</v>
      </c>
      <c r="C211" s="74">
        <v>0.1</v>
      </c>
      <c r="D211" s="74">
        <v>1</v>
      </c>
      <c r="E211" s="74">
        <v>0.2</v>
      </c>
      <c r="F211" s="74">
        <v>0.30000000000000004</v>
      </c>
      <c r="G211" s="79"/>
      <c r="H211" s="79"/>
      <c r="I211" s="79"/>
      <c r="J211" s="79"/>
      <c r="K211" s="79"/>
      <c r="L211" s="74"/>
      <c r="M211" s="74"/>
      <c r="N211" s="74"/>
      <c r="O211" s="74"/>
    </row>
    <row r="212" spans="1:15" ht="15.75" customHeight="1" x14ac:dyDescent="0.25">
      <c r="A212" s="76" t="str">
        <f>[1]Entregables!C212</f>
        <v>36O2E4</v>
      </c>
      <c r="B212" s="74">
        <f>[1]Entregables!E212</f>
        <v>0.20000000298023224</v>
      </c>
      <c r="C212" s="74">
        <v>0.5</v>
      </c>
      <c r="D212" s="74">
        <v>1</v>
      </c>
      <c r="E212" s="74">
        <v>0.3</v>
      </c>
      <c r="F212" s="74">
        <v>0.8</v>
      </c>
      <c r="G212" s="79"/>
      <c r="H212" s="79"/>
      <c r="I212" s="79"/>
      <c r="J212" s="79"/>
      <c r="K212" s="79"/>
      <c r="L212" s="74"/>
      <c r="M212" s="74"/>
      <c r="N212" s="74"/>
      <c r="O212" s="74"/>
    </row>
    <row r="213" spans="1:15" ht="15.75" customHeight="1" x14ac:dyDescent="0.25">
      <c r="A213" s="76" t="str">
        <f>[1]Entregables!C213</f>
        <v>36O2E5</v>
      </c>
      <c r="B213" s="74">
        <f>[1]Entregables!E213</f>
        <v>0.10000000149011612</v>
      </c>
      <c r="C213" s="74">
        <v>0.01</v>
      </c>
      <c r="D213" s="74">
        <v>1</v>
      </c>
      <c r="E213" s="74">
        <v>0.25</v>
      </c>
      <c r="F213" s="74">
        <v>0.26</v>
      </c>
      <c r="G213" s="79"/>
      <c r="H213" s="79"/>
      <c r="I213" s="79"/>
      <c r="J213" s="79"/>
      <c r="K213" s="79"/>
      <c r="L213" s="74"/>
      <c r="M213" s="74"/>
      <c r="N213" s="74"/>
      <c r="O213" s="74"/>
    </row>
    <row r="214" spans="1:15" ht="15.75" customHeight="1" x14ac:dyDescent="0.25">
      <c r="A214" s="76" t="str">
        <f>[1]Entregables!C214</f>
        <v>36O3E1</v>
      </c>
      <c r="B214" s="74">
        <f>[1]Entregables!E214</f>
        <v>0.25</v>
      </c>
      <c r="C214" s="74">
        <v>0.01</v>
      </c>
      <c r="D214" s="74">
        <v>1</v>
      </c>
      <c r="E214" s="74">
        <v>0.2</v>
      </c>
      <c r="F214" s="74">
        <v>0.21000000000000002</v>
      </c>
      <c r="G214" s="79"/>
      <c r="H214" s="79"/>
      <c r="I214" s="79"/>
      <c r="J214" s="79"/>
      <c r="K214" s="79"/>
      <c r="L214" s="74"/>
      <c r="M214" s="74"/>
      <c r="N214" s="74"/>
      <c r="O214" s="74"/>
    </row>
    <row r="215" spans="1:15" ht="15.75" customHeight="1" x14ac:dyDescent="0.25">
      <c r="A215" s="76" t="str">
        <f>[1]Entregables!C215</f>
        <v>36O3E2</v>
      </c>
      <c r="B215" s="74">
        <f>[1]Entregables!E215</f>
        <v>0.25</v>
      </c>
      <c r="C215" s="74">
        <v>0.15</v>
      </c>
      <c r="D215" s="74">
        <v>0.99999996026357174</v>
      </c>
      <c r="E215" s="74">
        <v>0.21</v>
      </c>
      <c r="F215" s="74">
        <v>0.36</v>
      </c>
      <c r="G215" s="79"/>
      <c r="H215" s="79"/>
      <c r="I215" s="79"/>
      <c r="J215" s="79"/>
      <c r="K215" s="79"/>
      <c r="L215" s="74"/>
      <c r="M215" s="74"/>
      <c r="N215" s="74"/>
      <c r="O215" s="74"/>
    </row>
    <row r="216" spans="1:15" ht="15.75" customHeight="1" x14ac:dyDescent="0.25">
      <c r="A216" s="76" t="str">
        <f>[1]Entregables!C216</f>
        <v>36O3E3</v>
      </c>
      <c r="B216" s="74">
        <f>[1]Entregables!E216</f>
        <v>0.25</v>
      </c>
      <c r="C216" s="74">
        <v>0.16</v>
      </c>
      <c r="D216" s="74">
        <v>1</v>
      </c>
      <c r="E216" s="74">
        <v>0.19</v>
      </c>
      <c r="F216" s="74">
        <v>0.35</v>
      </c>
      <c r="G216" s="79"/>
      <c r="H216" s="79"/>
      <c r="I216" s="79"/>
      <c r="J216" s="79"/>
      <c r="K216" s="79"/>
      <c r="L216" s="74"/>
      <c r="M216" s="74"/>
      <c r="N216" s="74"/>
      <c r="O216" s="74"/>
    </row>
    <row r="217" spans="1:15" ht="15.75" customHeight="1" x14ac:dyDescent="0.25">
      <c r="A217" s="76" t="str">
        <f>[1]Entregables!C217</f>
        <v>36O3E4</v>
      </c>
      <c r="B217" s="74">
        <f>[1]Entregables!E217</f>
        <v>0.25</v>
      </c>
      <c r="C217" s="74">
        <v>0.16</v>
      </c>
      <c r="D217" s="74">
        <v>1</v>
      </c>
      <c r="E217" s="74">
        <v>0.19</v>
      </c>
      <c r="F217" s="74">
        <v>0.35</v>
      </c>
      <c r="G217" s="79"/>
      <c r="H217" s="79"/>
      <c r="I217" s="79"/>
      <c r="J217" s="79"/>
      <c r="K217" s="79"/>
      <c r="L217" s="74"/>
      <c r="M217" s="74"/>
      <c r="N217" s="74"/>
      <c r="O217" s="74"/>
    </row>
    <row r="218" spans="1:15" ht="15.75" customHeight="1" x14ac:dyDescent="0.25">
      <c r="A218" s="76" t="str">
        <f>[1]Entregables!C218</f>
        <v>39O1E1</v>
      </c>
      <c r="B218" s="74">
        <f>[1]Entregables!E218</f>
        <v>0.80000001192092896</v>
      </c>
      <c r="C218" s="74">
        <v>0.02</v>
      </c>
      <c r="D218" s="74">
        <v>0.19999999701976781</v>
      </c>
      <c r="E218" s="74">
        <v>0.12</v>
      </c>
      <c r="F218" s="74">
        <v>0.13999999999999999</v>
      </c>
      <c r="G218" s="79"/>
      <c r="H218" s="79"/>
      <c r="I218" s="79"/>
      <c r="J218" s="79"/>
      <c r="K218" s="79"/>
      <c r="L218" s="74"/>
      <c r="M218" s="74"/>
      <c r="N218" s="74"/>
      <c r="O218" s="74"/>
    </row>
    <row r="219" spans="1:15" ht="15.75" customHeight="1" x14ac:dyDescent="0.25">
      <c r="A219" s="76" t="str">
        <f>[1]Entregables!C219</f>
        <v>39O1E2</v>
      </c>
      <c r="B219" s="74">
        <f>[1]Entregables!E219</f>
        <v>0.20000000298023224</v>
      </c>
      <c r="C219" s="74">
        <v>0</v>
      </c>
      <c r="D219" s="74">
        <v>1</v>
      </c>
      <c r="E219" s="74">
        <v>0</v>
      </c>
      <c r="F219" s="74">
        <v>0</v>
      </c>
      <c r="G219" s="79"/>
      <c r="H219" s="79"/>
      <c r="I219" s="79"/>
      <c r="J219" s="79"/>
      <c r="K219" s="79"/>
      <c r="L219" s="74"/>
      <c r="M219" s="74"/>
      <c r="N219" s="74"/>
      <c r="O219" s="74"/>
    </row>
    <row r="220" spans="1:15" ht="15.75" customHeight="1" x14ac:dyDescent="0.25">
      <c r="A220" s="76" t="str">
        <f>[1]Entregables!C220</f>
        <v>39O2E1</v>
      </c>
      <c r="B220" s="74">
        <f>[1]Entregables!E220</f>
        <v>0.60000002384185791</v>
      </c>
      <c r="C220" s="74">
        <v>0</v>
      </c>
      <c r="D220" s="74">
        <v>0</v>
      </c>
      <c r="E220" s="74">
        <v>0</v>
      </c>
      <c r="F220" s="74">
        <v>0</v>
      </c>
      <c r="G220" s="79"/>
      <c r="H220" s="79"/>
      <c r="I220" s="79"/>
      <c r="J220" s="79"/>
      <c r="K220" s="79"/>
      <c r="L220" s="74"/>
      <c r="M220" s="74"/>
      <c r="N220" s="74"/>
      <c r="O220" s="74"/>
    </row>
    <row r="221" spans="1:15" ht="15.75" customHeight="1" x14ac:dyDescent="0.25">
      <c r="A221" s="76" t="str">
        <f>[1]Entregables!C221</f>
        <v>39O2E2</v>
      </c>
      <c r="B221" s="74">
        <f>[1]Entregables!E221</f>
        <v>0.40000000596046448</v>
      </c>
      <c r="C221" s="74">
        <v>0</v>
      </c>
      <c r="D221" s="74">
        <v>0</v>
      </c>
      <c r="E221" s="74">
        <v>0</v>
      </c>
      <c r="F221" s="74">
        <v>0</v>
      </c>
      <c r="G221" s="79"/>
      <c r="H221" s="79"/>
      <c r="I221" s="79"/>
      <c r="J221" s="79"/>
      <c r="K221" s="79"/>
      <c r="L221" s="74"/>
      <c r="M221" s="74"/>
      <c r="N221" s="74"/>
      <c r="O221" s="74"/>
    </row>
    <row r="222" spans="1:15" ht="15.75" customHeight="1" x14ac:dyDescent="0.25">
      <c r="A222" s="76" t="str">
        <f>[1]Entregables!C222</f>
        <v>39O3E1</v>
      </c>
      <c r="B222" s="74">
        <f>[1]Entregables!E222</f>
        <v>1</v>
      </c>
      <c r="C222" s="74">
        <v>0.05</v>
      </c>
      <c r="D222" s="74">
        <v>0.99999998509883903</v>
      </c>
      <c r="E222" s="74">
        <v>0.15</v>
      </c>
      <c r="F222" s="74">
        <v>0.2</v>
      </c>
      <c r="G222" s="79"/>
      <c r="H222" s="79"/>
      <c r="I222" s="79"/>
      <c r="J222" s="79"/>
      <c r="K222" s="79"/>
      <c r="L222" s="74"/>
      <c r="M222" s="74"/>
      <c r="N222" s="74"/>
      <c r="O222" s="74"/>
    </row>
    <row r="223" spans="1:15" ht="15.75" customHeight="1" x14ac:dyDescent="0.25">
      <c r="A223" s="76" t="str">
        <f>[1]Entregables!C223</f>
        <v>40O1E1</v>
      </c>
      <c r="B223" s="74">
        <f>[1]Entregables!E223</f>
        <v>0.40000000596046448</v>
      </c>
      <c r="C223" s="74">
        <v>0.11</v>
      </c>
      <c r="D223" s="74">
        <v>1</v>
      </c>
      <c r="E223" s="74">
        <v>0.24</v>
      </c>
      <c r="F223" s="74">
        <v>0.35</v>
      </c>
      <c r="G223" s="79"/>
      <c r="H223" s="79"/>
      <c r="I223" s="79"/>
      <c r="J223" s="79"/>
      <c r="K223" s="79"/>
      <c r="L223" s="74"/>
      <c r="M223" s="74"/>
      <c r="N223" s="74"/>
      <c r="O223" s="74"/>
    </row>
    <row r="224" spans="1:15" ht="15.75" customHeight="1" x14ac:dyDescent="0.25">
      <c r="A224" s="76" t="str">
        <f>[1]Entregables!C224</f>
        <v>40O1E2</v>
      </c>
      <c r="B224" s="74">
        <f>[1]Entregables!E224</f>
        <v>0.25</v>
      </c>
      <c r="C224" s="74">
        <v>0</v>
      </c>
      <c r="D224" s="74">
        <v>1</v>
      </c>
      <c r="E224" s="74">
        <v>0</v>
      </c>
      <c r="F224" s="74">
        <v>0</v>
      </c>
      <c r="G224" s="79"/>
      <c r="H224" s="79"/>
      <c r="I224" s="79"/>
      <c r="J224" s="79"/>
      <c r="K224" s="79"/>
      <c r="L224" s="74"/>
      <c r="M224" s="74"/>
      <c r="N224" s="74"/>
      <c r="O224" s="74"/>
    </row>
    <row r="225" spans="1:15" ht="15.75" customHeight="1" x14ac:dyDescent="0.25">
      <c r="A225" s="76" t="str">
        <f>[1]Entregables!C225</f>
        <v>40O1E3</v>
      </c>
      <c r="B225" s="74">
        <f>[1]Entregables!E225</f>
        <v>5.000000074505806E-2</v>
      </c>
      <c r="C225" s="74">
        <v>0</v>
      </c>
      <c r="D225" s="74">
        <v>1</v>
      </c>
      <c r="E225" s="74">
        <v>0</v>
      </c>
      <c r="F225" s="74">
        <v>0</v>
      </c>
      <c r="G225" s="79"/>
      <c r="H225" s="79"/>
      <c r="I225" s="79"/>
      <c r="J225" s="79"/>
      <c r="K225" s="79"/>
      <c r="L225" s="74"/>
      <c r="M225" s="74"/>
      <c r="N225" s="74"/>
      <c r="O225" s="74"/>
    </row>
    <row r="226" spans="1:15" ht="15.75" customHeight="1" x14ac:dyDescent="0.25">
      <c r="A226" s="76" t="str">
        <f>[1]Entregables!C226</f>
        <v>40O1E4</v>
      </c>
      <c r="B226" s="74">
        <f>[1]Entregables!E226</f>
        <v>0.10000000149011612</v>
      </c>
      <c r="C226" s="74">
        <v>0</v>
      </c>
      <c r="D226" s="74">
        <v>1</v>
      </c>
      <c r="E226" s="74">
        <v>0</v>
      </c>
      <c r="F226" s="74">
        <v>0</v>
      </c>
      <c r="G226" s="79"/>
      <c r="H226" s="79"/>
      <c r="I226" s="79"/>
      <c r="J226" s="79"/>
      <c r="K226" s="79"/>
      <c r="L226" s="74"/>
      <c r="M226" s="74"/>
      <c r="N226" s="74"/>
      <c r="O226" s="74"/>
    </row>
    <row r="227" spans="1:15" ht="15.75" customHeight="1" x14ac:dyDescent="0.25">
      <c r="A227" s="76" t="str">
        <f>[1]Entregables!C227</f>
        <v>40O1E5</v>
      </c>
      <c r="B227" s="74">
        <f>[1]Entregables!E227</f>
        <v>0.20000000298023224</v>
      </c>
      <c r="C227" s="74">
        <v>0.11</v>
      </c>
      <c r="D227" s="74">
        <v>0.54999999180436143</v>
      </c>
      <c r="E227" s="74">
        <v>0.11</v>
      </c>
      <c r="F227" s="74">
        <v>0.22</v>
      </c>
      <c r="G227" s="79"/>
      <c r="H227" s="79"/>
      <c r="I227" s="79"/>
      <c r="J227" s="79"/>
      <c r="K227" s="79"/>
      <c r="L227" s="74"/>
      <c r="M227" s="74"/>
      <c r="N227" s="74"/>
      <c r="O227" s="74"/>
    </row>
    <row r="228" spans="1:15" ht="15.75" customHeight="1" x14ac:dyDescent="0.25">
      <c r="A228" s="76" t="str">
        <f>[1]Entregables!C228</f>
        <v>40O2E1</v>
      </c>
      <c r="B228" s="74">
        <f>[1]Entregables!E228</f>
        <v>0.69999998807907104</v>
      </c>
      <c r="C228" s="74">
        <v>0</v>
      </c>
      <c r="D228" s="74">
        <v>1</v>
      </c>
      <c r="E228" s="74">
        <v>0</v>
      </c>
      <c r="F228" s="74">
        <v>0</v>
      </c>
      <c r="G228" s="79"/>
      <c r="H228" s="79"/>
      <c r="I228" s="79"/>
      <c r="J228" s="79"/>
      <c r="K228" s="79"/>
      <c r="L228" s="74"/>
      <c r="M228" s="74"/>
      <c r="N228" s="74"/>
      <c r="O228" s="74"/>
    </row>
    <row r="229" spans="1:15" ht="15.75" customHeight="1" x14ac:dyDescent="0.25">
      <c r="A229" s="76" t="str">
        <f>[1]Entregables!C229</f>
        <v>40O2E2</v>
      </c>
      <c r="B229" s="74">
        <f>[1]Entregables!E229</f>
        <v>0.30000001192092896</v>
      </c>
      <c r="C229" s="74">
        <v>0</v>
      </c>
      <c r="D229" s="74">
        <v>1</v>
      </c>
      <c r="E229" s="74">
        <v>0</v>
      </c>
      <c r="F229" s="74">
        <v>0</v>
      </c>
      <c r="G229" s="79"/>
      <c r="H229" s="79"/>
      <c r="I229" s="79"/>
      <c r="J229" s="79"/>
      <c r="K229" s="79"/>
      <c r="L229" s="74"/>
      <c r="M229" s="74"/>
      <c r="N229" s="74"/>
      <c r="O229" s="74"/>
    </row>
    <row r="230" spans="1:15" ht="15.75" customHeight="1" x14ac:dyDescent="0.25">
      <c r="A230" s="76" t="str">
        <f>[1]Entregables!C230</f>
        <v>40O3E1</v>
      </c>
      <c r="B230" s="74">
        <f>[1]Entregables!E230</f>
        <v>0.34999999403953552</v>
      </c>
      <c r="C230" s="74">
        <v>0</v>
      </c>
      <c r="D230" s="74">
        <v>1</v>
      </c>
      <c r="E230" s="74">
        <v>0</v>
      </c>
      <c r="F230" s="74">
        <v>0</v>
      </c>
      <c r="G230" s="79"/>
      <c r="H230" s="79"/>
      <c r="I230" s="79"/>
      <c r="J230" s="79"/>
      <c r="K230" s="79"/>
      <c r="L230" s="74"/>
      <c r="M230" s="74"/>
      <c r="N230" s="74"/>
      <c r="O230" s="74"/>
    </row>
    <row r="231" spans="1:15" ht="15.75" customHeight="1" x14ac:dyDescent="0.25">
      <c r="A231" s="76" t="str">
        <f>[1]Entregables!C231</f>
        <v>40O3E2</v>
      </c>
      <c r="B231" s="74">
        <f>[1]Entregables!E231</f>
        <v>0.25</v>
      </c>
      <c r="C231" s="74">
        <v>0</v>
      </c>
      <c r="D231" s="74">
        <v>1</v>
      </c>
      <c r="E231" s="74">
        <v>0</v>
      </c>
      <c r="F231" s="74">
        <v>0</v>
      </c>
      <c r="G231" s="79"/>
      <c r="H231" s="79"/>
      <c r="I231" s="79"/>
      <c r="J231" s="79"/>
      <c r="K231" s="79"/>
      <c r="L231" s="74"/>
      <c r="M231" s="74"/>
      <c r="N231" s="74"/>
      <c r="O231" s="74"/>
    </row>
    <row r="232" spans="1:15" ht="15.75" customHeight="1" x14ac:dyDescent="0.25">
      <c r="A232" s="76" t="str">
        <f>[1]Entregables!C232</f>
        <v>40O3E3</v>
      </c>
      <c r="B232" s="74">
        <f>[1]Entregables!E232</f>
        <v>0.15000000596046448</v>
      </c>
      <c r="C232" s="74">
        <v>0</v>
      </c>
      <c r="D232" s="74">
        <v>1</v>
      </c>
      <c r="E232" s="74">
        <v>0</v>
      </c>
      <c r="F232" s="74">
        <v>0</v>
      </c>
      <c r="G232" s="79"/>
      <c r="H232" s="79"/>
      <c r="I232" s="79"/>
      <c r="J232" s="79"/>
      <c r="K232" s="79"/>
      <c r="L232" s="74"/>
      <c r="M232" s="74"/>
      <c r="N232" s="74"/>
      <c r="O232" s="74"/>
    </row>
    <row r="233" spans="1:15" ht="15.75" customHeight="1" x14ac:dyDescent="0.25">
      <c r="A233" s="76" t="str">
        <f>[1]Entregables!C233</f>
        <v>40O3E4</v>
      </c>
      <c r="B233" s="74">
        <f>[1]Entregables!E233</f>
        <v>0.25</v>
      </c>
      <c r="C233" s="74">
        <v>0</v>
      </c>
      <c r="D233" s="74">
        <v>1</v>
      </c>
      <c r="E233" s="74">
        <v>0</v>
      </c>
      <c r="F233" s="74">
        <v>0</v>
      </c>
      <c r="G233" s="79"/>
      <c r="H233" s="79"/>
      <c r="I233" s="79"/>
      <c r="J233" s="79"/>
      <c r="K233" s="79"/>
      <c r="L233" s="74"/>
      <c r="M233" s="74"/>
      <c r="N233" s="74"/>
      <c r="O233" s="74"/>
    </row>
    <row r="234" spans="1:15" ht="15.75" customHeight="1" x14ac:dyDescent="0.25">
      <c r="A234" s="76" t="str">
        <f>[1]Entregables!C234</f>
        <v>40O4E1</v>
      </c>
      <c r="B234" s="74">
        <f>[1]Entregables!E234</f>
        <v>1</v>
      </c>
      <c r="C234" s="74">
        <v>0.15</v>
      </c>
      <c r="D234" s="74">
        <v>0.99999996026357174</v>
      </c>
      <c r="E234" s="74">
        <v>0.15</v>
      </c>
      <c r="F234" s="74">
        <v>0.3</v>
      </c>
      <c r="G234" s="79"/>
      <c r="H234" s="79"/>
      <c r="I234" s="79"/>
      <c r="J234" s="79"/>
      <c r="K234" s="79"/>
      <c r="L234" s="74"/>
      <c r="M234" s="74"/>
      <c r="N234" s="74"/>
      <c r="O234" s="74"/>
    </row>
    <row r="235" spans="1:15" ht="15.75" customHeight="1" x14ac:dyDescent="0.25">
      <c r="A235" s="76" t="str">
        <f>[1]Entregables!C235</f>
        <v>42O1E1</v>
      </c>
      <c r="B235" s="74">
        <f>[1]Entregables!E235</f>
        <v>0.5</v>
      </c>
      <c r="C235" s="74">
        <v>0.02</v>
      </c>
      <c r="D235" s="74">
        <v>0.39999999403953562</v>
      </c>
      <c r="E235" s="74">
        <v>0.1</v>
      </c>
      <c r="F235" s="74">
        <v>0.12000000000000001</v>
      </c>
      <c r="G235" s="79"/>
      <c r="H235" s="79"/>
      <c r="I235" s="79"/>
      <c r="J235" s="79"/>
      <c r="K235" s="79"/>
      <c r="L235" s="74"/>
      <c r="M235" s="74"/>
      <c r="N235" s="74"/>
      <c r="O235" s="74"/>
    </row>
    <row r="236" spans="1:15" ht="15.75" customHeight="1" x14ac:dyDescent="0.25">
      <c r="A236" s="76" t="str">
        <f>[1]Entregables!C236</f>
        <v>42O1E2</v>
      </c>
      <c r="B236" s="74">
        <f>[1]Entregables!E236</f>
        <v>0.5</v>
      </c>
      <c r="C236" s="74">
        <v>0</v>
      </c>
      <c r="D236" s="74">
        <v>1</v>
      </c>
      <c r="E236" s="74">
        <v>0.1</v>
      </c>
      <c r="F236" s="74">
        <v>0.1</v>
      </c>
      <c r="G236" s="79"/>
      <c r="H236" s="79"/>
      <c r="I236" s="79"/>
      <c r="J236" s="79"/>
      <c r="K236" s="79"/>
      <c r="L236" s="74"/>
      <c r="M236" s="74"/>
      <c r="N236" s="74"/>
      <c r="O236" s="74"/>
    </row>
    <row r="237" spans="1:15" ht="15.75" customHeight="1" x14ac:dyDescent="0.25">
      <c r="A237" s="76" t="str">
        <f>[1]Entregables!C237</f>
        <v>42O2E1</v>
      </c>
      <c r="B237" s="74">
        <f>[1]Entregables!E237</f>
        <v>0.30000001192092896</v>
      </c>
      <c r="C237" s="74">
        <v>0.11</v>
      </c>
      <c r="D237" s="74">
        <v>0.34375000768341141</v>
      </c>
      <c r="E237" s="74">
        <v>0.14000000000000001</v>
      </c>
      <c r="F237" s="74">
        <v>0.25</v>
      </c>
      <c r="G237" s="79"/>
      <c r="H237" s="79"/>
      <c r="I237" s="79"/>
      <c r="J237" s="79"/>
      <c r="K237" s="79"/>
      <c r="L237" s="74"/>
      <c r="M237" s="74"/>
      <c r="N237" s="74"/>
      <c r="O237" s="74"/>
    </row>
    <row r="238" spans="1:15" ht="15.75" customHeight="1" x14ac:dyDescent="0.25">
      <c r="A238" s="76" t="str">
        <f>[1]Entregables!C238</f>
        <v>42O2E2</v>
      </c>
      <c r="B238" s="74">
        <f>[1]Entregables!E238</f>
        <v>0.5</v>
      </c>
      <c r="C238" s="74">
        <v>0.25</v>
      </c>
      <c r="D238" s="74">
        <v>1</v>
      </c>
      <c r="E238" s="74">
        <v>0</v>
      </c>
      <c r="F238" s="74">
        <v>0.25</v>
      </c>
      <c r="G238" s="79"/>
      <c r="H238" s="79"/>
      <c r="I238" s="79"/>
      <c r="J238" s="79"/>
      <c r="K238" s="79"/>
      <c r="L238" s="74"/>
      <c r="M238" s="74"/>
      <c r="N238" s="74"/>
      <c r="O238" s="74"/>
    </row>
    <row r="239" spans="1:15" ht="15.75" customHeight="1" x14ac:dyDescent="0.25">
      <c r="A239" s="76" t="str">
        <f>[1]Entregables!C239</f>
        <v>42O2E3</v>
      </c>
      <c r="B239" s="74">
        <f>[1]Entregables!E239</f>
        <v>0.20000000298023224</v>
      </c>
      <c r="C239" s="74">
        <v>0.15</v>
      </c>
      <c r="D239" s="74">
        <v>0.99999996026357174</v>
      </c>
      <c r="E239" s="74">
        <v>0.2</v>
      </c>
      <c r="F239" s="74">
        <v>0.35</v>
      </c>
      <c r="G239" s="79"/>
      <c r="H239" s="79"/>
      <c r="I239" s="79"/>
      <c r="J239" s="79"/>
      <c r="K239" s="79"/>
      <c r="L239" s="74"/>
      <c r="M239" s="74"/>
      <c r="N239" s="74"/>
      <c r="O239" s="74"/>
    </row>
    <row r="240" spans="1:15" ht="15.75" customHeight="1" x14ac:dyDescent="0.25">
      <c r="A240" s="76" t="str">
        <f>[1]Entregables!C240</f>
        <v>43O1E1</v>
      </c>
      <c r="B240" s="74">
        <f>[1]Entregables!E240</f>
        <v>0.34000000357627869</v>
      </c>
      <c r="C240" s="74">
        <v>0</v>
      </c>
      <c r="D240" s="74">
        <v>1</v>
      </c>
      <c r="E240" s="74">
        <v>0.3</v>
      </c>
      <c r="F240" s="74">
        <v>0.3</v>
      </c>
      <c r="G240" s="79"/>
      <c r="H240" s="79"/>
      <c r="I240" s="79"/>
      <c r="J240" s="79"/>
      <c r="K240" s="79"/>
      <c r="L240" s="74"/>
      <c r="M240" s="74"/>
      <c r="N240" s="74"/>
      <c r="O240" s="74"/>
    </row>
    <row r="241" spans="1:15" ht="15.75" customHeight="1" x14ac:dyDescent="0.25">
      <c r="A241" s="76" t="str">
        <f>[1]Entregables!C241</f>
        <v>43O1E2</v>
      </c>
      <c r="B241" s="74">
        <f>[1]Entregables!E241</f>
        <v>0.33000001311302185</v>
      </c>
      <c r="C241" s="74">
        <v>0</v>
      </c>
      <c r="D241" s="74">
        <v>1</v>
      </c>
      <c r="E241" s="74">
        <v>0.5</v>
      </c>
      <c r="F241" s="74">
        <v>0.5</v>
      </c>
      <c r="G241" s="79"/>
      <c r="H241" s="79"/>
      <c r="I241" s="79"/>
      <c r="J241" s="79"/>
      <c r="K241" s="79"/>
      <c r="L241" s="74"/>
      <c r="M241" s="74"/>
      <c r="N241" s="74"/>
      <c r="O241" s="74"/>
    </row>
    <row r="242" spans="1:15" ht="15.75" customHeight="1" x14ac:dyDescent="0.25">
      <c r="A242" s="76" t="str">
        <f>[1]Entregables!C242</f>
        <v>43O1E3</v>
      </c>
      <c r="B242" s="74">
        <f>[1]Entregables!E242</f>
        <v>0.33000001311302185</v>
      </c>
      <c r="C242" s="74">
        <v>0</v>
      </c>
      <c r="D242" s="74">
        <v>1</v>
      </c>
      <c r="E242" s="74">
        <v>0</v>
      </c>
      <c r="F242" s="74">
        <v>0</v>
      </c>
      <c r="G242" s="79"/>
      <c r="H242" s="79"/>
      <c r="I242" s="79"/>
      <c r="J242" s="79"/>
      <c r="K242" s="79"/>
      <c r="L242" s="74"/>
      <c r="M242" s="74"/>
      <c r="N242" s="74"/>
      <c r="O242" s="74"/>
    </row>
    <row r="243" spans="1:15" ht="15.75" customHeight="1" x14ac:dyDescent="0.25">
      <c r="A243" s="76" t="str">
        <f>[1]Entregables!C243</f>
        <v>43O2E1</v>
      </c>
      <c r="B243" s="74">
        <f>[1]Entregables!E243</f>
        <v>1</v>
      </c>
      <c r="C243" s="74">
        <v>0</v>
      </c>
      <c r="D243" s="74">
        <v>1</v>
      </c>
      <c r="E243" s="74">
        <v>0</v>
      </c>
      <c r="F243" s="74">
        <v>0</v>
      </c>
      <c r="G243" s="79"/>
      <c r="H243" s="79"/>
      <c r="I243" s="79"/>
      <c r="J243" s="79"/>
      <c r="K243" s="79"/>
      <c r="L243" s="74"/>
      <c r="M243" s="74"/>
      <c r="N243" s="74"/>
      <c r="O243" s="74"/>
    </row>
    <row r="244" spans="1:15" ht="15.75" customHeight="1" x14ac:dyDescent="0.25">
      <c r="A244" s="76" t="str">
        <f>[1]Entregables!C244</f>
        <v>44O1E1</v>
      </c>
      <c r="B244" s="74">
        <f>[1]Entregables!E244</f>
        <v>0.5</v>
      </c>
      <c r="C244" s="74">
        <v>0</v>
      </c>
      <c r="D244" s="74">
        <v>1</v>
      </c>
      <c r="E244" s="74">
        <v>0</v>
      </c>
      <c r="F244" s="74">
        <v>0</v>
      </c>
      <c r="G244" s="79"/>
      <c r="H244" s="79"/>
      <c r="I244" s="79"/>
      <c r="J244" s="79"/>
      <c r="K244" s="79"/>
      <c r="L244" s="74"/>
      <c r="M244" s="74"/>
      <c r="N244" s="74"/>
      <c r="O244" s="74"/>
    </row>
    <row r="245" spans="1:15" ht="15.75" customHeight="1" x14ac:dyDescent="0.25">
      <c r="A245" s="76" t="str">
        <f>[1]Entregables!C245</f>
        <v>44O1E2</v>
      </c>
      <c r="B245" s="74">
        <f>[1]Entregables!E245</f>
        <v>0.5</v>
      </c>
      <c r="C245" s="74">
        <v>0</v>
      </c>
      <c r="D245" s="74">
        <v>1</v>
      </c>
      <c r="E245" s="74">
        <v>0</v>
      </c>
      <c r="F245" s="74">
        <v>0</v>
      </c>
      <c r="G245" s="79"/>
      <c r="H245" s="79"/>
      <c r="I245" s="79"/>
      <c r="J245" s="79"/>
      <c r="K245" s="79"/>
      <c r="L245" s="74"/>
      <c r="M245" s="74"/>
      <c r="N245" s="74"/>
      <c r="O245" s="74"/>
    </row>
    <row r="246" spans="1:15" ht="15.75" customHeight="1" x14ac:dyDescent="0.25">
      <c r="A246" s="76" t="str">
        <f>[1]Entregables!C246</f>
        <v>44O2E1</v>
      </c>
      <c r="B246" s="74">
        <f>[1]Entregables!E246</f>
        <v>0.20000000298023224</v>
      </c>
      <c r="C246" s="74">
        <v>0</v>
      </c>
      <c r="D246" s="74">
        <v>1</v>
      </c>
      <c r="E246" s="74">
        <v>0</v>
      </c>
      <c r="F246" s="74">
        <v>0</v>
      </c>
      <c r="G246" s="79"/>
      <c r="H246" s="79"/>
      <c r="I246" s="79"/>
      <c r="J246" s="79"/>
      <c r="K246" s="79"/>
      <c r="L246" s="74"/>
      <c r="M246" s="74"/>
      <c r="N246" s="74"/>
      <c r="O246" s="74"/>
    </row>
    <row r="247" spans="1:15" ht="15.75" customHeight="1" x14ac:dyDescent="0.25">
      <c r="A247" s="76" t="str">
        <f>[1]Entregables!C247</f>
        <v>44O2E2</v>
      </c>
      <c r="B247" s="74">
        <f>[1]Entregables!E247</f>
        <v>0.40000000596046448</v>
      </c>
      <c r="C247" s="74">
        <v>0</v>
      </c>
      <c r="D247" s="74">
        <v>1</v>
      </c>
      <c r="E247" s="74">
        <v>0</v>
      </c>
      <c r="F247" s="74">
        <v>0</v>
      </c>
      <c r="G247" s="79"/>
      <c r="H247" s="79"/>
      <c r="I247" s="79"/>
      <c r="J247" s="79"/>
      <c r="K247" s="79"/>
      <c r="L247" s="74"/>
      <c r="M247" s="74"/>
      <c r="N247" s="74"/>
      <c r="O247" s="74"/>
    </row>
    <row r="248" spans="1:15" ht="15.75" customHeight="1" x14ac:dyDescent="0.25">
      <c r="A248" s="76" t="str">
        <f>[1]Entregables!C248</f>
        <v>44O2E3</v>
      </c>
      <c r="B248" s="74">
        <f>[1]Entregables!E248</f>
        <v>0.40000000596046448</v>
      </c>
      <c r="C248" s="74">
        <v>0</v>
      </c>
      <c r="D248" s="74">
        <v>1</v>
      </c>
      <c r="E248" s="74">
        <v>0</v>
      </c>
      <c r="F248" s="74">
        <v>0</v>
      </c>
      <c r="G248" s="79"/>
      <c r="H248" s="79"/>
      <c r="I248" s="79"/>
      <c r="J248" s="79"/>
      <c r="K248" s="79"/>
      <c r="L248" s="74"/>
      <c r="M248" s="74"/>
      <c r="N248" s="74"/>
      <c r="O248" s="74"/>
    </row>
    <row r="249" spans="1:15" ht="15.75" customHeight="1" x14ac:dyDescent="0.25">
      <c r="A249" s="76" t="str">
        <f>[1]Entregables!C249</f>
        <v>44O3E1</v>
      </c>
      <c r="B249" s="74">
        <f>[1]Entregables!E249</f>
        <v>0.5</v>
      </c>
      <c r="C249" s="74">
        <v>0</v>
      </c>
      <c r="D249" s="74">
        <v>1</v>
      </c>
      <c r="E249" s="74">
        <v>0</v>
      </c>
      <c r="F249" s="74">
        <v>0</v>
      </c>
      <c r="G249" s="79"/>
      <c r="H249" s="79"/>
      <c r="I249" s="79"/>
      <c r="J249" s="79"/>
      <c r="K249" s="79"/>
      <c r="L249" s="74"/>
      <c r="M249" s="74"/>
      <c r="N249" s="74"/>
      <c r="O249" s="74"/>
    </row>
    <row r="250" spans="1:15" ht="15.75" customHeight="1" x14ac:dyDescent="0.25">
      <c r="A250" s="76" t="str">
        <f>[1]Entregables!C250</f>
        <v>44O3E2</v>
      </c>
      <c r="B250" s="74">
        <f>[1]Entregables!E250</f>
        <v>0.25</v>
      </c>
      <c r="C250" s="74">
        <v>0</v>
      </c>
      <c r="D250" s="74">
        <v>1</v>
      </c>
      <c r="E250" s="74">
        <v>0</v>
      </c>
      <c r="F250" s="74">
        <v>0</v>
      </c>
      <c r="G250" s="79"/>
      <c r="H250" s="79"/>
      <c r="I250" s="79"/>
      <c r="J250" s="79"/>
      <c r="K250" s="79"/>
      <c r="L250" s="74"/>
      <c r="M250" s="74"/>
      <c r="N250" s="74"/>
      <c r="O250" s="74"/>
    </row>
    <row r="251" spans="1:15" ht="15.75" customHeight="1" x14ac:dyDescent="0.25">
      <c r="A251" s="76" t="str">
        <f>[1]Entregables!C251</f>
        <v>44O3E3</v>
      </c>
      <c r="B251" s="74">
        <f>[1]Entregables!E251</f>
        <v>0.25</v>
      </c>
      <c r="C251" s="74">
        <v>0</v>
      </c>
      <c r="D251" s="74">
        <v>1</v>
      </c>
      <c r="E251" s="74">
        <v>0</v>
      </c>
      <c r="F251" s="74">
        <v>0</v>
      </c>
      <c r="G251" s="79"/>
      <c r="H251" s="79"/>
      <c r="I251" s="79"/>
      <c r="J251" s="79"/>
      <c r="K251" s="79"/>
      <c r="L251" s="74"/>
      <c r="M251" s="74"/>
      <c r="N251" s="74"/>
      <c r="O251" s="74"/>
    </row>
    <row r="252" spans="1:15" ht="15.75" customHeight="1" x14ac:dyDescent="0.25">
      <c r="A252" s="76" t="str">
        <f>[1]Entregables!C252</f>
        <v>45O1E1</v>
      </c>
      <c r="B252" s="74">
        <f>[1]Entregables!E252</f>
        <v>1</v>
      </c>
      <c r="C252" s="74">
        <v>0.1</v>
      </c>
      <c r="D252" s="74">
        <v>0.49999999254941951</v>
      </c>
      <c r="E252" s="74">
        <v>0.3</v>
      </c>
      <c r="F252" s="74">
        <v>0.4</v>
      </c>
      <c r="G252" s="79"/>
      <c r="H252" s="79"/>
      <c r="I252" s="79"/>
      <c r="J252" s="79"/>
      <c r="K252" s="79"/>
      <c r="L252" s="74"/>
      <c r="M252" s="74"/>
      <c r="N252" s="74"/>
      <c r="O252" s="74"/>
    </row>
    <row r="253" spans="1:15" ht="15.75" customHeight="1" x14ac:dyDescent="0.25">
      <c r="A253" s="76" t="str">
        <f>[1]Entregables!C253</f>
        <v>45O2E1</v>
      </c>
      <c r="B253" s="74">
        <f>[1]Entregables!E253</f>
        <v>1</v>
      </c>
      <c r="C253" s="74">
        <v>0</v>
      </c>
      <c r="D253" s="74">
        <v>1</v>
      </c>
      <c r="E253" s="74">
        <v>0</v>
      </c>
      <c r="F253" s="74">
        <v>0</v>
      </c>
      <c r="G253" s="79"/>
      <c r="H253" s="79"/>
      <c r="I253" s="79"/>
      <c r="J253" s="79"/>
      <c r="K253" s="79"/>
      <c r="L253" s="74"/>
      <c r="M253" s="74"/>
      <c r="N253" s="74"/>
      <c r="O253" s="74"/>
    </row>
    <row r="254" spans="1:15" ht="15.75" customHeight="1" x14ac:dyDescent="0.25">
      <c r="A254" s="76" t="str">
        <f>[1]Entregables!C254</f>
        <v>46O1E1</v>
      </c>
      <c r="B254" s="74">
        <f>[1]Entregables!E254</f>
        <v>1</v>
      </c>
      <c r="C254" s="74">
        <v>0.1</v>
      </c>
      <c r="D254" s="74">
        <v>0.99999998509883903</v>
      </c>
      <c r="E254" s="74">
        <v>0.2</v>
      </c>
      <c r="F254" s="74">
        <v>0.30000000000000004</v>
      </c>
      <c r="G254" s="79"/>
      <c r="H254" s="79"/>
      <c r="I254" s="79"/>
      <c r="J254" s="79"/>
      <c r="K254" s="79"/>
      <c r="L254" s="74"/>
      <c r="M254" s="74"/>
      <c r="N254" s="74"/>
      <c r="O254" s="74"/>
    </row>
    <row r="255" spans="1:15" ht="15.75" customHeight="1" x14ac:dyDescent="0.25">
      <c r="A255" s="76" t="str">
        <f>[1]Entregables!C255</f>
        <v>46O2E1</v>
      </c>
      <c r="B255" s="74">
        <f>[1]Entregables!E255</f>
        <v>1</v>
      </c>
      <c r="C255" s="74">
        <v>0.1</v>
      </c>
      <c r="D255" s="74">
        <v>0.99999998509883903</v>
      </c>
      <c r="E255" s="74">
        <v>0.2</v>
      </c>
      <c r="F255" s="74">
        <v>0.30000000000000004</v>
      </c>
      <c r="G255" s="79"/>
      <c r="H255" s="79"/>
      <c r="I255" s="79"/>
      <c r="J255" s="79"/>
      <c r="K255" s="79"/>
      <c r="L255" s="74"/>
      <c r="M255" s="74"/>
      <c r="N255" s="74"/>
      <c r="O255" s="74"/>
    </row>
    <row r="256" spans="1:15" ht="15.75" customHeight="1" x14ac:dyDescent="0.25">
      <c r="A256" s="76" t="str">
        <f>[1]Entregables!C256</f>
        <v>47O1E1</v>
      </c>
      <c r="B256" s="74">
        <f>[1]Entregables!E256</f>
        <v>1</v>
      </c>
      <c r="C256" s="74">
        <v>0.8</v>
      </c>
      <c r="D256" s="74">
        <v>0.8</v>
      </c>
      <c r="E256" s="74">
        <v>0.2</v>
      </c>
      <c r="F256" s="74">
        <v>1</v>
      </c>
      <c r="G256" s="79"/>
      <c r="H256" s="79"/>
      <c r="I256" s="79"/>
      <c r="J256" s="79"/>
      <c r="K256" s="79"/>
      <c r="L256" s="74"/>
      <c r="M256" s="74"/>
      <c r="N256" s="74"/>
      <c r="O256" s="74"/>
    </row>
    <row r="257" spans="1:15" ht="15.75" customHeight="1" x14ac:dyDescent="0.25">
      <c r="A257" s="76" t="str">
        <f>[1]Entregables!C257</f>
        <v>47O2E1</v>
      </c>
      <c r="B257" s="74">
        <f>[1]Entregables!E257</f>
        <v>1</v>
      </c>
      <c r="C257" s="74">
        <v>0</v>
      </c>
      <c r="D257" s="74">
        <v>1</v>
      </c>
      <c r="E257" s="74">
        <v>0.13</v>
      </c>
      <c r="F257" s="74">
        <v>0.13</v>
      </c>
      <c r="G257" s="79"/>
      <c r="H257" s="79"/>
      <c r="I257" s="79"/>
      <c r="J257" s="79"/>
      <c r="K257" s="79"/>
      <c r="L257" s="74"/>
      <c r="M257" s="74"/>
      <c r="N257" s="74"/>
      <c r="O257" s="74"/>
    </row>
    <row r="258" spans="1:15" ht="15.75" customHeight="1" x14ac:dyDescent="0.25">
      <c r="A258" s="76" t="str">
        <f>[1]Entregables!C258</f>
        <v>48O1E1</v>
      </c>
      <c r="B258" s="74">
        <f>[1]Entregables!E258</f>
        <v>1</v>
      </c>
      <c r="C258" s="74">
        <v>0.8</v>
      </c>
      <c r="D258" s="74">
        <v>0.8</v>
      </c>
      <c r="E258" s="74">
        <v>0.2</v>
      </c>
      <c r="F258" s="74">
        <v>1</v>
      </c>
      <c r="G258" s="79"/>
      <c r="H258" s="79"/>
      <c r="I258" s="79"/>
      <c r="J258" s="79"/>
      <c r="K258" s="79"/>
      <c r="L258" s="74"/>
      <c r="M258" s="74"/>
      <c r="N258" s="74"/>
      <c r="O258" s="74"/>
    </row>
    <row r="259" spans="1:15" ht="15.75" customHeight="1" x14ac:dyDescent="0.25">
      <c r="A259" s="76" t="str">
        <f>[1]Entregables!C259</f>
        <v>48O2E1</v>
      </c>
      <c r="B259" s="74">
        <f>[1]Entregables!E259</f>
        <v>1</v>
      </c>
      <c r="C259" s="74">
        <v>0</v>
      </c>
      <c r="D259" s="74">
        <v>1</v>
      </c>
      <c r="E259" s="74">
        <v>0.05</v>
      </c>
      <c r="F259" s="74">
        <v>0.05</v>
      </c>
      <c r="G259" s="79"/>
      <c r="H259" s="79"/>
      <c r="I259" s="79"/>
      <c r="J259" s="79"/>
      <c r="K259" s="79"/>
      <c r="L259" s="74"/>
      <c r="M259" s="74"/>
      <c r="N259" s="74"/>
      <c r="O259" s="74"/>
    </row>
    <row r="260" spans="1:15" ht="15.75" customHeight="1" x14ac:dyDescent="0.25">
      <c r="A260" s="76" t="str">
        <f>[1]Entregables!C260</f>
        <v>49O1E1</v>
      </c>
      <c r="B260" s="74">
        <f>[1]Entregables!E260</f>
        <v>1</v>
      </c>
      <c r="C260" s="74">
        <v>0.36899999999999999</v>
      </c>
      <c r="D260" s="74">
        <v>0.68333330618010735</v>
      </c>
      <c r="E260" s="74">
        <v>0.28000000000000003</v>
      </c>
      <c r="F260" s="74">
        <v>0.64900000000000002</v>
      </c>
      <c r="G260" s="79"/>
      <c r="H260" s="79"/>
      <c r="I260" s="79"/>
      <c r="J260" s="79"/>
      <c r="K260" s="79"/>
      <c r="L260" s="74"/>
      <c r="M260" s="74"/>
      <c r="N260" s="74"/>
      <c r="O260" s="74"/>
    </row>
    <row r="261" spans="1:15" ht="15.75" customHeight="1" x14ac:dyDescent="0.25">
      <c r="A261" s="76" t="str">
        <f>[1]Entregables!C261</f>
        <v>49O2E1</v>
      </c>
      <c r="B261" s="74">
        <f>[1]Entregables!E261</f>
        <v>7.9999998211860657E-2</v>
      </c>
      <c r="C261" s="74">
        <v>0.05</v>
      </c>
      <c r="D261" s="74">
        <v>0.24999999627470976</v>
      </c>
      <c r="E261" s="74">
        <v>0.41</v>
      </c>
      <c r="F261" s="74">
        <v>0.45999999999999996</v>
      </c>
      <c r="G261" s="79"/>
      <c r="H261" s="79"/>
      <c r="I261" s="79"/>
      <c r="J261" s="79"/>
      <c r="K261" s="79"/>
      <c r="L261" s="74"/>
      <c r="M261" s="74"/>
      <c r="N261" s="74"/>
      <c r="O261" s="74"/>
    </row>
    <row r="262" spans="1:15" ht="15.75" customHeight="1" x14ac:dyDescent="0.25">
      <c r="A262" s="76" t="str">
        <f>[1]Entregables!C262</f>
        <v>49O2E2</v>
      </c>
      <c r="B262" s="74">
        <f>[1]Entregables!E262</f>
        <v>0.36000001430511475</v>
      </c>
      <c r="C262" s="74">
        <v>0.05</v>
      </c>
      <c r="D262" s="74">
        <v>0.24999999627470976</v>
      </c>
      <c r="E262" s="74">
        <v>0.3</v>
      </c>
      <c r="F262" s="74">
        <v>0.35</v>
      </c>
      <c r="G262" s="79"/>
      <c r="H262" s="79"/>
      <c r="I262" s="79"/>
      <c r="J262" s="79"/>
      <c r="K262" s="79"/>
      <c r="L262" s="74"/>
      <c r="M262" s="74"/>
      <c r="N262" s="74"/>
      <c r="O262" s="74"/>
    </row>
    <row r="263" spans="1:15" ht="15.75" customHeight="1" x14ac:dyDescent="0.25">
      <c r="A263" s="76" t="str">
        <f>[1]Entregables!C263</f>
        <v>49O2E3</v>
      </c>
      <c r="B263" s="74">
        <f>[1]Entregables!E263</f>
        <v>7.0000000298023224E-2</v>
      </c>
      <c r="C263" s="74">
        <v>0.3</v>
      </c>
      <c r="D263" s="74">
        <v>0.99999996026357174</v>
      </c>
      <c r="E263" s="74">
        <v>0.6</v>
      </c>
      <c r="F263" s="74">
        <v>0.89999999999999991</v>
      </c>
      <c r="G263" s="79"/>
      <c r="H263" s="79"/>
      <c r="I263" s="79"/>
      <c r="J263" s="79"/>
      <c r="K263" s="79"/>
      <c r="L263" s="74"/>
      <c r="M263" s="74"/>
      <c r="N263" s="74"/>
      <c r="O263" s="74"/>
    </row>
    <row r="264" spans="1:15" ht="15.75" customHeight="1" x14ac:dyDescent="0.25">
      <c r="A264" s="76" t="str">
        <f>[1]Entregables!C264</f>
        <v>49O2E4</v>
      </c>
      <c r="B264" s="74">
        <f>[1]Entregables!E264</f>
        <v>9.0000003576278687E-2</v>
      </c>
      <c r="C264" s="74">
        <v>0.05</v>
      </c>
      <c r="D264" s="74">
        <v>0.24999999627470976</v>
      </c>
      <c r="E264" s="74">
        <v>0.4</v>
      </c>
      <c r="F264" s="74">
        <v>0.45</v>
      </c>
      <c r="G264" s="79"/>
      <c r="H264" s="79"/>
      <c r="I264" s="79"/>
      <c r="J264" s="79"/>
      <c r="K264" s="79"/>
      <c r="L264" s="74"/>
      <c r="M264" s="74"/>
      <c r="N264" s="74"/>
      <c r="O264" s="74"/>
    </row>
    <row r="265" spans="1:15" ht="15.75" customHeight="1" x14ac:dyDescent="0.25">
      <c r="A265" s="76" t="str">
        <f>[1]Entregables!C265</f>
        <v>49O2E5</v>
      </c>
      <c r="B265" s="74">
        <f>[1]Entregables!E265</f>
        <v>7.0000000298023224E-2</v>
      </c>
      <c r="C265" s="74">
        <v>0.1</v>
      </c>
      <c r="D265" s="74">
        <v>0.49999999254941951</v>
      </c>
      <c r="E265" s="74">
        <v>0.43</v>
      </c>
      <c r="F265" s="74">
        <v>0.53</v>
      </c>
      <c r="G265" s="79"/>
      <c r="H265" s="79"/>
      <c r="I265" s="79"/>
      <c r="J265" s="79"/>
      <c r="K265" s="79"/>
      <c r="L265" s="74"/>
      <c r="M265" s="74"/>
      <c r="N265" s="74"/>
      <c r="O265" s="74"/>
    </row>
    <row r="266" spans="1:15" ht="15.75" customHeight="1" x14ac:dyDescent="0.25">
      <c r="A266" s="76" t="str">
        <f>[1]Entregables!C266</f>
        <v>49O2E6</v>
      </c>
      <c r="B266" s="74">
        <f>[1]Entregables!E266</f>
        <v>1.9999999552965164E-2</v>
      </c>
      <c r="C266" s="74">
        <v>0</v>
      </c>
      <c r="D266" s="74">
        <v>1</v>
      </c>
      <c r="E266" s="74">
        <v>0.1</v>
      </c>
      <c r="F266" s="74">
        <v>0.1</v>
      </c>
      <c r="G266" s="79"/>
      <c r="H266" s="79"/>
      <c r="I266" s="79"/>
      <c r="J266" s="79"/>
      <c r="K266" s="79"/>
      <c r="L266" s="74"/>
      <c r="M266" s="74"/>
      <c r="N266" s="74"/>
      <c r="O266" s="74"/>
    </row>
    <row r="267" spans="1:15" ht="15.75" customHeight="1" x14ac:dyDescent="0.25">
      <c r="A267" s="76" t="str">
        <f>[1]Entregables!C267</f>
        <v>49O2E7</v>
      </c>
      <c r="B267" s="74">
        <f>[1]Entregables!E267</f>
        <v>5.000000074505806E-2</v>
      </c>
      <c r="C267" s="74">
        <v>0.15</v>
      </c>
      <c r="D267" s="74">
        <v>0.74999998882412922</v>
      </c>
      <c r="E267" s="74">
        <v>0.15</v>
      </c>
      <c r="F267" s="74">
        <v>0.3</v>
      </c>
      <c r="G267" s="79"/>
      <c r="H267" s="79"/>
      <c r="I267" s="79"/>
      <c r="J267" s="79"/>
      <c r="K267" s="79"/>
      <c r="L267" s="74"/>
      <c r="M267" s="74"/>
      <c r="N267" s="74"/>
      <c r="O267" s="74"/>
    </row>
    <row r="268" spans="1:15" ht="15.75" customHeight="1" x14ac:dyDescent="0.25">
      <c r="A268" s="76" t="str">
        <f>[1]Entregables!C268</f>
        <v>49O2E8</v>
      </c>
      <c r="B268" s="74">
        <f>[1]Entregables!E268</f>
        <v>1.9999999552965164E-2</v>
      </c>
      <c r="C268" s="74">
        <v>0</v>
      </c>
      <c r="D268" s="74">
        <v>1</v>
      </c>
      <c r="E268" s="74">
        <v>0.2</v>
      </c>
      <c r="F268" s="74">
        <v>0.2</v>
      </c>
      <c r="G268" s="79"/>
      <c r="H268" s="79"/>
      <c r="I268" s="79"/>
      <c r="J268" s="79"/>
      <c r="K268" s="79"/>
      <c r="L268" s="74"/>
      <c r="M268" s="74"/>
      <c r="N268" s="74"/>
      <c r="O268" s="74"/>
    </row>
    <row r="269" spans="1:15" ht="15.75" customHeight="1" x14ac:dyDescent="0.25">
      <c r="A269" s="76" t="str">
        <f>[1]Entregables!C269</f>
        <v>49O2E9</v>
      </c>
      <c r="B269" s="74">
        <f>[1]Entregables!E269</f>
        <v>1.9999999552965164E-2</v>
      </c>
      <c r="C269" s="74">
        <v>0</v>
      </c>
      <c r="D269" s="74">
        <v>1</v>
      </c>
      <c r="E269" s="74">
        <v>0.23</v>
      </c>
      <c r="F269" s="74">
        <v>0.23</v>
      </c>
      <c r="G269" s="79"/>
      <c r="H269" s="79"/>
      <c r="I269" s="79"/>
      <c r="J269" s="79"/>
      <c r="K269" s="79"/>
      <c r="L269" s="74"/>
      <c r="M269" s="74"/>
      <c r="N269" s="74"/>
      <c r="O269" s="74"/>
    </row>
    <row r="270" spans="1:15" ht="15.75" customHeight="1" x14ac:dyDescent="0.25">
      <c r="A270" s="76" t="str">
        <f>[1]Entregables!C270</f>
        <v>49O2E10</v>
      </c>
      <c r="B270" s="74">
        <f>[1]Entregables!E270</f>
        <v>1.9999999552965164E-2</v>
      </c>
      <c r="C270" s="74">
        <v>0</v>
      </c>
      <c r="D270" s="74">
        <v>1</v>
      </c>
      <c r="E270" s="74">
        <v>0.1</v>
      </c>
      <c r="F270" s="74">
        <v>0.1</v>
      </c>
      <c r="G270" s="79"/>
      <c r="H270" s="79"/>
      <c r="I270" s="79"/>
      <c r="J270" s="79"/>
      <c r="K270" s="79"/>
      <c r="L270" s="74"/>
      <c r="M270" s="74"/>
      <c r="N270" s="74"/>
      <c r="O270" s="74"/>
    </row>
    <row r="271" spans="1:15" ht="15.75" customHeight="1" x14ac:dyDescent="0.25">
      <c r="A271" s="76" t="str">
        <f>[1]Entregables!C271</f>
        <v>49O2E11</v>
      </c>
      <c r="B271" s="74">
        <f>[1]Entregables!E271</f>
        <v>5.000000074505806E-2</v>
      </c>
      <c r="C271" s="74">
        <v>0.05</v>
      </c>
      <c r="D271" s="74">
        <v>0.16666666004392863</v>
      </c>
      <c r="E271" s="74">
        <v>0.4</v>
      </c>
      <c r="F271" s="74">
        <v>0.45</v>
      </c>
      <c r="G271" s="79"/>
      <c r="H271" s="79"/>
      <c r="I271" s="79"/>
      <c r="J271" s="79"/>
      <c r="K271" s="79"/>
      <c r="L271" s="74"/>
      <c r="M271" s="74"/>
      <c r="N271" s="74"/>
      <c r="O271" s="74"/>
    </row>
    <row r="272" spans="1:15" ht="15.75" customHeight="1" x14ac:dyDescent="0.25">
      <c r="A272" s="76" t="str">
        <f>[1]Entregables!C272</f>
        <v>49O2E12</v>
      </c>
      <c r="B272" s="74">
        <f>[1]Entregables!E272</f>
        <v>5.9999998658895493E-2</v>
      </c>
      <c r="C272" s="74">
        <v>0</v>
      </c>
      <c r="D272" s="74">
        <v>1</v>
      </c>
      <c r="E272" s="74">
        <v>0.35</v>
      </c>
      <c r="F272" s="74">
        <v>0.35</v>
      </c>
      <c r="G272" s="79"/>
      <c r="H272" s="79"/>
      <c r="I272" s="79"/>
      <c r="J272" s="79"/>
      <c r="K272" s="79"/>
      <c r="L272" s="74"/>
      <c r="M272" s="74"/>
      <c r="N272" s="74"/>
      <c r="O272" s="74"/>
    </row>
    <row r="273" spans="1:15" ht="15.75" customHeight="1" x14ac:dyDescent="0.25">
      <c r="A273" s="76" t="str">
        <f>[1]Entregables!C273</f>
        <v>49O2E13</v>
      </c>
      <c r="B273" s="74">
        <f>[1]Entregables!E273</f>
        <v>1.9999999552965164E-2</v>
      </c>
      <c r="C273" s="74">
        <v>0</v>
      </c>
      <c r="D273" s="74">
        <v>1</v>
      </c>
      <c r="E273" s="74">
        <v>0.45</v>
      </c>
      <c r="F273" s="74">
        <v>0.45</v>
      </c>
      <c r="G273" s="79"/>
      <c r="H273" s="79"/>
      <c r="I273" s="79"/>
      <c r="J273" s="79"/>
      <c r="K273" s="79"/>
      <c r="L273" s="74"/>
      <c r="M273" s="74"/>
      <c r="N273" s="74"/>
      <c r="O273" s="74"/>
    </row>
    <row r="274" spans="1:15" ht="15.75" customHeight="1" x14ac:dyDescent="0.25">
      <c r="A274" s="76" t="str">
        <f>[1]Entregables!C274</f>
        <v>49O2E14</v>
      </c>
      <c r="B274" s="74">
        <f>[1]Entregables!E274</f>
        <v>5.000000074505806E-2</v>
      </c>
      <c r="C274" s="74">
        <v>0.25</v>
      </c>
      <c r="D274" s="74">
        <v>0.83333330021964314</v>
      </c>
      <c r="E274" s="74">
        <v>0.2</v>
      </c>
      <c r="F274" s="74">
        <v>0.45</v>
      </c>
      <c r="G274" s="79"/>
      <c r="H274" s="79"/>
      <c r="I274" s="79"/>
      <c r="J274" s="79"/>
      <c r="K274" s="79"/>
      <c r="L274" s="74"/>
      <c r="M274" s="74"/>
      <c r="N274" s="74"/>
      <c r="O274" s="74"/>
    </row>
    <row r="275" spans="1:15" ht="15.75" customHeight="1" x14ac:dyDescent="0.25">
      <c r="A275" s="76" t="str">
        <f>[1]Entregables!C275</f>
        <v>49O2E15</v>
      </c>
      <c r="B275" s="74">
        <f>[1]Entregables!E275</f>
        <v>1.9999999552965164E-2</v>
      </c>
      <c r="C275" s="74">
        <v>0</v>
      </c>
      <c r="D275" s="74">
        <v>1</v>
      </c>
      <c r="E275" s="74">
        <v>0</v>
      </c>
      <c r="F275" s="74">
        <v>0</v>
      </c>
      <c r="G275" s="79"/>
      <c r="H275" s="79"/>
      <c r="I275" s="79"/>
      <c r="J275" s="79"/>
      <c r="K275" s="79"/>
      <c r="L275" s="74"/>
      <c r="M275" s="74"/>
      <c r="N275" s="74"/>
      <c r="O275" s="74"/>
    </row>
    <row r="276" spans="1:15" ht="15.75" customHeight="1" x14ac:dyDescent="0.25">
      <c r="A276" s="76" t="str">
        <f>[1]Entregables!C276</f>
        <v>50O1E1</v>
      </c>
      <c r="B276" s="74">
        <f>[1]Entregables!E276</f>
        <v>0.30000001192092896</v>
      </c>
      <c r="C276" s="74">
        <v>0.03</v>
      </c>
      <c r="D276" s="74">
        <v>0.59999999105930335</v>
      </c>
      <c r="E276" s="74">
        <v>0.8</v>
      </c>
      <c r="F276" s="74">
        <v>0.83000000000000007</v>
      </c>
      <c r="G276" s="79"/>
      <c r="H276" s="79"/>
      <c r="I276" s="79"/>
      <c r="J276" s="79"/>
      <c r="K276" s="79"/>
      <c r="L276" s="74"/>
      <c r="M276" s="74"/>
      <c r="N276" s="74"/>
      <c r="O276" s="74"/>
    </row>
    <row r="277" spans="1:15" ht="15.75" customHeight="1" x14ac:dyDescent="0.25">
      <c r="A277" s="76" t="str">
        <f>[1]Entregables!C277</f>
        <v>50O1E2</v>
      </c>
      <c r="B277" s="74">
        <f>[1]Entregables!E277</f>
        <v>0.60000002384185791</v>
      </c>
      <c r="C277" s="74">
        <v>0</v>
      </c>
      <c r="D277" s="74">
        <v>1</v>
      </c>
      <c r="E277" s="74">
        <v>0.3</v>
      </c>
      <c r="F277" s="74">
        <v>0.3</v>
      </c>
      <c r="G277" s="79"/>
      <c r="H277" s="79"/>
      <c r="I277" s="79"/>
      <c r="J277" s="79"/>
      <c r="K277" s="79"/>
      <c r="L277" s="74"/>
      <c r="M277" s="74"/>
      <c r="N277" s="74"/>
      <c r="O277" s="74"/>
    </row>
    <row r="278" spans="1:15" ht="15.75" customHeight="1" x14ac:dyDescent="0.25">
      <c r="A278" s="76" t="str">
        <f>[1]Entregables!C278</f>
        <v>50O1E3</v>
      </c>
      <c r="B278" s="74">
        <f>[1]Entregables!E278</f>
        <v>0.10000000149011612</v>
      </c>
      <c r="C278" s="74">
        <v>0</v>
      </c>
      <c r="D278" s="74">
        <v>1</v>
      </c>
      <c r="E278" s="74">
        <v>0</v>
      </c>
      <c r="F278" s="74">
        <v>0</v>
      </c>
      <c r="G278" s="79"/>
      <c r="H278" s="79"/>
      <c r="I278" s="79"/>
      <c r="J278" s="79"/>
      <c r="K278" s="79"/>
      <c r="L278" s="74"/>
      <c r="M278" s="74"/>
      <c r="N278" s="74"/>
      <c r="O278" s="74"/>
    </row>
    <row r="279" spans="1:15" ht="15.75" customHeight="1" x14ac:dyDescent="0.25">
      <c r="A279" s="76" t="str">
        <f>[1]Entregables!C279</f>
        <v>50O2E1</v>
      </c>
      <c r="B279" s="74">
        <f>[1]Entregables!E279</f>
        <v>1</v>
      </c>
      <c r="C279" s="74">
        <v>0.03</v>
      </c>
      <c r="D279" s="74">
        <v>0.59999999105930335</v>
      </c>
      <c r="E279" s="74">
        <v>0.95</v>
      </c>
      <c r="F279" s="74">
        <v>0.98</v>
      </c>
      <c r="G279" s="79"/>
      <c r="H279" s="79"/>
      <c r="I279" s="79"/>
      <c r="J279" s="79"/>
      <c r="K279" s="79"/>
      <c r="L279" s="74"/>
      <c r="M279" s="74"/>
      <c r="N279" s="74"/>
      <c r="O279" s="74"/>
    </row>
    <row r="280" spans="1:15" ht="15.75" customHeight="1" x14ac:dyDescent="0.25">
      <c r="A280" s="76" t="str">
        <f>[1]Entregables!C280</f>
        <v>50O3E1</v>
      </c>
      <c r="B280" s="74">
        <f>[1]Entregables!E280</f>
        <v>0.69999998807907104</v>
      </c>
      <c r="C280" s="74">
        <v>0</v>
      </c>
      <c r="D280" s="74">
        <v>1</v>
      </c>
      <c r="E280" s="74">
        <v>0</v>
      </c>
      <c r="F280" s="74">
        <v>0</v>
      </c>
      <c r="G280" s="79"/>
      <c r="H280" s="79"/>
      <c r="I280" s="79"/>
      <c r="J280" s="79"/>
      <c r="K280" s="79"/>
      <c r="L280" s="74"/>
      <c r="M280" s="74"/>
      <c r="N280" s="74"/>
      <c r="O280" s="74"/>
    </row>
    <row r="281" spans="1:15" ht="15.75" customHeight="1" x14ac:dyDescent="0.25">
      <c r="A281" s="76" t="str">
        <f>[1]Entregables!C281</f>
        <v>50O3E2</v>
      </c>
      <c r="B281" s="74">
        <f>[1]Entregables!E281</f>
        <v>0.10000000149011612</v>
      </c>
      <c r="C281" s="74">
        <v>0</v>
      </c>
      <c r="D281" s="74">
        <v>1</v>
      </c>
      <c r="E281" s="74">
        <v>0</v>
      </c>
      <c r="F281" s="74">
        <v>0</v>
      </c>
      <c r="G281" s="79"/>
      <c r="H281" s="79"/>
      <c r="I281" s="79"/>
      <c r="J281" s="79"/>
      <c r="K281" s="79"/>
      <c r="L281" s="74"/>
      <c r="M281" s="74"/>
      <c r="N281" s="74"/>
      <c r="O281" s="74"/>
    </row>
    <row r="282" spans="1:15" ht="15.75" customHeight="1" x14ac:dyDescent="0.25">
      <c r="A282" s="76" t="str">
        <f>[1]Entregables!C282</f>
        <v>50O3E3</v>
      </c>
      <c r="B282" s="74">
        <f>[1]Entregables!E282</f>
        <v>0.20000000298023224</v>
      </c>
      <c r="C282" s="74">
        <v>0</v>
      </c>
      <c r="D282" s="74">
        <v>1</v>
      </c>
      <c r="E282" s="74">
        <v>0</v>
      </c>
      <c r="F282" s="74">
        <v>0</v>
      </c>
      <c r="G282" s="79"/>
      <c r="H282" s="79"/>
      <c r="I282" s="79"/>
      <c r="J282" s="79"/>
      <c r="K282" s="79"/>
      <c r="L282" s="74"/>
      <c r="M282" s="74"/>
      <c r="N282" s="74"/>
      <c r="O282" s="74"/>
    </row>
    <row r="283" spans="1:15" ht="15.75" customHeight="1" x14ac:dyDescent="0.25">
      <c r="A283" s="76" t="str">
        <f>[1]Entregables!C283</f>
        <v>51O1E1</v>
      </c>
      <c r="B283" s="74">
        <f>[1]Entregables!E283</f>
        <v>0.25</v>
      </c>
      <c r="C283" s="74">
        <v>0.12</v>
      </c>
      <c r="D283" s="74">
        <v>1</v>
      </c>
      <c r="E283" s="74">
        <v>0.22</v>
      </c>
      <c r="F283" s="74">
        <v>0.33999999999999997</v>
      </c>
      <c r="G283" s="79"/>
      <c r="H283" s="79"/>
      <c r="I283" s="79"/>
      <c r="J283" s="79"/>
      <c r="K283" s="79"/>
      <c r="L283" s="74"/>
      <c r="M283" s="74"/>
      <c r="N283" s="74"/>
      <c r="O283" s="74"/>
    </row>
    <row r="284" spans="1:15" ht="15.75" customHeight="1" x14ac:dyDescent="0.25">
      <c r="A284" s="76" t="str">
        <f>[1]Entregables!C284</f>
        <v>51O1E2</v>
      </c>
      <c r="B284" s="74">
        <f>[1]Entregables!E284</f>
        <v>0.15000000596046448</v>
      </c>
      <c r="C284" s="74">
        <v>0.12</v>
      </c>
      <c r="D284" s="74">
        <v>1</v>
      </c>
      <c r="E284" s="74">
        <v>0.22</v>
      </c>
      <c r="F284" s="74">
        <v>0.33999999999999997</v>
      </c>
      <c r="G284" s="79"/>
      <c r="H284" s="79"/>
      <c r="I284" s="79"/>
      <c r="J284" s="79"/>
      <c r="K284" s="79"/>
      <c r="L284" s="74"/>
      <c r="M284" s="74"/>
      <c r="N284" s="74"/>
      <c r="O284" s="74"/>
    </row>
    <row r="285" spans="1:15" ht="15.75" customHeight="1" x14ac:dyDescent="0.25">
      <c r="A285" s="76" t="str">
        <f>[1]Entregables!C285</f>
        <v>51O1E3</v>
      </c>
      <c r="B285" s="74">
        <f>[1]Entregables!E285</f>
        <v>0.25</v>
      </c>
      <c r="C285" s="74">
        <v>0.12</v>
      </c>
      <c r="D285" s="74">
        <v>1</v>
      </c>
      <c r="E285" s="74">
        <v>0.22</v>
      </c>
      <c r="F285" s="74">
        <v>0.33999999999999997</v>
      </c>
      <c r="G285" s="79"/>
      <c r="H285" s="79"/>
      <c r="I285" s="79"/>
      <c r="J285" s="79"/>
      <c r="K285" s="79"/>
      <c r="L285" s="74"/>
      <c r="M285" s="74"/>
      <c r="N285" s="74"/>
      <c r="O285" s="74"/>
    </row>
    <row r="286" spans="1:15" ht="15.75" customHeight="1" x14ac:dyDescent="0.25">
      <c r="A286" s="76" t="str">
        <f>[1]Entregables!C286</f>
        <v>51O1E4</v>
      </c>
      <c r="B286" s="74">
        <f>[1]Entregables!E286</f>
        <v>0.25</v>
      </c>
      <c r="C286" s="74">
        <v>0.12</v>
      </c>
      <c r="D286" s="74">
        <v>1</v>
      </c>
      <c r="E286" s="74">
        <v>0.22</v>
      </c>
      <c r="F286" s="74">
        <v>0.33999999999999997</v>
      </c>
      <c r="G286" s="79"/>
      <c r="H286" s="79"/>
      <c r="I286" s="79"/>
      <c r="J286" s="79"/>
      <c r="K286" s="79"/>
      <c r="L286" s="74"/>
      <c r="M286" s="74"/>
      <c r="N286" s="74"/>
      <c r="O286" s="74"/>
    </row>
    <row r="287" spans="1:15" ht="15.75" customHeight="1" x14ac:dyDescent="0.25">
      <c r="A287" s="76" t="str">
        <f>[1]Entregables!C287</f>
        <v>51O1E5</v>
      </c>
      <c r="B287" s="74">
        <f>[1]Entregables!E287</f>
        <v>0.10000000149011612</v>
      </c>
      <c r="C287" s="74">
        <v>0</v>
      </c>
      <c r="D287" s="74">
        <v>1</v>
      </c>
      <c r="E287" s="74">
        <v>0.2</v>
      </c>
      <c r="F287" s="74">
        <v>0.2</v>
      </c>
      <c r="G287" s="79"/>
      <c r="H287" s="79"/>
      <c r="I287" s="79"/>
      <c r="J287" s="79"/>
      <c r="K287" s="79"/>
      <c r="L287" s="74"/>
      <c r="M287" s="74"/>
      <c r="N287" s="74"/>
      <c r="O287" s="74"/>
    </row>
    <row r="288" spans="1:15" ht="15.75" customHeight="1" x14ac:dyDescent="0.25">
      <c r="A288" s="76" t="str">
        <f>[1]Entregables!C288</f>
        <v>51O2E1</v>
      </c>
      <c r="B288" s="74">
        <f>[1]Entregables!E288</f>
        <v>0.5</v>
      </c>
      <c r="C288" s="74">
        <v>0.04</v>
      </c>
      <c r="D288" s="74">
        <v>1</v>
      </c>
      <c r="E288" s="74">
        <v>0.17</v>
      </c>
      <c r="F288" s="74">
        <v>0.21000000000000002</v>
      </c>
      <c r="G288" s="79"/>
      <c r="H288" s="79"/>
      <c r="I288" s="79"/>
      <c r="J288" s="79"/>
      <c r="K288" s="79"/>
      <c r="L288" s="74"/>
      <c r="M288" s="74"/>
      <c r="N288" s="74"/>
      <c r="O288" s="74"/>
    </row>
    <row r="289" spans="1:15" ht="15.75" customHeight="1" x14ac:dyDescent="0.25">
      <c r="A289" s="76" t="str">
        <f>[1]Entregables!C289</f>
        <v>51O2E2</v>
      </c>
      <c r="B289" s="74">
        <f>[1]Entregables!E289</f>
        <v>0.30000001192092896</v>
      </c>
      <c r="C289" s="74">
        <v>0.04</v>
      </c>
      <c r="D289" s="74">
        <v>1</v>
      </c>
      <c r="E289" s="74">
        <v>0.1</v>
      </c>
      <c r="F289" s="74">
        <v>0.14000000000000001</v>
      </c>
      <c r="G289" s="79"/>
      <c r="H289" s="79"/>
      <c r="I289" s="79"/>
      <c r="J289" s="79"/>
      <c r="K289" s="79"/>
      <c r="L289" s="74"/>
      <c r="M289" s="74"/>
      <c r="N289" s="74"/>
      <c r="O289" s="74"/>
    </row>
    <row r="290" spans="1:15" ht="15.75" customHeight="1" x14ac:dyDescent="0.25">
      <c r="A290" s="76" t="str">
        <f>[1]Entregables!C290</f>
        <v>51O2E3</v>
      </c>
      <c r="B290" s="74">
        <f>[1]Entregables!E290</f>
        <v>0.20000000298023224</v>
      </c>
      <c r="C290" s="74">
        <v>0.1</v>
      </c>
      <c r="D290" s="74">
        <v>0.99999998509883903</v>
      </c>
      <c r="E290" s="74">
        <v>0.15</v>
      </c>
      <c r="F290" s="74">
        <v>0.25</v>
      </c>
      <c r="G290" s="79"/>
      <c r="H290" s="79"/>
      <c r="I290" s="79"/>
      <c r="J290" s="79"/>
      <c r="K290" s="79"/>
      <c r="L290" s="74"/>
      <c r="M290" s="74"/>
      <c r="N290" s="74"/>
      <c r="O290" s="74"/>
    </row>
    <row r="291" spans="1:15" ht="15.75" customHeight="1" x14ac:dyDescent="0.25">
      <c r="A291" s="76" t="str">
        <f>[1]Entregables!C291</f>
        <v>51O3E1</v>
      </c>
      <c r="B291" s="74">
        <f>[1]Entregables!E291</f>
        <v>0.30000001192092896</v>
      </c>
      <c r="C291" s="74">
        <v>0.02</v>
      </c>
      <c r="D291" s="74">
        <v>1</v>
      </c>
      <c r="E291" s="74">
        <v>0.15</v>
      </c>
      <c r="F291" s="74">
        <v>0.16999999999999998</v>
      </c>
      <c r="G291" s="79"/>
      <c r="H291" s="79"/>
      <c r="I291" s="79"/>
      <c r="J291" s="79"/>
      <c r="K291" s="79"/>
      <c r="L291" s="74"/>
      <c r="M291" s="74"/>
      <c r="N291" s="74"/>
      <c r="O291" s="74"/>
    </row>
    <row r="292" spans="1:15" ht="15.75" customHeight="1" x14ac:dyDescent="0.25">
      <c r="A292" s="76" t="str">
        <f>[1]Entregables!C292</f>
        <v>51O3E2</v>
      </c>
      <c r="B292" s="74">
        <f>[1]Entregables!E292</f>
        <v>0.69999998807907104</v>
      </c>
      <c r="C292" s="74">
        <v>0.06</v>
      </c>
      <c r="D292" s="74">
        <v>1</v>
      </c>
      <c r="E292" s="74">
        <v>0.23</v>
      </c>
      <c r="F292" s="74">
        <v>0.29000000000000004</v>
      </c>
      <c r="G292" s="79"/>
      <c r="H292" s="79"/>
      <c r="I292" s="79"/>
      <c r="J292" s="79"/>
      <c r="K292" s="79"/>
      <c r="L292" s="74"/>
      <c r="M292" s="74"/>
      <c r="N292" s="74"/>
      <c r="O292" s="74"/>
    </row>
    <row r="293" spans="1:15" ht="15.75" customHeight="1" x14ac:dyDescent="0.25">
      <c r="A293" s="76" t="str">
        <f>[1]Entregables!C293</f>
        <v>51O4E1</v>
      </c>
      <c r="B293" s="74">
        <f>[1]Entregables!E293</f>
        <v>0.5</v>
      </c>
      <c r="C293" s="74">
        <v>0.03</v>
      </c>
      <c r="D293" s="74">
        <v>1</v>
      </c>
      <c r="E293" s="74">
        <v>0.06</v>
      </c>
      <c r="F293" s="74">
        <v>0.09</v>
      </c>
      <c r="G293" s="79"/>
      <c r="H293" s="79"/>
      <c r="I293" s="79"/>
      <c r="J293" s="79"/>
      <c r="K293" s="79"/>
      <c r="L293" s="74"/>
      <c r="M293" s="74"/>
      <c r="N293" s="74"/>
      <c r="O293" s="74"/>
    </row>
    <row r="294" spans="1:15" ht="15.75" customHeight="1" x14ac:dyDescent="0.25">
      <c r="A294" s="76" t="str">
        <f>[1]Entregables!C294</f>
        <v>51O4E2</v>
      </c>
      <c r="B294" s="74">
        <f>[1]Entregables!E294</f>
        <v>0.5</v>
      </c>
      <c r="C294" s="74">
        <v>0</v>
      </c>
      <c r="D294" s="74">
        <v>1</v>
      </c>
      <c r="E294" s="74">
        <v>0.15</v>
      </c>
      <c r="F294" s="74">
        <v>0.15</v>
      </c>
      <c r="G294" s="79"/>
      <c r="H294" s="79"/>
      <c r="I294" s="79"/>
      <c r="J294" s="79"/>
      <c r="K294" s="79"/>
      <c r="L294" s="74"/>
      <c r="M294" s="74"/>
      <c r="N294" s="74"/>
      <c r="O294" s="74"/>
    </row>
    <row r="295" spans="1:15" ht="15.75" customHeight="1" x14ac:dyDescent="0.25">
      <c r="A295" s="76" t="str">
        <f>[1]Entregables!C295</f>
        <v>52O1E1</v>
      </c>
      <c r="B295" s="74">
        <f>[1]Entregables!E295</f>
        <v>0.5</v>
      </c>
      <c r="C295" s="74">
        <v>0.1</v>
      </c>
      <c r="D295" s="74">
        <v>0.99999998509883903</v>
      </c>
      <c r="E295" s="74">
        <v>0.20000000298023224</v>
      </c>
      <c r="F295" s="74">
        <v>0.30000000298023222</v>
      </c>
      <c r="G295" s="79"/>
      <c r="H295" s="79"/>
      <c r="I295" s="79"/>
      <c r="J295" s="79"/>
      <c r="K295" s="79"/>
      <c r="L295" s="74"/>
      <c r="M295" s="74"/>
      <c r="N295" s="74"/>
      <c r="O295" s="74"/>
    </row>
    <row r="296" spans="1:15" ht="15.75" customHeight="1" x14ac:dyDescent="0.25">
      <c r="A296" s="76" t="str">
        <f>[1]Entregables!C296</f>
        <v>52O1E2</v>
      </c>
      <c r="B296" s="74">
        <f>[1]Entregables!E296</f>
        <v>0.5</v>
      </c>
      <c r="C296" s="74">
        <v>0.05</v>
      </c>
      <c r="D296" s="74">
        <v>0.99999998509883903</v>
      </c>
      <c r="E296" s="74">
        <v>0.20000000298023224</v>
      </c>
      <c r="F296" s="74">
        <v>0.25000000298023223</v>
      </c>
      <c r="G296" s="79"/>
      <c r="H296" s="79"/>
      <c r="I296" s="79"/>
      <c r="J296" s="79"/>
      <c r="K296" s="79"/>
      <c r="L296" s="74"/>
      <c r="M296" s="74"/>
      <c r="N296" s="74"/>
      <c r="O296" s="74"/>
    </row>
    <row r="297" spans="1:15" ht="15.75" customHeight="1" x14ac:dyDescent="0.25">
      <c r="A297" s="76" t="str">
        <f>[1]Entregables!C297</f>
        <v>52O2E1</v>
      </c>
      <c r="B297" s="74">
        <f>[1]Entregables!E297</f>
        <v>0.99000000953674316</v>
      </c>
      <c r="C297" s="74">
        <v>0</v>
      </c>
      <c r="D297" s="74">
        <v>1</v>
      </c>
      <c r="E297" s="74">
        <v>0.10000000149011612</v>
      </c>
      <c r="F297" s="74">
        <v>0.10000000149011612</v>
      </c>
      <c r="G297" s="79"/>
      <c r="H297" s="79"/>
      <c r="I297" s="79"/>
      <c r="J297" s="79"/>
      <c r="K297" s="79"/>
      <c r="L297" s="74"/>
      <c r="M297" s="74"/>
      <c r="N297" s="74"/>
      <c r="O297" s="74"/>
    </row>
    <row r="298" spans="1:15" ht="15.75" customHeight="1" x14ac:dyDescent="0.25">
      <c r="A298" s="76" t="str">
        <f>[1]Entregables!C298</f>
        <v>52O2E2</v>
      </c>
      <c r="B298" s="74">
        <f>[1]Entregables!E298</f>
        <v>9.9999997764825821E-3</v>
      </c>
      <c r="C298" s="74">
        <v>0</v>
      </c>
      <c r="D298" s="74">
        <v>1</v>
      </c>
      <c r="E298" s="74">
        <v>0.10000000149011612</v>
      </c>
      <c r="F298" s="74">
        <v>0.10000000149011612</v>
      </c>
      <c r="G298" s="79"/>
      <c r="H298" s="79"/>
      <c r="I298" s="79"/>
      <c r="J298" s="79"/>
      <c r="K298" s="79"/>
      <c r="L298" s="74"/>
      <c r="M298" s="74"/>
      <c r="N298" s="74"/>
      <c r="O298" s="74"/>
    </row>
    <row r="299" spans="1:15" ht="15.75" customHeight="1" x14ac:dyDescent="0.25">
      <c r="A299" s="76" t="str">
        <f>[1]Entregables!C299</f>
        <v>52O3E1</v>
      </c>
      <c r="B299" s="74">
        <f>[1]Entregables!E299</f>
        <v>0.30000001192092896</v>
      </c>
      <c r="C299" s="74">
        <v>0.1</v>
      </c>
      <c r="D299" s="74">
        <v>0.99999998509883903</v>
      </c>
      <c r="E299" s="74">
        <v>0.22800000011920929</v>
      </c>
      <c r="F299" s="74">
        <v>0.32800000011920927</v>
      </c>
      <c r="G299" s="79"/>
      <c r="H299" s="79"/>
      <c r="I299" s="79"/>
      <c r="J299" s="79"/>
      <c r="K299" s="79"/>
      <c r="L299" s="74"/>
      <c r="M299" s="74"/>
      <c r="N299" s="74"/>
      <c r="O299" s="74"/>
    </row>
    <row r="300" spans="1:15" ht="15.75" customHeight="1" x14ac:dyDescent="0.25">
      <c r="A300" s="76" t="str">
        <f>[1]Entregables!C300</f>
        <v>52O3E2</v>
      </c>
      <c r="B300" s="74">
        <f>[1]Entregables!E300</f>
        <v>0.30000001192092896</v>
      </c>
      <c r="C300" s="74">
        <v>0.05</v>
      </c>
      <c r="D300" s="74">
        <v>0.99999998509883903</v>
      </c>
      <c r="E300" s="74">
        <v>0.2199999988079071</v>
      </c>
      <c r="F300" s="74">
        <v>0.26999999880790709</v>
      </c>
      <c r="G300" s="79"/>
      <c r="H300" s="79"/>
      <c r="I300" s="79"/>
      <c r="J300" s="79"/>
      <c r="K300" s="79"/>
      <c r="L300" s="74"/>
      <c r="M300" s="74"/>
      <c r="N300" s="74"/>
      <c r="O300" s="74"/>
    </row>
    <row r="301" spans="1:15" ht="15.75" customHeight="1" x14ac:dyDescent="0.25">
      <c r="A301" s="76" t="str">
        <f>[1]Entregables!C301</f>
        <v>52O3E3</v>
      </c>
      <c r="B301" s="74">
        <f>[1]Entregables!E301</f>
        <v>0.20000000298023224</v>
      </c>
      <c r="C301" s="74">
        <v>0.03</v>
      </c>
      <c r="D301" s="74">
        <v>1</v>
      </c>
      <c r="E301" s="74">
        <v>0.2199999988079071</v>
      </c>
      <c r="F301" s="74">
        <v>0.2499999988079071</v>
      </c>
      <c r="G301" s="79"/>
      <c r="H301" s="79"/>
      <c r="I301" s="79"/>
      <c r="J301" s="79"/>
      <c r="K301" s="79"/>
      <c r="L301" s="74"/>
      <c r="M301" s="74"/>
      <c r="N301" s="74"/>
      <c r="O301" s="74"/>
    </row>
    <row r="302" spans="1:15" ht="15.75" customHeight="1" x14ac:dyDescent="0.25">
      <c r="A302" s="76" t="str">
        <f>[1]Entregables!C302</f>
        <v>52O3E4</v>
      </c>
      <c r="B302" s="74">
        <f>[1]Entregables!E302</f>
        <v>0.20000000298023224</v>
      </c>
      <c r="C302" s="74">
        <v>0.05</v>
      </c>
      <c r="D302" s="74">
        <v>0.99999998509883903</v>
      </c>
      <c r="E302" s="74">
        <v>0.20000000298023224</v>
      </c>
      <c r="F302" s="74">
        <v>0.25000000298023223</v>
      </c>
      <c r="G302" s="79"/>
      <c r="H302" s="79"/>
      <c r="I302" s="79"/>
      <c r="J302" s="79"/>
      <c r="K302" s="79"/>
      <c r="L302" s="74"/>
      <c r="M302" s="74"/>
      <c r="N302" s="74"/>
      <c r="O302" s="74"/>
    </row>
    <row r="303" spans="1:15" ht="15.75" customHeight="1" x14ac:dyDescent="0.25">
      <c r="A303" s="76" t="str">
        <f>[1]Entregables!C303</f>
        <v>53O1E1</v>
      </c>
      <c r="B303" s="74">
        <f>[1]Entregables!E303</f>
        <v>0.40000000596046448</v>
      </c>
      <c r="C303" s="74">
        <v>0.1</v>
      </c>
      <c r="D303" s="74">
        <v>1</v>
      </c>
      <c r="E303" s="74">
        <v>0.2</v>
      </c>
      <c r="F303" s="74">
        <v>0.30000000000000004</v>
      </c>
      <c r="G303" s="79"/>
      <c r="H303" s="79"/>
      <c r="I303" s="79"/>
      <c r="J303" s="79"/>
      <c r="K303" s="79"/>
      <c r="L303" s="74"/>
      <c r="M303" s="74"/>
      <c r="N303" s="74"/>
      <c r="O303" s="74"/>
    </row>
    <row r="304" spans="1:15" ht="15.75" customHeight="1" x14ac:dyDescent="0.25">
      <c r="A304" s="76" t="str">
        <f>[1]Entregables!C304</f>
        <v>53O1E2</v>
      </c>
      <c r="B304" s="74">
        <f>[1]Entregables!E304</f>
        <v>0.15000000596046448</v>
      </c>
      <c r="C304" s="74">
        <v>0</v>
      </c>
      <c r="D304" s="74">
        <v>1</v>
      </c>
      <c r="E304" s="74">
        <v>0.1</v>
      </c>
      <c r="F304" s="74">
        <v>0.1</v>
      </c>
      <c r="G304" s="79"/>
      <c r="H304" s="79"/>
      <c r="I304" s="79"/>
      <c r="J304" s="79"/>
      <c r="K304" s="79"/>
      <c r="L304" s="74"/>
      <c r="M304" s="74"/>
      <c r="N304" s="74"/>
      <c r="O304" s="74"/>
    </row>
    <row r="305" spans="1:15" ht="15.75" customHeight="1" x14ac:dyDescent="0.25">
      <c r="A305" s="76" t="str">
        <f>[1]Entregables!C305</f>
        <v>53O1E3</v>
      </c>
      <c r="B305" s="74">
        <f>[1]Entregables!E305</f>
        <v>0.25</v>
      </c>
      <c r="C305" s="74">
        <v>0</v>
      </c>
      <c r="D305" s="74">
        <v>1</v>
      </c>
      <c r="E305" s="74">
        <v>0.1</v>
      </c>
      <c r="F305" s="74">
        <v>0.1</v>
      </c>
      <c r="G305" s="79"/>
      <c r="H305" s="79"/>
      <c r="I305" s="79"/>
      <c r="J305" s="79"/>
      <c r="K305" s="79"/>
      <c r="L305" s="74"/>
      <c r="M305" s="74"/>
      <c r="N305" s="74"/>
      <c r="O305" s="74"/>
    </row>
    <row r="306" spans="1:15" ht="15.75" customHeight="1" x14ac:dyDescent="0.25">
      <c r="A306" s="76" t="str">
        <f>[1]Entregables!C306</f>
        <v>53O1E4</v>
      </c>
      <c r="B306" s="74">
        <f>[1]Entregables!E306</f>
        <v>0.20000000298023224</v>
      </c>
      <c r="C306" s="74">
        <v>0</v>
      </c>
      <c r="D306" s="74">
        <v>1</v>
      </c>
      <c r="E306" s="74">
        <v>0.05</v>
      </c>
      <c r="F306" s="74">
        <v>0.05</v>
      </c>
      <c r="G306" s="79"/>
      <c r="H306" s="79"/>
      <c r="I306" s="79"/>
      <c r="J306" s="79"/>
      <c r="K306" s="79"/>
      <c r="L306" s="74"/>
      <c r="M306" s="74"/>
      <c r="N306" s="74"/>
      <c r="O306" s="74"/>
    </row>
    <row r="307" spans="1:15" ht="15.75" customHeight="1" x14ac:dyDescent="0.25">
      <c r="A307" s="76" t="str">
        <f>[1]Entregables!C307</f>
        <v>53O2E1</v>
      </c>
      <c r="B307" s="74">
        <f>[1]Entregables!E307</f>
        <v>0.40000000596046448</v>
      </c>
      <c r="C307" s="74">
        <v>0</v>
      </c>
      <c r="D307" s="74">
        <v>1</v>
      </c>
      <c r="E307" s="74">
        <v>0.1</v>
      </c>
      <c r="F307" s="74">
        <v>0.1</v>
      </c>
      <c r="G307" s="79"/>
      <c r="H307" s="79"/>
      <c r="I307" s="79"/>
      <c r="J307" s="79"/>
      <c r="K307" s="79"/>
      <c r="L307" s="74"/>
      <c r="M307" s="74"/>
      <c r="N307" s="74"/>
      <c r="O307" s="74"/>
    </row>
    <row r="308" spans="1:15" ht="15.75" customHeight="1" x14ac:dyDescent="0.25">
      <c r="A308" s="76" t="str">
        <f>[1]Entregables!C308</f>
        <v>53O2E2</v>
      </c>
      <c r="B308" s="74">
        <f>[1]Entregables!E308</f>
        <v>0.40000000596046448</v>
      </c>
      <c r="C308" s="74">
        <v>0.1</v>
      </c>
      <c r="D308" s="74">
        <v>0.66666664017571453</v>
      </c>
      <c r="E308" s="74">
        <v>0.15</v>
      </c>
      <c r="F308" s="74">
        <v>0.25</v>
      </c>
      <c r="G308" s="79"/>
      <c r="H308" s="79"/>
      <c r="I308" s="79"/>
      <c r="J308" s="79"/>
      <c r="K308" s="79"/>
      <c r="L308" s="74"/>
      <c r="M308" s="74"/>
      <c r="N308" s="74"/>
      <c r="O308" s="74"/>
    </row>
    <row r="309" spans="1:15" ht="15.75" customHeight="1" x14ac:dyDescent="0.25">
      <c r="A309" s="76" t="str">
        <f>[1]Entregables!C309</f>
        <v>53O2E3</v>
      </c>
      <c r="B309" s="74">
        <f>[1]Entregables!E309</f>
        <v>0.20000000298023224</v>
      </c>
      <c r="C309" s="74">
        <v>0.05</v>
      </c>
      <c r="D309" s="74">
        <v>1</v>
      </c>
      <c r="E309" s="74">
        <v>0</v>
      </c>
      <c r="F309" s="74">
        <v>0.05</v>
      </c>
      <c r="G309" s="79"/>
      <c r="H309" s="79"/>
      <c r="I309" s="79"/>
      <c r="J309" s="79"/>
      <c r="K309" s="79"/>
      <c r="L309" s="74"/>
      <c r="M309" s="74"/>
      <c r="N309" s="74"/>
      <c r="O309" s="74"/>
    </row>
    <row r="310" spans="1:15" ht="15.75" customHeight="1" x14ac:dyDescent="0.25">
      <c r="A310" s="76" t="str">
        <f>[1]Entregables!C310</f>
        <v>53O3E1</v>
      </c>
      <c r="B310" s="74">
        <f>[1]Entregables!E310</f>
        <v>0.20000000298023224</v>
      </c>
      <c r="C310" s="74">
        <v>0</v>
      </c>
      <c r="D310" s="74">
        <v>0</v>
      </c>
      <c r="E310" s="74">
        <v>0.15</v>
      </c>
      <c r="F310" s="74">
        <v>0.15</v>
      </c>
      <c r="G310" s="79"/>
      <c r="H310" s="79"/>
      <c r="I310" s="79"/>
      <c r="J310" s="79"/>
      <c r="K310" s="79"/>
      <c r="L310" s="74"/>
      <c r="M310" s="74"/>
      <c r="N310" s="74"/>
      <c r="O310" s="74"/>
    </row>
    <row r="311" spans="1:15" ht="15.75" customHeight="1" x14ac:dyDescent="0.25">
      <c r="A311" s="76" t="str">
        <f>[1]Entregables!C311</f>
        <v>53O3E2</v>
      </c>
      <c r="B311" s="74">
        <f>[1]Entregables!E311</f>
        <v>0.40000000596046448</v>
      </c>
      <c r="C311" s="74">
        <v>0.1</v>
      </c>
      <c r="D311" s="74">
        <v>0.99999998509883903</v>
      </c>
      <c r="E311" s="74">
        <v>0.1</v>
      </c>
      <c r="F311" s="74">
        <v>0.2</v>
      </c>
      <c r="G311" s="79"/>
      <c r="H311" s="79"/>
      <c r="I311" s="79"/>
      <c r="J311" s="79"/>
      <c r="K311" s="79"/>
      <c r="L311" s="74"/>
      <c r="M311" s="74"/>
      <c r="N311" s="74"/>
      <c r="O311" s="74"/>
    </row>
    <row r="312" spans="1:15" ht="15.75" customHeight="1" x14ac:dyDescent="0.25">
      <c r="A312" s="76" t="str">
        <f>[1]Entregables!C312</f>
        <v>53O3E3</v>
      </c>
      <c r="B312" s="74">
        <f>[1]Entregables!E312</f>
        <v>0.20000000298023224</v>
      </c>
      <c r="C312" s="74">
        <v>0</v>
      </c>
      <c r="D312" s="74">
        <v>1</v>
      </c>
      <c r="E312" s="74">
        <v>0.25</v>
      </c>
      <c r="F312" s="74">
        <v>0.25</v>
      </c>
      <c r="G312" s="79"/>
      <c r="H312" s="79"/>
      <c r="I312" s="79"/>
      <c r="J312" s="79"/>
      <c r="K312" s="79"/>
      <c r="L312" s="74"/>
      <c r="M312" s="74"/>
      <c r="N312" s="74"/>
      <c r="O312" s="74"/>
    </row>
    <row r="313" spans="1:15" ht="15.75" customHeight="1" x14ac:dyDescent="0.25">
      <c r="A313" s="76" t="str">
        <f>[1]Entregables!C313</f>
        <v>53O3E4</v>
      </c>
      <c r="B313" s="74">
        <f>[1]Entregables!E313</f>
        <v>0.10000000149011612</v>
      </c>
      <c r="C313" s="74">
        <v>0</v>
      </c>
      <c r="D313" s="74">
        <v>1</v>
      </c>
      <c r="E313" s="74">
        <v>0</v>
      </c>
      <c r="F313" s="74">
        <v>0</v>
      </c>
      <c r="G313" s="79"/>
      <c r="H313" s="79"/>
      <c r="I313" s="79"/>
      <c r="J313" s="79"/>
      <c r="K313" s="79"/>
      <c r="L313" s="74"/>
      <c r="M313" s="74"/>
      <c r="N313" s="74"/>
      <c r="O313" s="74"/>
    </row>
    <row r="314" spans="1:15" ht="15.75" customHeight="1" x14ac:dyDescent="0.25">
      <c r="A314" s="76" t="str">
        <f>[1]Entregables!C314</f>
        <v>53O3E5</v>
      </c>
      <c r="B314" s="74">
        <f>[1]Entregables!E314</f>
        <v>0.10000000149011612</v>
      </c>
      <c r="C314" s="74">
        <v>0</v>
      </c>
      <c r="D314" s="74">
        <v>1</v>
      </c>
      <c r="E314" s="74">
        <v>0</v>
      </c>
      <c r="F314" s="74">
        <v>0</v>
      </c>
      <c r="G314" s="79"/>
      <c r="H314" s="79"/>
      <c r="I314" s="79"/>
      <c r="J314" s="79"/>
      <c r="K314" s="79"/>
      <c r="L314" s="74"/>
      <c r="M314" s="74"/>
      <c r="N314" s="74"/>
      <c r="O314" s="74"/>
    </row>
    <row r="315" spans="1:15" ht="15.75" customHeight="1" x14ac:dyDescent="0.25">
      <c r="A315" s="76" t="str">
        <f>[1]Entregables!C315</f>
        <v>53O4E1</v>
      </c>
      <c r="B315" s="74">
        <f>[1]Entregables!E315</f>
        <v>0.5</v>
      </c>
      <c r="C315" s="74">
        <v>0.05</v>
      </c>
      <c r="D315" s="74">
        <v>1</v>
      </c>
      <c r="E315" s="74">
        <v>0.15</v>
      </c>
      <c r="F315" s="74">
        <v>0.2</v>
      </c>
      <c r="G315" s="79"/>
      <c r="H315" s="79"/>
      <c r="I315" s="79"/>
      <c r="J315" s="79"/>
      <c r="K315" s="79"/>
      <c r="L315" s="74"/>
      <c r="M315" s="74"/>
      <c r="N315" s="74"/>
      <c r="O315" s="74"/>
    </row>
    <row r="316" spans="1:15" ht="15.75" customHeight="1" x14ac:dyDescent="0.25">
      <c r="A316" s="76" t="str">
        <f>[1]Entregables!C316</f>
        <v>53O4E2</v>
      </c>
      <c r="B316" s="74">
        <f>[1]Entregables!E316</f>
        <v>0.30000001192092896</v>
      </c>
      <c r="C316" s="74">
        <v>0.05</v>
      </c>
      <c r="D316" s="74">
        <v>0.49999999254941951</v>
      </c>
      <c r="E316" s="74">
        <v>0.2</v>
      </c>
      <c r="F316" s="74">
        <v>0.25</v>
      </c>
      <c r="G316" s="79"/>
      <c r="H316" s="79"/>
      <c r="I316" s="79"/>
      <c r="J316" s="79"/>
      <c r="K316" s="79"/>
      <c r="L316" s="74"/>
      <c r="M316" s="74"/>
      <c r="N316" s="74"/>
      <c r="O316" s="74"/>
    </row>
    <row r="317" spans="1:15" ht="15.75" customHeight="1" x14ac:dyDescent="0.25">
      <c r="A317" s="76" t="str">
        <f>[1]Entregables!C317</f>
        <v>53O4E3</v>
      </c>
      <c r="B317" s="74">
        <f>[1]Entregables!E317</f>
        <v>0.20000000298023224</v>
      </c>
      <c r="C317" s="74">
        <v>0</v>
      </c>
      <c r="D317" s="74">
        <v>0</v>
      </c>
      <c r="E317" s="74">
        <v>0.1</v>
      </c>
      <c r="F317" s="74">
        <v>0.1</v>
      </c>
      <c r="G317" s="79"/>
      <c r="H317" s="79"/>
      <c r="I317" s="79"/>
      <c r="J317" s="79"/>
      <c r="K317" s="79"/>
      <c r="L317" s="74"/>
      <c r="M317" s="74"/>
      <c r="N317" s="74"/>
      <c r="O317" s="74"/>
    </row>
    <row r="318" spans="1:15" ht="15.75" customHeight="1" x14ac:dyDescent="0.25">
      <c r="A318" s="76" t="str">
        <f>[1]Entregables!C318</f>
        <v>54O1E1</v>
      </c>
      <c r="B318" s="74">
        <f>[1]Entregables!E318</f>
        <v>0.25</v>
      </c>
      <c r="C318" s="74"/>
      <c r="D318" s="74">
        <v>1</v>
      </c>
      <c r="E318" s="74">
        <v>0.5</v>
      </c>
      <c r="F318" s="74">
        <v>0.5</v>
      </c>
      <c r="G318" s="79"/>
      <c r="H318" s="79"/>
      <c r="I318" s="79"/>
      <c r="J318" s="79"/>
      <c r="K318" s="79"/>
      <c r="L318" s="74"/>
      <c r="M318" s="74"/>
      <c r="N318" s="74"/>
      <c r="O318" s="74"/>
    </row>
    <row r="319" spans="1:15" ht="15.75" customHeight="1" x14ac:dyDescent="0.25">
      <c r="A319" s="76" t="str">
        <f>[1]Entregables!C319</f>
        <v>54O1E2</v>
      </c>
      <c r="B319" s="74">
        <f>[1]Entregables!E319</f>
        <v>0.25</v>
      </c>
      <c r="C319" s="74"/>
      <c r="D319" s="74">
        <v>1</v>
      </c>
      <c r="E319" s="74">
        <v>0.15</v>
      </c>
      <c r="F319" s="74">
        <v>0.15</v>
      </c>
      <c r="G319" s="79"/>
      <c r="H319" s="79"/>
      <c r="I319" s="79"/>
      <c r="J319" s="79"/>
      <c r="K319" s="79"/>
      <c r="L319" s="74"/>
      <c r="M319" s="74"/>
      <c r="N319" s="74"/>
      <c r="O319" s="74"/>
    </row>
    <row r="320" spans="1:15" ht="15.75" customHeight="1" x14ac:dyDescent="0.25">
      <c r="A320" s="76" t="str">
        <f>[1]Entregables!C320</f>
        <v>54O1E3</v>
      </c>
      <c r="B320" s="74">
        <f>[1]Entregables!E320</f>
        <v>0.25</v>
      </c>
      <c r="C320" s="74"/>
      <c r="D320" s="74">
        <v>1</v>
      </c>
      <c r="E320" s="74">
        <v>0.13</v>
      </c>
      <c r="F320" s="74">
        <v>0.13</v>
      </c>
      <c r="G320" s="79"/>
      <c r="H320" s="79"/>
      <c r="I320" s="79"/>
      <c r="J320" s="79"/>
      <c r="K320" s="79"/>
      <c r="L320" s="74"/>
      <c r="M320" s="74"/>
      <c r="N320" s="74"/>
      <c r="O320" s="74"/>
    </row>
    <row r="321" spans="1:15" ht="15.75" customHeight="1" x14ac:dyDescent="0.25">
      <c r="A321" s="76" t="str">
        <f>[1]Entregables!C321</f>
        <v>54O1E4</v>
      </c>
      <c r="B321" s="74">
        <f>[1]Entregables!E321</f>
        <v>0.25</v>
      </c>
      <c r="C321" s="74"/>
      <c r="D321" s="74">
        <v>1</v>
      </c>
      <c r="E321" s="74">
        <v>0</v>
      </c>
      <c r="F321" s="74">
        <v>0</v>
      </c>
      <c r="G321" s="79"/>
      <c r="H321" s="79"/>
      <c r="I321" s="79"/>
      <c r="J321" s="79"/>
      <c r="K321" s="79"/>
      <c r="L321" s="74"/>
      <c r="M321" s="74"/>
      <c r="N321" s="74"/>
      <c r="O321" s="74"/>
    </row>
    <row r="322" spans="1:15" ht="15.75" customHeight="1" x14ac:dyDescent="0.25">
      <c r="A322" s="76" t="str">
        <f>[1]Entregables!C322</f>
        <v>54O2E1</v>
      </c>
      <c r="B322" s="74">
        <f>[1]Entregables!E322</f>
        <v>0.40000000596046448</v>
      </c>
      <c r="C322" s="74">
        <v>0.02</v>
      </c>
      <c r="D322" s="74">
        <v>1</v>
      </c>
      <c r="E322" s="74">
        <v>0.21</v>
      </c>
      <c r="F322" s="74">
        <v>0.22999999999999998</v>
      </c>
      <c r="G322" s="79"/>
      <c r="H322" s="79"/>
      <c r="I322" s="79"/>
      <c r="J322" s="79"/>
      <c r="K322" s="79"/>
      <c r="L322" s="74"/>
      <c r="M322" s="74"/>
      <c r="N322" s="74"/>
      <c r="O322" s="74"/>
    </row>
    <row r="323" spans="1:15" ht="15.75" customHeight="1" x14ac:dyDescent="0.25">
      <c r="A323" s="76" t="str">
        <f>[1]Entregables!C323</f>
        <v>54O2E2</v>
      </c>
      <c r="B323" s="74">
        <f>[1]Entregables!E323</f>
        <v>0.30000001192092896</v>
      </c>
      <c r="C323" s="74">
        <v>0.05</v>
      </c>
      <c r="D323" s="74">
        <v>0.99999998509883903</v>
      </c>
      <c r="E323" s="74">
        <v>0.2</v>
      </c>
      <c r="F323" s="74">
        <v>0.25</v>
      </c>
      <c r="G323" s="79"/>
      <c r="H323" s="79"/>
      <c r="I323" s="79"/>
      <c r="J323" s="79"/>
      <c r="K323" s="79"/>
      <c r="L323" s="74"/>
      <c r="M323" s="74"/>
      <c r="N323" s="74"/>
      <c r="O323" s="74"/>
    </row>
    <row r="324" spans="1:15" ht="15.75" customHeight="1" x14ac:dyDescent="0.25">
      <c r="A324" s="76" t="str">
        <f>[1]Entregables!C324</f>
        <v>54O2E3</v>
      </c>
      <c r="B324" s="74">
        <f>[1]Entregables!E324</f>
        <v>0.30000001192092896</v>
      </c>
      <c r="C324" s="74">
        <v>0.02</v>
      </c>
      <c r="D324" s="74">
        <v>0.83333332608971344</v>
      </c>
      <c r="E324" s="74">
        <v>0.21</v>
      </c>
      <c r="F324" s="74">
        <v>0.22999999999999998</v>
      </c>
      <c r="G324" s="79"/>
      <c r="H324" s="79"/>
      <c r="I324" s="79"/>
      <c r="J324" s="79"/>
      <c r="K324" s="79"/>
      <c r="L324" s="74"/>
      <c r="M324" s="74"/>
      <c r="N324" s="74"/>
      <c r="O324" s="74"/>
    </row>
    <row r="325" spans="1:15" ht="15.75" customHeight="1" x14ac:dyDescent="0.25">
      <c r="A325" s="76" t="str">
        <f>[1]Entregables!C325</f>
        <v>54O3E1</v>
      </c>
      <c r="B325" s="74">
        <f>[1]Entregables!E325</f>
        <v>0.25</v>
      </c>
      <c r="C325" s="76"/>
      <c r="D325" s="74">
        <v>1</v>
      </c>
      <c r="E325" s="74">
        <v>0.17</v>
      </c>
      <c r="F325" s="74">
        <v>0.17</v>
      </c>
      <c r="G325" s="79"/>
      <c r="H325" s="79"/>
      <c r="I325" s="79"/>
      <c r="J325" s="79"/>
      <c r="K325" s="79"/>
      <c r="L325" s="76"/>
      <c r="M325" s="76"/>
      <c r="N325" s="76"/>
      <c r="O325" s="76"/>
    </row>
    <row r="326" spans="1:15" ht="15.75" customHeight="1" x14ac:dyDescent="0.25">
      <c r="A326" s="76" t="str">
        <f>[1]Entregables!C326</f>
        <v>54O3E2</v>
      </c>
      <c r="B326" s="74">
        <f>[1]Entregables!E326</f>
        <v>0.25</v>
      </c>
      <c r="C326" s="74"/>
      <c r="D326" s="74">
        <v>1</v>
      </c>
      <c r="E326" s="74">
        <v>0.17</v>
      </c>
      <c r="F326" s="74">
        <v>0.17</v>
      </c>
      <c r="G326" s="79"/>
      <c r="H326" s="79"/>
      <c r="I326" s="79"/>
      <c r="J326" s="79"/>
      <c r="K326" s="79"/>
      <c r="L326" s="74"/>
      <c r="M326" s="74"/>
      <c r="N326" s="74"/>
      <c r="O326" s="74"/>
    </row>
    <row r="327" spans="1:15" ht="15.75" customHeight="1" x14ac:dyDescent="0.25">
      <c r="A327" s="76" t="str">
        <f>[1]Entregables!C327</f>
        <v>54O3E3</v>
      </c>
      <c r="B327" s="74">
        <f>[1]Entregables!E327</f>
        <v>0.25</v>
      </c>
      <c r="C327" s="74"/>
      <c r="D327" s="74">
        <v>1</v>
      </c>
      <c r="E327" s="74">
        <v>0.25</v>
      </c>
      <c r="F327" s="74">
        <v>0.25</v>
      </c>
      <c r="G327" s="79"/>
      <c r="H327" s="79"/>
      <c r="I327" s="79"/>
      <c r="J327" s="79"/>
      <c r="K327" s="79"/>
      <c r="L327" s="74"/>
      <c r="M327" s="74"/>
      <c r="N327" s="74"/>
      <c r="O327" s="74"/>
    </row>
    <row r="328" spans="1:15" ht="15.75" customHeight="1" x14ac:dyDescent="0.25">
      <c r="A328" s="76" t="str">
        <f>[1]Entregables!C328</f>
        <v>54O3E4</v>
      </c>
      <c r="B328" s="74">
        <f>[1]Entregables!E328</f>
        <v>0.25</v>
      </c>
      <c r="C328" s="74"/>
      <c r="D328" s="74">
        <v>1</v>
      </c>
      <c r="E328" s="74">
        <v>0.22</v>
      </c>
      <c r="F328" s="74">
        <v>0.22</v>
      </c>
      <c r="G328" s="79"/>
      <c r="H328" s="79"/>
      <c r="I328" s="79"/>
      <c r="J328" s="79"/>
      <c r="K328" s="79"/>
      <c r="L328" s="74"/>
      <c r="M328" s="74"/>
      <c r="N328" s="74"/>
      <c r="O328" s="74"/>
    </row>
    <row r="329" spans="1:15" ht="15.75" customHeight="1" x14ac:dyDescent="0.25">
      <c r="A329" s="76" t="str">
        <f>[1]Entregables!C329</f>
        <v>55O1E1</v>
      </c>
      <c r="B329" s="74">
        <f>[1]Entregables!E329</f>
        <v>0.34000000357627869</v>
      </c>
      <c r="C329" s="74">
        <v>0</v>
      </c>
      <c r="D329" s="74">
        <v>1</v>
      </c>
      <c r="E329" s="74">
        <v>0.3</v>
      </c>
      <c r="F329" s="74">
        <v>0.3</v>
      </c>
      <c r="G329" s="79"/>
      <c r="H329" s="79"/>
      <c r="I329" s="79"/>
      <c r="J329" s="79"/>
      <c r="K329" s="79"/>
      <c r="L329" s="74"/>
      <c r="M329" s="74"/>
      <c r="N329" s="74"/>
      <c r="O329" s="74"/>
    </row>
    <row r="330" spans="1:15" ht="15.75" customHeight="1" x14ac:dyDescent="0.25">
      <c r="A330" s="76" t="str">
        <f>[1]Entregables!C330</f>
        <v>55O1E2</v>
      </c>
      <c r="B330" s="74">
        <f>[1]Entregables!E330</f>
        <v>0.33000001311302185</v>
      </c>
      <c r="C330" s="74">
        <v>0</v>
      </c>
      <c r="D330" s="74">
        <v>1</v>
      </c>
      <c r="E330" s="74">
        <v>0</v>
      </c>
      <c r="F330" s="74">
        <v>0</v>
      </c>
      <c r="G330" s="79"/>
      <c r="H330" s="79"/>
      <c r="I330" s="79"/>
      <c r="J330" s="79"/>
      <c r="K330" s="79"/>
      <c r="L330" s="74"/>
      <c r="M330" s="74"/>
      <c r="N330" s="74"/>
      <c r="O330" s="74"/>
    </row>
    <row r="331" spans="1:15" ht="15.75" customHeight="1" x14ac:dyDescent="0.25">
      <c r="A331" s="76" t="str">
        <f>[1]Entregables!C331</f>
        <v>55O1E3</v>
      </c>
      <c r="B331" s="74">
        <f>[1]Entregables!E331</f>
        <v>0.33000001311302185</v>
      </c>
      <c r="C331" s="74">
        <v>0</v>
      </c>
      <c r="D331" s="74">
        <v>1</v>
      </c>
      <c r="E331" s="74">
        <v>0.5</v>
      </c>
      <c r="F331" s="74">
        <v>0.5</v>
      </c>
      <c r="G331" s="79"/>
      <c r="H331" s="79"/>
      <c r="I331" s="79"/>
      <c r="J331" s="79"/>
      <c r="K331" s="79"/>
      <c r="L331" s="74"/>
      <c r="M331" s="74"/>
      <c r="N331" s="74"/>
      <c r="O331" s="74"/>
    </row>
    <row r="332" spans="1:15" ht="15.75" customHeight="1" x14ac:dyDescent="0.25">
      <c r="A332" s="76" t="str">
        <f>[1]Entregables!C332</f>
        <v>55O2E1</v>
      </c>
      <c r="B332" s="74">
        <f>[1]Entregables!E332</f>
        <v>0.69999998807907104</v>
      </c>
      <c r="C332" s="74">
        <v>0</v>
      </c>
      <c r="D332" s="74">
        <v>1</v>
      </c>
      <c r="E332" s="74">
        <v>0</v>
      </c>
      <c r="F332" s="74">
        <v>0</v>
      </c>
      <c r="G332" s="79"/>
      <c r="H332" s="79"/>
      <c r="I332" s="79"/>
      <c r="J332" s="79"/>
      <c r="K332" s="79"/>
      <c r="L332" s="74"/>
      <c r="M332" s="74"/>
      <c r="N332" s="74"/>
      <c r="O332" s="74"/>
    </row>
    <row r="333" spans="1:15" ht="15.75" customHeight="1" x14ac:dyDescent="0.25">
      <c r="A333" s="76" t="str">
        <f>[1]Entregables!C333</f>
        <v>55O2E2</v>
      </c>
      <c r="B333" s="74">
        <f>[1]Entregables!E333</f>
        <v>0.30000001192092896</v>
      </c>
      <c r="C333" s="74">
        <v>0</v>
      </c>
      <c r="D333" s="74">
        <v>0</v>
      </c>
      <c r="E333" s="74">
        <v>0</v>
      </c>
      <c r="F333" s="74">
        <v>0</v>
      </c>
      <c r="G333" s="79"/>
      <c r="H333" s="79"/>
      <c r="I333" s="79"/>
      <c r="J333" s="79"/>
      <c r="K333" s="79"/>
      <c r="L333" s="74"/>
      <c r="M333" s="74"/>
      <c r="N333" s="74"/>
      <c r="O333" s="74"/>
    </row>
    <row r="334" spans="1:15" ht="15.75" customHeight="1" x14ac:dyDescent="0.25">
      <c r="A334" s="76" t="str">
        <f>[1]Entregables!C334</f>
        <v>56O1E1</v>
      </c>
      <c r="B334" s="74">
        <f>[1]Entregables!E334</f>
        <v>0.5</v>
      </c>
      <c r="C334" s="74">
        <v>0.2</v>
      </c>
      <c r="D334" s="74">
        <v>0.99999998509883903</v>
      </c>
      <c r="E334" s="74">
        <v>0.6</v>
      </c>
      <c r="F334" s="74">
        <v>0.8</v>
      </c>
      <c r="G334" s="79"/>
      <c r="H334" s="79"/>
      <c r="I334" s="79"/>
      <c r="J334" s="79"/>
      <c r="K334" s="79"/>
      <c r="L334" s="74"/>
      <c r="M334" s="74"/>
      <c r="N334" s="74"/>
      <c r="O334" s="74"/>
    </row>
    <row r="335" spans="1:15" ht="15.75" customHeight="1" x14ac:dyDescent="0.25">
      <c r="A335" s="76" t="str">
        <f>[1]Entregables!C335</f>
        <v>56O1E2</v>
      </c>
      <c r="B335" s="74">
        <f>[1]Entregables!E335</f>
        <v>0.5</v>
      </c>
      <c r="C335" s="74">
        <v>0.2</v>
      </c>
      <c r="D335" s="74">
        <v>0.99999998509883903</v>
      </c>
      <c r="E335" s="74">
        <v>0.2</v>
      </c>
      <c r="F335" s="74">
        <v>0.4</v>
      </c>
      <c r="G335" s="79"/>
      <c r="H335" s="79"/>
      <c r="I335" s="79"/>
      <c r="J335" s="79"/>
      <c r="K335" s="79"/>
      <c r="L335" s="74"/>
      <c r="M335" s="74"/>
      <c r="N335" s="74"/>
      <c r="O335" s="74"/>
    </row>
    <row r="336" spans="1:15" ht="15.75" customHeight="1" x14ac:dyDescent="0.25">
      <c r="A336" s="76" t="str">
        <f>[1]Entregables!C336</f>
        <v>56O2E1</v>
      </c>
      <c r="B336" s="74">
        <f>[1]Entregables!E336</f>
        <v>0.5</v>
      </c>
      <c r="C336" s="74">
        <v>0</v>
      </c>
      <c r="D336" s="74">
        <v>1</v>
      </c>
      <c r="E336" s="74">
        <v>0</v>
      </c>
      <c r="F336" s="74">
        <v>0</v>
      </c>
      <c r="G336" s="79"/>
      <c r="H336" s="79"/>
      <c r="I336" s="79"/>
      <c r="J336" s="79"/>
      <c r="K336" s="79"/>
      <c r="L336" s="74"/>
      <c r="M336" s="74"/>
      <c r="N336" s="74"/>
      <c r="O336" s="74"/>
    </row>
    <row r="337" spans="1:15" ht="15.75" customHeight="1" x14ac:dyDescent="0.25">
      <c r="A337" s="76" t="str">
        <f>[1]Entregables!C337</f>
        <v>56O2E2</v>
      </c>
      <c r="B337" s="74">
        <f>[1]Entregables!E337</f>
        <v>0.5</v>
      </c>
      <c r="C337" s="74">
        <v>0</v>
      </c>
      <c r="D337" s="74">
        <v>1</v>
      </c>
      <c r="E337" s="74">
        <v>0.5</v>
      </c>
      <c r="F337" s="74">
        <v>0.5</v>
      </c>
      <c r="G337" s="79"/>
      <c r="H337" s="79"/>
      <c r="I337" s="79"/>
      <c r="J337" s="79"/>
      <c r="K337" s="79"/>
      <c r="L337" s="74"/>
      <c r="M337" s="74"/>
      <c r="N337" s="74"/>
      <c r="O337" s="74"/>
    </row>
    <row r="338" spans="1:15" ht="15.75" customHeight="1" x14ac:dyDescent="0.25">
      <c r="A338" s="76" t="str">
        <f>[1]Entregables!C338</f>
        <v>57O1E1</v>
      </c>
      <c r="B338" s="74">
        <f>[1]Entregables!E338</f>
        <v>0.5</v>
      </c>
      <c r="C338" s="74">
        <v>0.3</v>
      </c>
      <c r="D338" s="74">
        <v>0.99999996026357174</v>
      </c>
      <c r="E338" s="74">
        <v>0.35</v>
      </c>
      <c r="F338" s="74">
        <v>0.64999999999999991</v>
      </c>
      <c r="G338" s="79"/>
      <c r="H338" s="79"/>
      <c r="I338" s="79"/>
      <c r="J338" s="79"/>
      <c r="K338" s="79"/>
      <c r="L338" s="74"/>
      <c r="M338" s="74"/>
      <c r="N338" s="74"/>
      <c r="O338" s="74"/>
    </row>
    <row r="339" spans="1:15" ht="15.75" customHeight="1" x14ac:dyDescent="0.25">
      <c r="A339" s="76" t="str">
        <f>[1]Entregables!C339</f>
        <v>57O1E2</v>
      </c>
      <c r="B339" s="74">
        <f>[1]Entregables!E339</f>
        <v>0.5</v>
      </c>
      <c r="C339" s="74">
        <v>0</v>
      </c>
      <c r="D339" s="74">
        <v>1</v>
      </c>
      <c r="E339" s="74">
        <v>0</v>
      </c>
      <c r="F339" s="74">
        <v>0</v>
      </c>
      <c r="G339" s="79"/>
      <c r="H339" s="79"/>
      <c r="I339" s="79"/>
      <c r="J339" s="79"/>
      <c r="K339" s="79"/>
      <c r="L339" s="74"/>
      <c r="M339" s="74"/>
      <c r="N339" s="74"/>
      <c r="O339" s="74"/>
    </row>
    <row r="340" spans="1:15" ht="15.75" customHeight="1" x14ac:dyDescent="0.25">
      <c r="A340" s="76" t="str">
        <f>[1]Entregables!C340</f>
        <v>57O2E1</v>
      </c>
      <c r="B340" s="74">
        <f>[1]Entregables!E340</f>
        <v>0.5</v>
      </c>
      <c r="C340" s="74">
        <v>0</v>
      </c>
      <c r="D340" s="74">
        <v>0</v>
      </c>
      <c r="E340" s="74">
        <v>0.15</v>
      </c>
      <c r="F340" s="74">
        <v>0.15</v>
      </c>
      <c r="G340" s="79"/>
      <c r="H340" s="79"/>
      <c r="I340" s="79"/>
      <c r="J340" s="79"/>
      <c r="K340" s="79"/>
      <c r="L340" s="74"/>
      <c r="M340" s="74"/>
      <c r="N340" s="74"/>
      <c r="O340" s="74"/>
    </row>
    <row r="341" spans="1:15" ht="15.75" customHeight="1" x14ac:dyDescent="0.25">
      <c r="A341" s="76" t="str">
        <f>[1]Entregables!C341</f>
        <v>57O2E2</v>
      </c>
      <c r="B341" s="74">
        <f>[1]Entregables!E341</f>
        <v>0.5</v>
      </c>
      <c r="C341" s="74">
        <v>0</v>
      </c>
      <c r="D341" s="74">
        <v>1</v>
      </c>
      <c r="E341" s="74">
        <v>1</v>
      </c>
      <c r="F341" s="74">
        <v>1</v>
      </c>
      <c r="G341" s="79"/>
      <c r="H341" s="79"/>
      <c r="I341" s="79"/>
      <c r="J341" s="79"/>
      <c r="K341" s="79"/>
      <c r="L341" s="74"/>
      <c r="M341" s="74"/>
      <c r="N341" s="74"/>
      <c r="O341" s="74"/>
    </row>
    <row r="342" spans="1:15" ht="15.75" customHeight="1" x14ac:dyDescent="0.25">
      <c r="A342" s="76" t="str">
        <f>[1]Entregables!C342</f>
        <v>58O1E1</v>
      </c>
      <c r="B342" s="74">
        <f>[1]Entregables!E342</f>
        <v>0.40000000596046448</v>
      </c>
      <c r="C342" s="74">
        <v>0.2</v>
      </c>
      <c r="D342" s="74">
        <v>0.99999998509883903</v>
      </c>
      <c r="E342" s="74">
        <v>0.4</v>
      </c>
      <c r="F342" s="74">
        <v>0.4</v>
      </c>
      <c r="G342" s="79"/>
      <c r="H342" s="79"/>
      <c r="I342" s="79"/>
      <c r="J342" s="79"/>
      <c r="K342" s="79"/>
      <c r="L342" s="74"/>
      <c r="M342" s="74"/>
      <c r="N342" s="74"/>
      <c r="O342" s="74"/>
    </row>
    <row r="343" spans="1:15" ht="15.75" customHeight="1" x14ac:dyDescent="0.25">
      <c r="A343" s="76" t="str">
        <f>[1]Entregables!C343</f>
        <v>58O1E2</v>
      </c>
      <c r="B343" s="74">
        <f>[1]Entregables!E343</f>
        <v>0.60000002384185791</v>
      </c>
      <c r="C343" s="74">
        <v>0</v>
      </c>
      <c r="D343" s="74">
        <v>0</v>
      </c>
      <c r="E343" s="74">
        <v>0.3</v>
      </c>
      <c r="F343" s="74">
        <v>0.3</v>
      </c>
      <c r="G343" s="79"/>
      <c r="H343" s="79"/>
      <c r="I343" s="79"/>
      <c r="J343" s="79"/>
      <c r="K343" s="79"/>
      <c r="L343" s="74"/>
      <c r="M343" s="74"/>
      <c r="N343" s="74"/>
      <c r="O343" s="74"/>
    </row>
    <row r="344" spans="1:15" ht="15.75" customHeight="1" x14ac:dyDescent="0.25">
      <c r="A344" s="76" t="str">
        <f>[1]Entregables!C344</f>
        <v>58O2E1</v>
      </c>
      <c r="B344" s="74">
        <f>[1]Entregables!E344</f>
        <v>0.5</v>
      </c>
      <c r="C344" s="74">
        <v>0.42</v>
      </c>
      <c r="D344" s="74">
        <v>1</v>
      </c>
      <c r="E344" s="74">
        <v>0.2</v>
      </c>
      <c r="F344" s="74">
        <v>0.2</v>
      </c>
      <c r="G344" s="79"/>
      <c r="H344" s="79"/>
      <c r="I344" s="79"/>
      <c r="J344" s="79"/>
      <c r="K344" s="79"/>
      <c r="L344" s="74"/>
      <c r="M344" s="74"/>
      <c r="N344" s="74"/>
      <c r="O344" s="74"/>
    </row>
    <row r="345" spans="1:15" ht="15.75" customHeight="1" x14ac:dyDescent="0.25">
      <c r="A345" s="76" t="str">
        <f>[1]Entregables!C345</f>
        <v>58O2E2</v>
      </c>
      <c r="B345" s="74">
        <f>[1]Entregables!E345</f>
        <v>0.5</v>
      </c>
      <c r="C345" s="74">
        <v>0.28000000000000003</v>
      </c>
      <c r="D345" s="74">
        <v>0.99999999574252552</v>
      </c>
      <c r="E345" s="74">
        <v>0.61</v>
      </c>
      <c r="F345" s="74">
        <v>0.61</v>
      </c>
      <c r="G345" s="79"/>
      <c r="H345" s="79"/>
      <c r="I345" s="79"/>
      <c r="J345" s="79"/>
      <c r="K345" s="79"/>
      <c r="L345" s="74"/>
      <c r="M345" s="74"/>
      <c r="N345" s="74"/>
      <c r="O345" s="74"/>
    </row>
    <row r="346" spans="1:15" ht="15.75" customHeight="1" x14ac:dyDescent="0.25">
      <c r="A346" s="76" t="str">
        <f>[1]Entregables!C346</f>
        <v>59O1E1</v>
      </c>
      <c r="B346" s="74">
        <f>[1]Entregables!E346</f>
        <v>0.40000000596046448</v>
      </c>
      <c r="C346" s="74">
        <v>0.05</v>
      </c>
      <c r="D346" s="74">
        <v>0.99999998509883903</v>
      </c>
      <c r="E346" s="74">
        <v>0.2</v>
      </c>
      <c r="F346" s="74">
        <v>0.25</v>
      </c>
      <c r="G346" s="79"/>
      <c r="H346" s="79"/>
      <c r="I346" s="79"/>
      <c r="J346" s="79"/>
      <c r="K346" s="79"/>
      <c r="L346" s="74"/>
      <c r="M346" s="74"/>
      <c r="N346" s="74"/>
      <c r="O346" s="74"/>
    </row>
    <row r="347" spans="1:15" ht="15.75" customHeight="1" x14ac:dyDescent="0.25">
      <c r="A347" s="76" t="str">
        <f>[1]Entregables!C347</f>
        <v>59O1E2</v>
      </c>
      <c r="B347" s="74">
        <f>[1]Entregables!E347</f>
        <v>0.30000001192092896</v>
      </c>
      <c r="C347" s="74">
        <v>0</v>
      </c>
      <c r="D347" s="74">
        <v>1</v>
      </c>
      <c r="E347" s="74">
        <v>0.25</v>
      </c>
      <c r="F347" s="74">
        <v>0.25</v>
      </c>
      <c r="G347" s="79"/>
      <c r="H347" s="79"/>
      <c r="I347" s="79"/>
      <c r="J347" s="79"/>
      <c r="K347" s="79"/>
      <c r="L347" s="74"/>
      <c r="M347" s="74"/>
      <c r="N347" s="74"/>
      <c r="O347" s="74"/>
    </row>
    <row r="348" spans="1:15" ht="15.75" customHeight="1" x14ac:dyDescent="0.25">
      <c r="A348" s="76" t="str">
        <f>[1]Entregables!C348</f>
        <v>59O1E3</v>
      </c>
      <c r="B348" s="74">
        <f>[1]Entregables!E348</f>
        <v>0.30000001192092896</v>
      </c>
      <c r="C348" s="74">
        <v>0</v>
      </c>
      <c r="D348" s="74">
        <v>1</v>
      </c>
      <c r="E348" s="74">
        <v>0.1</v>
      </c>
      <c r="F348" s="74">
        <v>0.1</v>
      </c>
      <c r="G348" s="79"/>
      <c r="H348" s="79"/>
      <c r="I348" s="79"/>
      <c r="J348" s="79"/>
      <c r="K348" s="79"/>
      <c r="L348" s="74"/>
      <c r="M348" s="74"/>
      <c r="N348" s="74"/>
      <c r="O348" s="74"/>
    </row>
    <row r="349" spans="1:15" ht="15.75" customHeight="1" x14ac:dyDescent="0.25">
      <c r="A349" s="76" t="str">
        <f>[1]Entregables!C349</f>
        <v>59O2E1</v>
      </c>
      <c r="B349" s="74">
        <f>[1]Entregables!E349</f>
        <v>0.5</v>
      </c>
      <c r="C349" s="74">
        <v>0</v>
      </c>
      <c r="D349" s="74">
        <v>1</v>
      </c>
      <c r="E349" s="74">
        <v>0.2</v>
      </c>
      <c r="F349" s="74">
        <v>0.2</v>
      </c>
      <c r="G349" s="79"/>
      <c r="H349" s="79"/>
      <c r="I349" s="79"/>
      <c r="J349" s="79"/>
      <c r="K349" s="79"/>
      <c r="L349" s="74"/>
      <c r="M349" s="74"/>
      <c r="N349" s="74"/>
      <c r="O349" s="74"/>
    </row>
    <row r="350" spans="1:15" ht="15.75" customHeight="1" x14ac:dyDescent="0.25">
      <c r="A350" s="76" t="str">
        <f>[1]Entregables!C350</f>
        <v>59O2E2</v>
      </c>
      <c r="B350" s="74">
        <f>[1]Entregables!E350</f>
        <v>0.5</v>
      </c>
      <c r="C350" s="74">
        <v>0.05</v>
      </c>
      <c r="D350" s="74">
        <v>0.99999998509883903</v>
      </c>
      <c r="E350" s="74">
        <v>0.2</v>
      </c>
      <c r="F350" s="74">
        <v>0.25</v>
      </c>
      <c r="G350" s="79"/>
      <c r="H350" s="79"/>
      <c r="I350" s="79"/>
      <c r="J350" s="79"/>
      <c r="K350" s="79"/>
      <c r="L350" s="74"/>
      <c r="M350" s="74"/>
      <c r="N350" s="74"/>
      <c r="O350" s="74"/>
    </row>
    <row r="351" spans="1:15" ht="15.75" customHeight="1" x14ac:dyDescent="0.25">
      <c r="A351" s="76" t="str">
        <f>[1]Entregables!C351</f>
        <v>60O1E1</v>
      </c>
      <c r="B351" s="74">
        <f>[1]Entregables!E351</f>
        <v>1</v>
      </c>
      <c r="C351" s="74">
        <v>0.04</v>
      </c>
      <c r="D351" s="74">
        <v>0.79999998807907124</v>
      </c>
      <c r="E351" s="74">
        <v>0.05</v>
      </c>
      <c r="F351" s="74">
        <v>0.09</v>
      </c>
      <c r="G351" s="79"/>
      <c r="H351" s="79"/>
      <c r="I351" s="79"/>
      <c r="J351" s="79"/>
      <c r="K351" s="79"/>
      <c r="L351" s="74"/>
      <c r="M351" s="74"/>
      <c r="N351" s="74"/>
      <c r="O351" s="74"/>
    </row>
    <row r="352" spans="1:15" ht="15.75" customHeight="1" x14ac:dyDescent="0.25">
      <c r="A352" s="76" t="str">
        <f>[1]Entregables!C352</f>
        <v>60O2E1</v>
      </c>
      <c r="B352" s="74">
        <f>[1]Entregables!E352</f>
        <v>1</v>
      </c>
      <c r="C352" s="74">
        <v>0</v>
      </c>
      <c r="D352" s="74">
        <v>1</v>
      </c>
      <c r="E352" s="74">
        <v>0.05</v>
      </c>
      <c r="F352" s="74">
        <v>0.05</v>
      </c>
      <c r="G352" s="79"/>
      <c r="H352" s="79"/>
      <c r="I352" s="79"/>
      <c r="J352" s="79"/>
      <c r="K352" s="79"/>
      <c r="L352" s="74"/>
      <c r="M352" s="74"/>
      <c r="N352" s="74"/>
      <c r="O352" s="74"/>
    </row>
    <row r="353" spans="1:15" ht="15.75" customHeight="1" x14ac:dyDescent="0.25">
      <c r="A353" s="76" t="str">
        <f>[1]Entregables!C353</f>
        <v>60O3E1</v>
      </c>
      <c r="B353" s="74">
        <f>[1]Entregables!E353</f>
        <v>0.40000000596046448</v>
      </c>
      <c r="C353" s="74">
        <v>0.1</v>
      </c>
      <c r="D353" s="74">
        <v>0.99999998509883903</v>
      </c>
      <c r="E353" s="74">
        <v>0.15</v>
      </c>
      <c r="F353" s="74">
        <v>0.25</v>
      </c>
      <c r="G353" s="79"/>
      <c r="H353" s="79"/>
      <c r="I353" s="79"/>
      <c r="J353" s="79"/>
      <c r="K353" s="79"/>
      <c r="L353" s="74"/>
      <c r="M353" s="74"/>
      <c r="N353" s="74"/>
      <c r="O353" s="74"/>
    </row>
    <row r="354" spans="1:15" ht="15.75" customHeight="1" x14ac:dyDescent="0.25">
      <c r="A354" s="76" t="str">
        <f>[1]Entregables!C354</f>
        <v>60O3E2</v>
      </c>
      <c r="B354" s="74">
        <f>[1]Entregables!E354</f>
        <v>0.40000000596046448</v>
      </c>
      <c r="C354" s="74">
        <v>0.08</v>
      </c>
      <c r="D354" s="74">
        <v>0.79999998807907124</v>
      </c>
      <c r="E354" s="74">
        <v>0.2</v>
      </c>
      <c r="F354" s="74">
        <v>0.28000000000000003</v>
      </c>
      <c r="G354" s="79"/>
      <c r="H354" s="79"/>
      <c r="I354" s="79"/>
      <c r="J354" s="79"/>
      <c r="K354" s="79"/>
      <c r="L354" s="74"/>
      <c r="M354" s="74"/>
      <c r="N354" s="74"/>
      <c r="O354" s="74"/>
    </row>
    <row r="355" spans="1:15" ht="15.75" customHeight="1" x14ac:dyDescent="0.25">
      <c r="A355" s="76" t="str">
        <f>[1]Entregables!C355</f>
        <v>60O3E3</v>
      </c>
      <c r="B355" s="74">
        <f>[1]Entregables!E355</f>
        <v>0.20000000298023224</v>
      </c>
      <c r="C355" s="74">
        <v>0.1</v>
      </c>
      <c r="D355" s="74">
        <v>1</v>
      </c>
      <c r="E355" s="74">
        <v>0.4</v>
      </c>
      <c r="F355" s="74">
        <v>0.5</v>
      </c>
      <c r="G355" s="79"/>
      <c r="H355" s="79"/>
      <c r="I355" s="79"/>
      <c r="J355" s="79"/>
      <c r="K355" s="79"/>
      <c r="L355" s="74"/>
      <c r="M355" s="74"/>
      <c r="N355" s="74"/>
      <c r="O355" s="74"/>
    </row>
    <row r="356" spans="1:15" ht="15.75" customHeight="1" x14ac:dyDescent="0.25">
      <c r="A356" s="76" t="str">
        <f>[1]Entregables!C356</f>
        <v>61O1E1</v>
      </c>
      <c r="B356" s="74">
        <f>[1]Entregables!E356</f>
        <v>0.40000000596046448</v>
      </c>
      <c r="C356" s="74">
        <v>0.08</v>
      </c>
      <c r="D356" s="74">
        <v>1</v>
      </c>
      <c r="E356" s="74">
        <v>0.23</v>
      </c>
      <c r="F356" s="74">
        <v>0.31</v>
      </c>
      <c r="G356" s="79"/>
      <c r="H356" s="79"/>
      <c r="I356" s="79"/>
      <c r="J356" s="79"/>
      <c r="K356" s="79"/>
      <c r="L356" s="74"/>
      <c r="M356" s="74"/>
      <c r="N356" s="74"/>
      <c r="O356" s="74"/>
    </row>
    <row r="357" spans="1:15" ht="15.75" customHeight="1" x14ac:dyDescent="0.25">
      <c r="A357" s="76" t="str">
        <f>[1]Entregables!C357</f>
        <v>61O1E2</v>
      </c>
      <c r="B357" s="74">
        <f>[1]Entregables!E357</f>
        <v>0.30000001192092896</v>
      </c>
      <c r="C357" s="74">
        <v>0.15</v>
      </c>
      <c r="D357" s="74">
        <v>1</v>
      </c>
      <c r="E357" s="74">
        <v>0.21</v>
      </c>
      <c r="F357" s="74">
        <v>0.36</v>
      </c>
      <c r="G357" s="79"/>
      <c r="H357" s="79"/>
      <c r="I357" s="79"/>
      <c r="J357" s="79"/>
      <c r="K357" s="79"/>
      <c r="L357" s="74"/>
      <c r="M357" s="74"/>
      <c r="N357" s="74"/>
      <c r="O357" s="74"/>
    </row>
    <row r="358" spans="1:15" ht="15.75" customHeight="1" x14ac:dyDescent="0.25">
      <c r="A358" s="76" t="str">
        <f>[1]Entregables!C358</f>
        <v>61O1E3</v>
      </c>
      <c r="B358" s="74">
        <f>[1]Entregables!E358</f>
        <v>0.30000001192092896</v>
      </c>
      <c r="C358" s="74">
        <v>0.02</v>
      </c>
      <c r="D358" s="74">
        <v>1</v>
      </c>
      <c r="E358" s="74">
        <v>0.17</v>
      </c>
      <c r="F358" s="74">
        <v>0.19</v>
      </c>
      <c r="G358" s="79"/>
      <c r="H358" s="79"/>
      <c r="I358" s="79"/>
      <c r="J358" s="79"/>
      <c r="K358" s="79"/>
      <c r="L358" s="74"/>
      <c r="M358" s="74"/>
      <c r="N358" s="74"/>
      <c r="O358" s="74"/>
    </row>
    <row r="359" spans="1:15" ht="15.75" customHeight="1" x14ac:dyDescent="0.25">
      <c r="A359" s="76" t="str">
        <f>[1]Entregables!C359</f>
        <v>61O2E1</v>
      </c>
      <c r="B359" s="74">
        <f>[1]Entregables!E359</f>
        <v>0.20000000298023224</v>
      </c>
      <c r="C359" s="74">
        <v>0</v>
      </c>
      <c r="D359" s="74">
        <v>1</v>
      </c>
      <c r="E359" s="74">
        <v>0.4</v>
      </c>
      <c r="F359" s="74">
        <v>0.4</v>
      </c>
      <c r="G359" s="79"/>
      <c r="H359" s="79"/>
      <c r="I359" s="79"/>
      <c r="J359" s="79"/>
      <c r="K359" s="79"/>
      <c r="L359" s="74"/>
      <c r="M359" s="74"/>
      <c r="N359" s="74"/>
      <c r="O359" s="74"/>
    </row>
    <row r="360" spans="1:15" ht="15.75" customHeight="1" x14ac:dyDescent="0.25">
      <c r="A360" s="76" t="str">
        <f>[1]Entregables!C360</f>
        <v>61O2E2</v>
      </c>
      <c r="B360" s="74">
        <f>[1]Entregables!E360</f>
        <v>0.20000000298023224</v>
      </c>
      <c r="C360" s="74">
        <v>0.04</v>
      </c>
      <c r="D360" s="74">
        <v>1</v>
      </c>
      <c r="E360" s="74">
        <v>0.2</v>
      </c>
      <c r="F360" s="74">
        <v>0.24000000000000002</v>
      </c>
      <c r="G360" s="79"/>
      <c r="H360" s="79"/>
      <c r="I360" s="79"/>
      <c r="J360" s="79"/>
      <c r="K360" s="79"/>
      <c r="L360" s="74"/>
      <c r="M360" s="74"/>
      <c r="N360" s="74"/>
      <c r="O360" s="74"/>
    </row>
    <row r="361" spans="1:15" ht="15.75" customHeight="1" x14ac:dyDescent="0.25">
      <c r="A361" s="76" t="str">
        <f>[1]Entregables!C361</f>
        <v>61O2E3</v>
      </c>
      <c r="B361" s="74">
        <f>[1]Entregables!E361</f>
        <v>0.20000000298023224</v>
      </c>
      <c r="C361" s="74">
        <v>0.04</v>
      </c>
      <c r="D361" s="74">
        <v>1</v>
      </c>
      <c r="E361" s="74">
        <v>0.24</v>
      </c>
      <c r="F361" s="74">
        <v>0.27999999999999997</v>
      </c>
      <c r="G361" s="79"/>
      <c r="H361" s="79"/>
      <c r="I361" s="79"/>
      <c r="J361" s="79"/>
      <c r="K361" s="79"/>
      <c r="L361" s="74"/>
      <c r="M361" s="74"/>
      <c r="N361" s="74"/>
      <c r="O361" s="74"/>
    </row>
    <row r="362" spans="1:15" ht="15.75" customHeight="1" x14ac:dyDescent="0.25">
      <c r="A362" s="76" t="str">
        <f>[1]Entregables!C362</f>
        <v>61O2E4</v>
      </c>
      <c r="B362" s="74">
        <f>[1]Entregables!E362</f>
        <v>0.10000000149011612</v>
      </c>
      <c r="C362" s="74">
        <v>0</v>
      </c>
      <c r="D362" s="74">
        <v>1</v>
      </c>
      <c r="E362" s="74">
        <v>0.15</v>
      </c>
      <c r="F362" s="74">
        <v>0.15</v>
      </c>
      <c r="G362" s="79"/>
      <c r="H362" s="79"/>
      <c r="I362" s="79"/>
      <c r="J362" s="79"/>
      <c r="K362" s="79"/>
      <c r="L362" s="74"/>
      <c r="M362" s="74"/>
      <c r="N362" s="74"/>
      <c r="O362" s="74"/>
    </row>
    <row r="363" spans="1:15" ht="15.75" customHeight="1" x14ac:dyDescent="0.25">
      <c r="A363" s="76" t="str">
        <f>[1]Entregables!C363</f>
        <v>61O2E5</v>
      </c>
      <c r="B363" s="74">
        <f>[1]Entregables!E363</f>
        <v>0.15000000596046448</v>
      </c>
      <c r="C363" s="74">
        <v>0</v>
      </c>
      <c r="D363" s="74">
        <v>1</v>
      </c>
      <c r="E363" s="74">
        <v>0.25</v>
      </c>
      <c r="F363" s="74">
        <v>0.25</v>
      </c>
      <c r="G363" s="79"/>
      <c r="H363" s="79"/>
      <c r="I363" s="79"/>
      <c r="J363" s="79"/>
      <c r="K363" s="79"/>
      <c r="L363" s="74"/>
      <c r="M363" s="74"/>
      <c r="N363" s="74"/>
      <c r="O363" s="74"/>
    </row>
    <row r="364" spans="1:15" ht="15.75" customHeight="1" x14ac:dyDescent="0.25">
      <c r="A364" s="76" t="str">
        <f>[1]Entregables!C364</f>
        <v>61O2E6</v>
      </c>
      <c r="B364" s="74">
        <f>[1]Entregables!E364</f>
        <v>0.15000000596046448</v>
      </c>
      <c r="C364" s="74">
        <v>0</v>
      </c>
      <c r="D364" s="74">
        <v>1</v>
      </c>
      <c r="E364" s="74">
        <v>0.2</v>
      </c>
      <c r="F364" s="74">
        <v>0.2</v>
      </c>
      <c r="G364" s="79"/>
      <c r="H364" s="79"/>
      <c r="I364" s="79"/>
      <c r="J364" s="79"/>
      <c r="K364" s="79"/>
      <c r="L364" s="74"/>
      <c r="M364" s="74"/>
      <c r="N364" s="74"/>
      <c r="O364" s="74"/>
    </row>
    <row r="365" spans="1:15" ht="15.75" customHeight="1" x14ac:dyDescent="0.25">
      <c r="A365" s="76" t="str">
        <f>[1]Entregables!C365</f>
        <v>61O3E1</v>
      </c>
      <c r="B365" s="74">
        <f>[1]Entregables!E365</f>
        <v>0.5</v>
      </c>
      <c r="C365" s="74">
        <v>0.05</v>
      </c>
      <c r="D365" s="74">
        <v>1</v>
      </c>
      <c r="E365" s="74">
        <v>0.24</v>
      </c>
      <c r="F365" s="74">
        <v>0.28999999999999998</v>
      </c>
      <c r="G365" s="79"/>
      <c r="H365" s="79"/>
      <c r="I365" s="79"/>
      <c r="J365" s="79"/>
      <c r="K365" s="79"/>
      <c r="L365" s="74"/>
      <c r="M365" s="74"/>
      <c r="N365" s="74"/>
      <c r="O365" s="74"/>
    </row>
    <row r="366" spans="1:15" ht="15.75" customHeight="1" x14ac:dyDescent="0.25">
      <c r="A366" s="76" t="str">
        <f>[1]Entregables!C366</f>
        <v>61O3E2</v>
      </c>
      <c r="B366" s="74">
        <f>[1]Entregables!E366</f>
        <v>0.5</v>
      </c>
      <c r="C366" s="74">
        <v>0.05</v>
      </c>
      <c r="D366" s="74">
        <v>1</v>
      </c>
      <c r="E366" s="74">
        <v>0.48</v>
      </c>
      <c r="F366" s="74">
        <v>0.53</v>
      </c>
      <c r="G366" s="79"/>
      <c r="H366" s="79"/>
      <c r="I366" s="79"/>
      <c r="J366" s="79"/>
      <c r="K366" s="79"/>
      <c r="L366" s="74"/>
      <c r="M366" s="74"/>
      <c r="N366" s="74"/>
      <c r="O366" s="74"/>
    </row>
    <row r="367" spans="1:15" ht="15.75" customHeight="1" x14ac:dyDescent="0.25">
      <c r="A367" s="76" t="str">
        <f>[1]Entregables!C367</f>
        <v>61O4E1</v>
      </c>
      <c r="B367" s="74">
        <f>[1]Entregables!E367</f>
        <v>0.60000002384185791</v>
      </c>
      <c r="C367" s="74">
        <v>0.01</v>
      </c>
      <c r="D367" s="74">
        <v>0.12500000279396778</v>
      </c>
      <c r="E367" s="74">
        <v>0.47</v>
      </c>
      <c r="F367" s="74">
        <v>0.48</v>
      </c>
      <c r="G367" s="79"/>
      <c r="H367" s="79"/>
      <c r="I367" s="79"/>
      <c r="J367" s="79"/>
      <c r="K367" s="79"/>
      <c r="L367" s="74"/>
      <c r="M367" s="74"/>
      <c r="N367" s="74"/>
      <c r="O367" s="74"/>
    </row>
    <row r="368" spans="1:15" ht="15.75" customHeight="1" x14ac:dyDescent="0.25">
      <c r="A368" s="76" t="str">
        <f>[1]Entregables!C368</f>
        <v>61O4E2</v>
      </c>
      <c r="B368" s="74">
        <f>[1]Entregables!E368</f>
        <v>0.40000000596046448</v>
      </c>
      <c r="C368" s="74">
        <v>0</v>
      </c>
      <c r="D368" s="74">
        <v>1</v>
      </c>
      <c r="E368" s="74">
        <v>0.25</v>
      </c>
      <c r="F368" s="74">
        <v>0.25</v>
      </c>
      <c r="G368" s="79"/>
      <c r="H368" s="79"/>
      <c r="I368" s="79"/>
      <c r="J368" s="79"/>
      <c r="K368" s="79"/>
      <c r="L368" s="74"/>
      <c r="M368" s="74"/>
      <c r="N368" s="74"/>
      <c r="O368" s="74"/>
    </row>
    <row r="369" spans="1:15" ht="15.75" customHeight="1" x14ac:dyDescent="0.25">
      <c r="A369" s="76" t="str">
        <f>[1]Entregables!C369</f>
        <v>62O1E1</v>
      </c>
      <c r="B369" s="74">
        <f>[1]Entregables!E369</f>
        <v>0.20000000298023224</v>
      </c>
      <c r="C369" s="74">
        <v>0</v>
      </c>
      <c r="D369" s="74">
        <v>1</v>
      </c>
      <c r="E369" s="74">
        <v>1</v>
      </c>
      <c r="F369" s="74">
        <v>1</v>
      </c>
      <c r="G369" s="79"/>
      <c r="H369" s="79"/>
      <c r="I369" s="79"/>
      <c r="J369" s="79"/>
      <c r="K369" s="79"/>
      <c r="L369" s="74"/>
      <c r="M369" s="74"/>
      <c r="N369" s="74"/>
      <c r="O369" s="74"/>
    </row>
    <row r="370" spans="1:15" ht="15.75" customHeight="1" x14ac:dyDescent="0.25">
      <c r="A370" s="76" t="str">
        <f>[1]Entregables!C370</f>
        <v>62O1E2</v>
      </c>
      <c r="B370" s="74">
        <f>[1]Entregables!E370</f>
        <v>0.40000000596046448</v>
      </c>
      <c r="C370" s="74">
        <v>0</v>
      </c>
      <c r="D370" s="74">
        <v>1</v>
      </c>
      <c r="E370" s="74">
        <v>0.02</v>
      </c>
      <c r="F370" s="74">
        <v>0.02</v>
      </c>
      <c r="G370" s="79"/>
      <c r="H370" s="79"/>
      <c r="I370" s="79"/>
      <c r="J370" s="79"/>
      <c r="K370" s="79"/>
      <c r="L370" s="74"/>
      <c r="M370" s="74"/>
      <c r="N370" s="74"/>
      <c r="O370" s="74"/>
    </row>
    <row r="371" spans="1:15" ht="15.75" customHeight="1" x14ac:dyDescent="0.25">
      <c r="A371" s="76" t="str">
        <f>[1]Entregables!C371</f>
        <v>62O1E3</v>
      </c>
      <c r="B371" s="74">
        <f>[1]Entregables!E371</f>
        <v>0.40000000596046448</v>
      </c>
      <c r="C371" s="74">
        <v>0</v>
      </c>
      <c r="D371" s="74">
        <v>1</v>
      </c>
      <c r="E371" s="74">
        <v>0</v>
      </c>
      <c r="F371" s="74">
        <v>0</v>
      </c>
      <c r="G371" s="79"/>
      <c r="H371" s="79"/>
      <c r="I371" s="79"/>
      <c r="J371" s="79"/>
      <c r="K371" s="79"/>
      <c r="L371" s="74"/>
      <c r="M371" s="74"/>
      <c r="N371" s="74"/>
      <c r="O371" s="74"/>
    </row>
    <row r="372" spans="1:15" ht="15.75" customHeight="1" x14ac:dyDescent="0.25">
      <c r="A372" s="76" t="str">
        <f>[1]Entregables!C372</f>
        <v>62O2E1</v>
      </c>
      <c r="B372" s="74">
        <f>[1]Entregables!E372</f>
        <v>0.20000000298023224</v>
      </c>
      <c r="C372" s="74">
        <v>0</v>
      </c>
      <c r="D372" s="74">
        <v>1</v>
      </c>
      <c r="E372" s="74">
        <v>1</v>
      </c>
      <c r="F372" s="74">
        <v>1</v>
      </c>
      <c r="G372" s="79"/>
      <c r="H372" s="79"/>
      <c r="I372" s="79"/>
      <c r="J372" s="79"/>
      <c r="K372" s="79"/>
      <c r="L372" s="74"/>
      <c r="M372" s="74"/>
      <c r="N372" s="74"/>
      <c r="O372" s="74"/>
    </row>
    <row r="373" spans="1:15" ht="15.75" customHeight="1" x14ac:dyDescent="0.25">
      <c r="A373" s="76" t="str">
        <f>[1]Entregables!C373</f>
        <v>62O2E2</v>
      </c>
      <c r="B373" s="74">
        <f>[1]Entregables!E373</f>
        <v>0.40000000596046448</v>
      </c>
      <c r="C373" s="74">
        <v>0</v>
      </c>
      <c r="D373" s="74">
        <v>1</v>
      </c>
      <c r="E373" s="74">
        <v>0.05</v>
      </c>
      <c r="F373" s="74">
        <v>0.05</v>
      </c>
      <c r="G373" s="79"/>
      <c r="H373" s="79"/>
      <c r="I373" s="79"/>
      <c r="J373" s="79"/>
      <c r="K373" s="79"/>
      <c r="L373" s="74"/>
      <c r="M373" s="74"/>
      <c r="N373" s="74"/>
      <c r="O373" s="74"/>
    </row>
    <row r="374" spans="1:15" ht="15.75" customHeight="1" x14ac:dyDescent="0.25">
      <c r="A374" s="76" t="str">
        <f>[1]Entregables!C374</f>
        <v>62O2E3</v>
      </c>
      <c r="B374" s="74">
        <f>[1]Entregables!E374</f>
        <v>0.40000000596046448</v>
      </c>
      <c r="C374" s="74">
        <v>0</v>
      </c>
      <c r="D374" s="74">
        <v>1</v>
      </c>
      <c r="E374" s="74">
        <v>0</v>
      </c>
      <c r="F374" s="74">
        <v>0</v>
      </c>
      <c r="G374" s="79"/>
      <c r="H374" s="79"/>
      <c r="I374" s="79"/>
      <c r="J374" s="79"/>
      <c r="K374" s="79"/>
      <c r="L374" s="74"/>
      <c r="M374" s="74"/>
      <c r="N374" s="74"/>
      <c r="O374" s="74"/>
    </row>
    <row r="375" spans="1:15" ht="15.75" customHeight="1" x14ac:dyDescent="0.25">
      <c r="A375" s="76" t="str">
        <f>[1]Entregables!C375</f>
        <v>62O3E1</v>
      </c>
      <c r="B375" s="74">
        <f>[1]Entregables!E375</f>
        <v>0.30000001192092896</v>
      </c>
      <c r="C375" s="74">
        <v>0</v>
      </c>
      <c r="D375" s="74">
        <v>1</v>
      </c>
      <c r="E375" s="74">
        <v>1</v>
      </c>
      <c r="F375" s="74">
        <v>1</v>
      </c>
      <c r="G375" s="79"/>
      <c r="H375" s="79"/>
      <c r="I375" s="79"/>
      <c r="J375" s="79"/>
      <c r="K375" s="79"/>
      <c r="L375" s="74"/>
      <c r="M375" s="74"/>
      <c r="N375" s="74"/>
      <c r="O375" s="74"/>
    </row>
    <row r="376" spans="1:15" ht="15.75" customHeight="1" x14ac:dyDescent="0.25">
      <c r="A376" s="76" t="str">
        <f>[1]Entregables!C376</f>
        <v>62O3E2</v>
      </c>
      <c r="B376" s="74">
        <f>[1]Entregables!E376</f>
        <v>0.69999998807907104</v>
      </c>
      <c r="C376" s="74">
        <v>0</v>
      </c>
      <c r="D376" s="74">
        <v>1</v>
      </c>
      <c r="E376" s="74">
        <v>0</v>
      </c>
      <c r="F376" s="74">
        <v>0</v>
      </c>
      <c r="G376" s="79"/>
      <c r="H376" s="79"/>
      <c r="I376" s="79"/>
      <c r="J376" s="79"/>
      <c r="K376" s="79"/>
      <c r="L376" s="74"/>
      <c r="M376" s="74"/>
      <c r="N376" s="74"/>
      <c r="O376" s="74"/>
    </row>
    <row r="377" spans="1:15" ht="15.75" customHeight="1" x14ac:dyDescent="0.25">
      <c r="A377" s="76" t="str">
        <f>[1]Entregables!C377</f>
        <v>65O1E1</v>
      </c>
      <c r="B377" s="74">
        <f>[1]Entregables!E377</f>
        <v>0.69999998807907104</v>
      </c>
      <c r="C377" s="74">
        <v>0.1</v>
      </c>
      <c r="D377" s="74">
        <v>0.99999998509883903</v>
      </c>
      <c r="E377" s="74">
        <v>0.2</v>
      </c>
      <c r="F377" s="74">
        <v>0.30000000000000004</v>
      </c>
      <c r="G377" s="79"/>
      <c r="H377" s="79"/>
      <c r="I377" s="79"/>
      <c r="J377" s="79"/>
      <c r="K377" s="79"/>
      <c r="L377" s="74"/>
      <c r="M377" s="74"/>
      <c r="N377" s="74"/>
      <c r="O377" s="74"/>
    </row>
    <row r="378" spans="1:15" ht="15.75" customHeight="1" x14ac:dyDescent="0.25">
      <c r="A378" s="76" t="str">
        <f>[1]Entregables!C378</f>
        <v>65O1E2</v>
      </c>
      <c r="B378" s="74">
        <f>[1]Entregables!E378</f>
        <v>0.30000001192092896</v>
      </c>
      <c r="C378" s="74">
        <v>0.3</v>
      </c>
      <c r="D378" s="74">
        <v>0.6</v>
      </c>
      <c r="E378" s="74">
        <v>0.4</v>
      </c>
      <c r="F378" s="74">
        <v>0.7</v>
      </c>
      <c r="G378" s="79"/>
      <c r="H378" s="79"/>
      <c r="I378" s="79"/>
      <c r="J378" s="79"/>
      <c r="K378" s="79"/>
      <c r="L378" s="74"/>
      <c r="M378" s="74"/>
      <c r="N378" s="74"/>
      <c r="O378" s="74"/>
    </row>
    <row r="379" spans="1:15" ht="15.75" customHeight="1" x14ac:dyDescent="0.25">
      <c r="A379" s="76" t="str">
        <f>[1]Entregables!C379</f>
        <v>65O2E1</v>
      </c>
      <c r="B379" s="74">
        <f>[1]Entregables!E379</f>
        <v>1</v>
      </c>
      <c r="C379" s="74">
        <v>0</v>
      </c>
      <c r="D379" s="74">
        <v>1</v>
      </c>
      <c r="E379" s="74">
        <v>0.25</v>
      </c>
      <c r="F379" s="74">
        <v>0.25</v>
      </c>
      <c r="G379" s="79"/>
      <c r="H379" s="79"/>
      <c r="I379" s="79"/>
      <c r="J379" s="79"/>
      <c r="K379" s="79"/>
      <c r="L379" s="74"/>
      <c r="M379" s="74"/>
      <c r="N379" s="74"/>
      <c r="O379" s="74"/>
    </row>
    <row r="380" spans="1:15" ht="15.75" customHeight="1" x14ac:dyDescent="0.25">
      <c r="A380" s="76" t="str">
        <f>[1]Entregables!C380</f>
        <v>66O1E1</v>
      </c>
      <c r="B380" s="74">
        <f>[1]Entregables!E380</f>
        <v>0.5</v>
      </c>
      <c r="C380" s="74">
        <v>0.1</v>
      </c>
      <c r="D380" s="74">
        <v>0.99999998509883903</v>
      </c>
      <c r="E380" s="74">
        <v>0.35</v>
      </c>
      <c r="F380" s="74">
        <v>0.44999999999999996</v>
      </c>
      <c r="G380" s="79"/>
      <c r="H380" s="79"/>
      <c r="I380" s="79"/>
      <c r="J380" s="79"/>
      <c r="K380" s="79"/>
      <c r="L380" s="74"/>
      <c r="M380" s="74"/>
      <c r="N380" s="74"/>
      <c r="O380" s="74"/>
    </row>
    <row r="381" spans="1:15" ht="15.75" customHeight="1" x14ac:dyDescent="0.25">
      <c r="A381" s="76" t="str">
        <f>[1]Entregables!C381</f>
        <v>66O1E2</v>
      </c>
      <c r="B381" s="74">
        <f>[1]Entregables!E381</f>
        <v>0.5</v>
      </c>
      <c r="C381" s="74">
        <v>0</v>
      </c>
      <c r="D381" s="74">
        <v>1</v>
      </c>
      <c r="E381" s="74">
        <v>0.2</v>
      </c>
      <c r="F381" s="74">
        <v>0.2</v>
      </c>
      <c r="G381" s="79"/>
      <c r="H381" s="79"/>
      <c r="I381" s="79"/>
      <c r="J381" s="79"/>
      <c r="K381" s="79"/>
      <c r="L381" s="74"/>
      <c r="M381" s="74"/>
      <c r="N381" s="74"/>
      <c r="O381" s="74"/>
    </row>
    <row r="382" spans="1:15" ht="15.75" customHeight="1" x14ac:dyDescent="0.25">
      <c r="A382" s="76" t="str">
        <f>[1]Entregables!C382</f>
        <v>66O2E1</v>
      </c>
      <c r="B382" s="74">
        <f>[1]Entregables!E382</f>
        <v>1</v>
      </c>
      <c r="C382" s="74">
        <v>0</v>
      </c>
      <c r="D382" s="74">
        <v>1</v>
      </c>
      <c r="E382" s="74">
        <v>0.3</v>
      </c>
      <c r="F382" s="74">
        <v>0.3</v>
      </c>
      <c r="G382" s="79"/>
      <c r="H382" s="79"/>
      <c r="I382" s="79"/>
      <c r="J382" s="79"/>
      <c r="K382" s="79"/>
      <c r="L382" s="74"/>
      <c r="M382" s="74"/>
      <c r="N382" s="74"/>
      <c r="O382" s="74"/>
    </row>
    <row r="383" spans="1:15" ht="15.75" customHeight="1" x14ac:dyDescent="0.25">
      <c r="A383" s="76" t="str">
        <f>[1]Entregables!C383</f>
        <v>3O1E1</v>
      </c>
      <c r="B383" s="74">
        <f>[1]Entregables!E383</f>
        <v>1</v>
      </c>
      <c r="C383" s="74">
        <v>0.05</v>
      </c>
      <c r="D383" s="74">
        <v>0.99999998509883903</v>
      </c>
      <c r="E383" s="74">
        <v>0.2</v>
      </c>
      <c r="F383" s="74">
        <v>0.25</v>
      </c>
      <c r="G383" s="79"/>
      <c r="H383" s="79"/>
      <c r="I383" s="79"/>
      <c r="J383" s="79"/>
      <c r="K383" s="79"/>
      <c r="L383" s="74"/>
      <c r="M383" s="74"/>
      <c r="N383" s="74"/>
      <c r="O383" s="74"/>
    </row>
    <row r="384" spans="1:15" ht="15.75" customHeight="1" x14ac:dyDescent="0.25">
      <c r="A384" s="76" t="str">
        <f>[1]Entregables!C384</f>
        <v>3O2E1</v>
      </c>
      <c r="B384" s="74">
        <f>[1]Entregables!E384</f>
        <v>1</v>
      </c>
      <c r="C384" s="74">
        <v>0.05</v>
      </c>
      <c r="D384" s="74">
        <v>0.99999998509883903</v>
      </c>
      <c r="E384" s="74">
        <v>0.2</v>
      </c>
      <c r="F384" s="74">
        <v>0.25</v>
      </c>
      <c r="G384" s="79"/>
      <c r="H384" s="79"/>
      <c r="I384" s="79"/>
      <c r="J384" s="79"/>
      <c r="K384" s="79"/>
      <c r="L384" s="74"/>
      <c r="M384" s="74"/>
      <c r="N384" s="74"/>
      <c r="O384" s="74"/>
    </row>
    <row r="385" spans="1:15" ht="15.75" customHeight="1" x14ac:dyDescent="0.25">
      <c r="A385" s="76" t="str">
        <f>[1]Entregables!C385</f>
        <v>3O3E1</v>
      </c>
      <c r="B385" s="74">
        <f>[1]Entregables!E385</f>
        <v>0.33329999446868896</v>
      </c>
      <c r="C385" s="74">
        <v>0.15</v>
      </c>
      <c r="D385" s="74">
        <v>0.99999996026357174</v>
      </c>
      <c r="E385" s="74">
        <v>0.2</v>
      </c>
      <c r="F385" s="74">
        <v>0.35</v>
      </c>
      <c r="G385" s="79"/>
      <c r="H385" s="79"/>
      <c r="I385" s="79"/>
      <c r="J385" s="79"/>
      <c r="K385" s="79"/>
      <c r="L385" s="74"/>
      <c r="M385" s="74"/>
      <c r="N385" s="74"/>
      <c r="O385" s="74"/>
    </row>
    <row r="386" spans="1:15" ht="15.75" customHeight="1" x14ac:dyDescent="0.25">
      <c r="A386" s="76" t="str">
        <f>[1]Entregables!C386</f>
        <v>3O3E2</v>
      </c>
      <c r="B386" s="74">
        <f>[1]Entregables!E386</f>
        <v>0.33329999446868896</v>
      </c>
      <c r="C386" s="74">
        <v>0</v>
      </c>
      <c r="D386" s="74">
        <v>0</v>
      </c>
      <c r="E386" s="74">
        <v>0.25</v>
      </c>
      <c r="F386" s="74">
        <v>0.25</v>
      </c>
      <c r="G386" s="79"/>
      <c r="H386" s="79"/>
      <c r="I386" s="79"/>
      <c r="J386" s="79"/>
      <c r="K386" s="79"/>
      <c r="L386" s="74"/>
      <c r="M386" s="74"/>
      <c r="N386" s="74"/>
      <c r="O386" s="74"/>
    </row>
    <row r="387" spans="1:15" ht="15.75" customHeight="1" x14ac:dyDescent="0.25">
      <c r="A387" s="76" t="str">
        <f>[1]Entregables!C387</f>
        <v>3O3E3</v>
      </c>
      <c r="B387" s="74">
        <f>[1]Entregables!E387</f>
        <v>0.33329999446868896</v>
      </c>
      <c r="C387" s="74">
        <v>0</v>
      </c>
      <c r="D387" s="74">
        <v>0</v>
      </c>
      <c r="E387" s="74">
        <v>0.25</v>
      </c>
      <c r="F387" s="74">
        <v>0.25</v>
      </c>
      <c r="G387" s="79"/>
      <c r="H387" s="79"/>
      <c r="I387" s="79"/>
      <c r="J387" s="79"/>
      <c r="K387" s="79"/>
      <c r="L387" s="74"/>
      <c r="M387" s="74"/>
      <c r="N387" s="74"/>
      <c r="O387" s="74"/>
    </row>
    <row r="388" spans="1:15" ht="15.75" customHeight="1" x14ac:dyDescent="0.25">
      <c r="A388" s="76" t="str">
        <f>[1]Entregables!C388</f>
        <v>21O1E1</v>
      </c>
      <c r="B388" s="74">
        <f>[1]Entregables!E388</f>
        <v>0.5</v>
      </c>
      <c r="C388" s="74">
        <v>0</v>
      </c>
      <c r="D388" s="74">
        <v>1</v>
      </c>
      <c r="E388" s="74">
        <v>0.25</v>
      </c>
      <c r="F388" s="74">
        <v>0.25</v>
      </c>
      <c r="G388" s="79"/>
      <c r="H388" s="79"/>
      <c r="I388" s="79"/>
      <c r="J388" s="79"/>
      <c r="K388" s="79"/>
      <c r="L388" s="74"/>
      <c r="M388" s="74"/>
      <c r="N388" s="74"/>
      <c r="O388" s="74"/>
    </row>
    <row r="389" spans="1:15" ht="15.75" customHeight="1" x14ac:dyDescent="0.25">
      <c r="A389" s="76" t="str">
        <f>[1]Entregables!C389</f>
        <v>21O1E2</v>
      </c>
      <c r="B389" s="74">
        <f>[1]Entregables!E389</f>
        <v>0.5</v>
      </c>
      <c r="C389" s="74">
        <v>0.3</v>
      </c>
      <c r="D389" s="74">
        <v>0.99999996026357174</v>
      </c>
      <c r="E389" s="74">
        <v>0.65</v>
      </c>
      <c r="F389" s="74">
        <v>0.95</v>
      </c>
      <c r="G389" s="79"/>
      <c r="H389" s="79"/>
      <c r="I389" s="79"/>
      <c r="J389" s="79"/>
      <c r="K389" s="79"/>
      <c r="L389" s="74"/>
      <c r="M389" s="74"/>
      <c r="N389" s="74"/>
      <c r="O389" s="74"/>
    </row>
    <row r="390" spans="1:15" ht="15.75" customHeight="1" x14ac:dyDescent="0.25">
      <c r="A390" s="76" t="str">
        <f>[1]Entregables!C390</f>
        <v>21O2E1</v>
      </c>
      <c r="B390" s="74">
        <f>[1]Entregables!E390</f>
        <v>1</v>
      </c>
      <c r="C390" s="74">
        <v>0.1</v>
      </c>
      <c r="D390" s="74">
        <v>0.99999998509883903</v>
      </c>
      <c r="E390" s="74">
        <v>0.4</v>
      </c>
      <c r="F390" s="74">
        <v>0.5</v>
      </c>
      <c r="G390" s="79"/>
      <c r="H390" s="79"/>
      <c r="I390" s="79"/>
      <c r="J390" s="79"/>
      <c r="K390" s="79"/>
      <c r="L390" s="74"/>
      <c r="M390" s="74"/>
      <c r="N390" s="74"/>
      <c r="O390" s="74"/>
    </row>
    <row r="391" spans="1:15" ht="15.75" customHeight="1" x14ac:dyDescent="0.25">
      <c r="A391" s="76" t="str">
        <f>[1]Entregables!C391</f>
        <v>21O3E1</v>
      </c>
      <c r="B391" s="74">
        <f>[1]Entregables!E391</f>
        <v>0.69999998807907104</v>
      </c>
      <c r="C391" s="74">
        <v>0.1</v>
      </c>
      <c r="D391" s="74">
        <v>1</v>
      </c>
      <c r="E391" s="74">
        <v>0.22</v>
      </c>
      <c r="F391" s="74">
        <v>0.32</v>
      </c>
      <c r="G391" s="79"/>
      <c r="H391" s="79"/>
      <c r="I391" s="79"/>
      <c r="J391" s="79"/>
      <c r="K391" s="79"/>
      <c r="L391" s="74"/>
      <c r="M391" s="74"/>
      <c r="N391" s="74"/>
      <c r="O391" s="74"/>
    </row>
    <row r="392" spans="1:15" ht="15.75" customHeight="1" x14ac:dyDescent="0.25">
      <c r="A392" s="76" t="str">
        <f>[1]Entregables!C392</f>
        <v>21O3E2</v>
      </c>
      <c r="B392" s="74">
        <f>[1]Entregables!E392</f>
        <v>0.30000001192092896</v>
      </c>
      <c r="C392" s="74">
        <v>0.1</v>
      </c>
      <c r="D392" s="74">
        <v>1</v>
      </c>
      <c r="E392" s="74">
        <v>0.22</v>
      </c>
      <c r="F392" s="74">
        <v>0.32</v>
      </c>
      <c r="G392" s="79"/>
      <c r="H392" s="79"/>
      <c r="I392" s="79"/>
      <c r="J392" s="79"/>
      <c r="K392" s="79"/>
      <c r="L392" s="74"/>
      <c r="M392" s="74"/>
      <c r="N392" s="74"/>
      <c r="O392" s="74"/>
    </row>
    <row r="393" spans="1:15" ht="15.75" customHeight="1" x14ac:dyDescent="0.25">
      <c r="A393" s="76" t="str">
        <f>[1]Entregables!C393</f>
        <v>22O1E1</v>
      </c>
      <c r="B393" s="74">
        <f>[1]Entregables!E393</f>
        <v>0.2</v>
      </c>
      <c r="C393" s="74">
        <v>0.05</v>
      </c>
      <c r="D393" s="74">
        <v>1</v>
      </c>
      <c r="E393" s="74">
        <v>0.2</v>
      </c>
      <c r="F393" s="74">
        <v>0.25</v>
      </c>
      <c r="G393" s="79"/>
      <c r="H393" s="79"/>
      <c r="I393" s="79"/>
      <c r="J393" s="79"/>
      <c r="K393" s="79"/>
      <c r="L393" s="74"/>
      <c r="M393" s="74"/>
      <c r="N393" s="74"/>
      <c r="O393" s="74"/>
    </row>
    <row r="394" spans="1:15" ht="15.75" customHeight="1" x14ac:dyDescent="0.25">
      <c r="A394" s="76" t="str">
        <f>[1]Entregables!C394</f>
        <v>22O1E2</v>
      </c>
      <c r="B394" s="74">
        <f>[1]Entregables!E394</f>
        <v>0.2</v>
      </c>
      <c r="C394" s="74">
        <v>0</v>
      </c>
      <c r="D394" s="74">
        <v>1</v>
      </c>
      <c r="E394" s="74">
        <v>0.1</v>
      </c>
      <c r="F394" s="74">
        <v>0.1</v>
      </c>
      <c r="G394" s="79"/>
      <c r="H394" s="79"/>
      <c r="I394" s="79"/>
      <c r="J394" s="79"/>
      <c r="K394" s="79"/>
      <c r="L394" s="74"/>
      <c r="M394" s="74"/>
      <c r="N394" s="74"/>
      <c r="O394" s="74"/>
    </row>
    <row r="395" spans="1:15" ht="15.75" customHeight="1" x14ac:dyDescent="0.25">
      <c r="A395" s="76" t="str">
        <f>[1]Entregables!C395</f>
        <v>22O1E3</v>
      </c>
      <c r="B395" s="74">
        <f>[1]Entregables!E395</f>
        <v>0.2</v>
      </c>
      <c r="C395" s="74">
        <v>0</v>
      </c>
      <c r="D395" s="74">
        <v>1</v>
      </c>
      <c r="E395" s="74">
        <v>0</v>
      </c>
      <c r="F395" s="74">
        <v>0</v>
      </c>
      <c r="G395" s="79"/>
      <c r="H395" s="79"/>
      <c r="I395" s="79"/>
      <c r="J395" s="79"/>
      <c r="K395" s="79"/>
      <c r="L395" s="74"/>
      <c r="M395" s="74"/>
      <c r="N395" s="74"/>
      <c r="O395" s="74"/>
    </row>
    <row r="396" spans="1:15" ht="15.75" customHeight="1" x14ac:dyDescent="0.25">
      <c r="A396" s="76" t="str">
        <f>[1]Entregables!C396</f>
        <v>22O1E4</v>
      </c>
      <c r="B396" s="74">
        <f>[1]Entregables!E396</f>
        <v>0.4</v>
      </c>
      <c r="C396" s="74">
        <v>0</v>
      </c>
      <c r="D396" s="74">
        <v>1</v>
      </c>
      <c r="E396" s="74">
        <v>0.1</v>
      </c>
      <c r="F396" s="74">
        <v>0.1</v>
      </c>
      <c r="G396" s="79"/>
      <c r="H396" s="79"/>
      <c r="I396" s="79"/>
      <c r="J396" s="79"/>
      <c r="K396" s="79"/>
      <c r="L396" s="74"/>
      <c r="M396" s="74"/>
      <c r="N396" s="74"/>
      <c r="O396" s="74"/>
    </row>
    <row r="397" spans="1:15" ht="15.75" customHeight="1" x14ac:dyDescent="0.25">
      <c r="A397" s="76" t="str">
        <f>[1]Entregables!C397</f>
        <v>22O2E1</v>
      </c>
      <c r="B397" s="74">
        <f>[1]Entregables!E397</f>
        <v>0.4</v>
      </c>
      <c r="C397" s="74">
        <v>0.05</v>
      </c>
      <c r="D397" s="74">
        <v>1</v>
      </c>
      <c r="E397" s="74">
        <v>0.2</v>
      </c>
      <c r="F397" s="74">
        <v>0.25</v>
      </c>
      <c r="G397" s="79"/>
      <c r="H397" s="79"/>
      <c r="I397" s="79"/>
      <c r="J397" s="79"/>
      <c r="K397" s="79"/>
      <c r="L397" s="74"/>
      <c r="M397" s="74"/>
      <c r="N397" s="74"/>
      <c r="O397" s="74"/>
    </row>
    <row r="398" spans="1:15" ht="15.75" customHeight="1" x14ac:dyDescent="0.25">
      <c r="A398" s="76" t="str">
        <f>[1]Entregables!C398</f>
        <v>22O2E2</v>
      </c>
      <c r="B398" s="74">
        <f>[1]Entregables!E398</f>
        <v>0.3</v>
      </c>
      <c r="C398" s="74">
        <v>0</v>
      </c>
      <c r="D398" s="74">
        <v>1</v>
      </c>
      <c r="E398" s="74">
        <v>0.15</v>
      </c>
      <c r="F398" s="74">
        <v>0.15</v>
      </c>
      <c r="G398" s="79"/>
      <c r="H398" s="79"/>
      <c r="I398" s="79"/>
      <c r="J398" s="79"/>
      <c r="K398" s="79"/>
      <c r="L398" s="74"/>
      <c r="M398" s="74"/>
      <c r="N398" s="74"/>
      <c r="O398" s="74"/>
    </row>
    <row r="399" spans="1:15" ht="15.75" customHeight="1" x14ac:dyDescent="0.25">
      <c r="A399" s="76" t="str">
        <f>[1]Entregables!C399</f>
        <v>22O2E3</v>
      </c>
      <c r="B399" s="74">
        <f>[1]Entregables!E399</f>
        <v>0.3</v>
      </c>
      <c r="C399" s="74">
        <v>0</v>
      </c>
      <c r="D399" s="74">
        <v>1</v>
      </c>
      <c r="E399" s="74">
        <v>0.1</v>
      </c>
      <c r="F399" s="74">
        <v>0.1</v>
      </c>
      <c r="G399" s="79"/>
      <c r="H399" s="79"/>
      <c r="I399" s="79"/>
      <c r="J399" s="79"/>
      <c r="K399" s="79"/>
      <c r="L399" s="74"/>
      <c r="M399" s="74"/>
      <c r="N399" s="74"/>
      <c r="O399" s="74"/>
    </row>
    <row r="400" spans="1:15" ht="15.75" customHeight="1" x14ac:dyDescent="0.25">
      <c r="A400" s="76" t="str">
        <f>[1]Entregables!C400</f>
        <v>22O3E1</v>
      </c>
      <c r="B400" s="74">
        <f>[1]Entregables!E400</f>
        <v>0.2</v>
      </c>
      <c r="C400" s="74">
        <v>0.25</v>
      </c>
      <c r="D400" s="74">
        <v>1</v>
      </c>
      <c r="E400" s="74">
        <v>0.4</v>
      </c>
      <c r="F400" s="74">
        <v>0.65</v>
      </c>
      <c r="G400" s="79"/>
      <c r="H400" s="79"/>
      <c r="I400" s="79"/>
      <c r="J400" s="79"/>
      <c r="K400" s="79"/>
      <c r="L400" s="74"/>
      <c r="M400" s="74"/>
      <c r="N400" s="74"/>
      <c r="O400" s="74"/>
    </row>
    <row r="401" spans="1:15" ht="15.75" customHeight="1" x14ac:dyDescent="0.25">
      <c r="A401" s="76" t="str">
        <f>[1]Entregables!C401</f>
        <v>22O3E2</v>
      </c>
      <c r="B401" s="74">
        <f>[1]Entregables!E401</f>
        <v>0.2</v>
      </c>
      <c r="C401" s="74">
        <v>0.15</v>
      </c>
      <c r="D401" s="74">
        <v>1</v>
      </c>
      <c r="E401" s="74">
        <v>0.15</v>
      </c>
      <c r="F401" s="74">
        <v>0.3</v>
      </c>
      <c r="G401" s="79"/>
      <c r="H401" s="79"/>
      <c r="I401" s="79"/>
      <c r="J401" s="79"/>
      <c r="K401" s="79"/>
      <c r="L401" s="74"/>
      <c r="M401" s="74"/>
      <c r="N401" s="74"/>
      <c r="O401" s="74"/>
    </row>
    <row r="402" spans="1:15" ht="15.75" customHeight="1" x14ac:dyDescent="0.25">
      <c r="A402" s="76" t="str">
        <f>[1]Entregables!C402</f>
        <v>22O3E3</v>
      </c>
      <c r="B402" s="74">
        <f>[1]Entregables!E402</f>
        <v>0.3</v>
      </c>
      <c r="C402" s="74">
        <v>0</v>
      </c>
      <c r="D402" s="74">
        <v>1</v>
      </c>
      <c r="E402" s="74">
        <v>0</v>
      </c>
      <c r="F402" s="74">
        <v>0</v>
      </c>
      <c r="G402" s="79"/>
      <c r="H402" s="79"/>
      <c r="I402" s="79"/>
      <c r="J402" s="79"/>
      <c r="K402" s="79"/>
      <c r="L402" s="74"/>
      <c r="M402" s="74"/>
      <c r="N402" s="74"/>
      <c r="O402" s="74"/>
    </row>
    <row r="403" spans="1:15" ht="15.75" customHeight="1" x14ac:dyDescent="0.25">
      <c r="A403" s="76" t="str">
        <f>[1]Entregables!C403</f>
        <v>22O3E4</v>
      </c>
      <c r="B403" s="74">
        <f>[1]Entregables!E403</f>
        <v>0.3</v>
      </c>
      <c r="C403" s="74">
        <v>0</v>
      </c>
      <c r="D403" s="74">
        <v>1</v>
      </c>
      <c r="E403" s="74">
        <v>0.1</v>
      </c>
      <c r="F403" s="74">
        <v>0.1</v>
      </c>
      <c r="G403" s="79"/>
      <c r="H403" s="79"/>
      <c r="I403" s="79"/>
      <c r="J403" s="79"/>
      <c r="K403" s="79"/>
      <c r="L403" s="74"/>
      <c r="M403" s="74"/>
      <c r="N403" s="74"/>
      <c r="O403" s="74"/>
    </row>
    <row r="404" spans="1:15" ht="15.75" customHeight="1" x14ac:dyDescent="0.25">
      <c r="A404" s="76" t="str">
        <f>[1]Entregables!C404</f>
        <v>22O4E1</v>
      </c>
      <c r="B404" s="74">
        <f>[1]Entregables!E404</f>
        <v>0.25</v>
      </c>
      <c r="C404" s="74">
        <v>0.05</v>
      </c>
      <c r="D404" s="74">
        <v>1</v>
      </c>
      <c r="E404" s="74">
        <v>0.2</v>
      </c>
      <c r="F404" s="74">
        <v>0.25</v>
      </c>
      <c r="G404" s="79"/>
      <c r="H404" s="79"/>
      <c r="I404" s="79"/>
      <c r="J404" s="79"/>
      <c r="K404" s="79"/>
      <c r="L404" s="74"/>
      <c r="M404" s="74"/>
      <c r="N404" s="74"/>
      <c r="O404" s="74"/>
    </row>
    <row r="405" spans="1:15" ht="15.75" customHeight="1" x14ac:dyDescent="0.25">
      <c r="A405" s="76" t="str">
        <f>[1]Entregables!C405</f>
        <v>22O4E2</v>
      </c>
      <c r="B405" s="74">
        <f>[1]Entregables!E405</f>
        <v>0.25</v>
      </c>
      <c r="C405" s="74">
        <v>0</v>
      </c>
      <c r="D405" s="74">
        <v>1</v>
      </c>
      <c r="E405" s="74">
        <v>0.25</v>
      </c>
      <c r="F405" s="74">
        <v>0.25</v>
      </c>
      <c r="G405" s="79"/>
      <c r="H405" s="79"/>
      <c r="I405" s="79"/>
      <c r="J405" s="79"/>
      <c r="K405" s="79"/>
      <c r="L405" s="74"/>
      <c r="M405" s="74"/>
      <c r="N405" s="74"/>
      <c r="O405" s="74"/>
    </row>
    <row r="406" spans="1:15" ht="15.75" customHeight="1" x14ac:dyDescent="0.25">
      <c r="A406" s="76" t="str">
        <f>[1]Entregables!C406</f>
        <v>22O4E3</v>
      </c>
      <c r="B406" s="74">
        <f>[1]Entregables!E406</f>
        <v>0.25</v>
      </c>
      <c r="C406" s="74">
        <v>0</v>
      </c>
      <c r="D406" s="74">
        <v>1</v>
      </c>
      <c r="E406" s="74">
        <v>0.25</v>
      </c>
      <c r="F406" s="74">
        <v>0.25</v>
      </c>
      <c r="G406" s="79"/>
      <c r="H406" s="79"/>
      <c r="I406" s="79"/>
      <c r="J406" s="79"/>
      <c r="K406" s="79"/>
      <c r="L406" s="74"/>
      <c r="M406" s="74"/>
      <c r="N406" s="74"/>
      <c r="O406" s="74"/>
    </row>
    <row r="407" spans="1:15" ht="15.75" customHeight="1" x14ac:dyDescent="0.25">
      <c r="A407" s="76" t="str">
        <f>[1]Entregables!C407</f>
        <v>22O4E4</v>
      </c>
      <c r="B407" s="74">
        <f>[1]Entregables!E407</f>
        <v>0.25</v>
      </c>
      <c r="C407" s="74">
        <v>0</v>
      </c>
      <c r="D407" s="74">
        <v>1</v>
      </c>
      <c r="E407" s="74">
        <v>0.1</v>
      </c>
      <c r="F407" s="74">
        <v>0.1</v>
      </c>
      <c r="G407" s="79"/>
      <c r="H407" s="79"/>
      <c r="I407" s="79"/>
      <c r="J407" s="79"/>
      <c r="K407" s="79"/>
      <c r="L407" s="74"/>
      <c r="M407" s="74"/>
      <c r="N407" s="74"/>
      <c r="O407" s="74"/>
    </row>
    <row r="408" spans="1:15" ht="15.75" customHeight="1" x14ac:dyDescent="0.25">
      <c r="A408" s="76" t="str">
        <f>[1]Entregables!C408</f>
        <v>22O5E1</v>
      </c>
      <c r="B408" s="74">
        <f>[1]Entregables!E408</f>
        <v>0.3</v>
      </c>
      <c r="C408" s="74">
        <v>0.15</v>
      </c>
      <c r="D408" s="74">
        <v>1</v>
      </c>
      <c r="E408" s="74">
        <v>0.2</v>
      </c>
      <c r="F408" s="74">
        <v>0.35</v>
      </c>
      <c r="G408" s="79"/>
      <c r="H408" s="79"/>
      <c r="I408" s="79"/>
      <c r="J408" s="79"/>
      <c r="K408" s="79"/>
      <c r="L408" s="74"/>
      <c r="M408" s="74"/>
      <c r="N408" s="74"/>
      <c r="O408" s="74"/>
    </row>
    <row r="409" spans="1:15" ht="15.75" customHeight="1" x14ac:dyDescent="0.25">
      <c r="A409" s="76" t="str">
        <f>[1]Entregables!C409</f>
        <v>22O5E2</v>
      </c>
      <c r="B409" s="74">
        <f>[1]Entregables!E409</f>
        <v>0.3</v>
      </c>
      <c r="C409" s="74">
        <v>0.05</v>
      </c>
      <c r="D409" s="74">
        <v>1</v>
      </c>
      <c r="E409" s="74">
        <v>0.2</v>
      </c>
      <c r="F409" s="74">
        <v>0.25</v>
      </c>
      <c r="G409" s="79"/>
      <c r="H409" s="79"/>
      <c r="I409" s="79"/>
      <c r="J409" s="79"/>
      <c r="K409" s="79"/>
      <c r="L409" s="74"/>
      <c r="M409" s="74"/>
      <c r="N409" s="74"/>
      <c r="O409" s="74"/>
    </row>
    <row r="410" spans="1:15" ht="15.75" customHeight="1" x14ac:dyDescent="0.25">
      <c r="A410" s="76" t="str">
        <f>[1]Entregables!C410</f>
        <v>22O5E3</v>
      </c>
      <c r="B410" s="74">
        <f>[1]Entregables!E410</f>
        <v>0.2</v>
      </c>
      <c r="C410" s="74">
        <v>0.05</v>
      </c>
      <c r="D410" s="74">
        <v>1</v>
      </c>
      <c r="E410" s="74">
        <v>0.2</v>
      </c>
      <c r="F410" s="74">
        <v>0.25</v>
      </c>
      <c r="G410" s="79"/>
      <c r="H410" s="79"/>
      <c r="I410" s="79"/>
      <c r="J410" s="79"/>
      <c r="K410" s="79"/>
      <c r="L410" s="74"/>
      <c r="M410" s="74"/>
      <c r="N410" s="74"/>
      <c r="O410" s="74"/>
    </row>
    <row r="411" spans="1:15" ht="15.75" customHeight="1" x14ac:dyDescent="0.25">
      <c r="A411" s="76" t="str">
        <f>[1]Entregables!C411</f>
        <v>22O5E4</v>
      </c>
      <c r="B411" s="74">
        <f>[1]Entregables!E411</f>
        <v>0.1</v>
      </c>
      <c r="C411" s="74"/>
      <c r="D411" s="74">
        <v>1</v>
      </c>
      <c r="E411" s="74">
        <v>0.1</v>
      </c>
      <c r="F411" s="74">
        <v>0.1</v>
      </c>
      <c r="G411" s="79"/>
      <c r="H411" s="79"/>
      <c r="I411" s="79"/>
      <c r="J411" s="79"/>
      <c r="K411" s="79"/>
      <c r="L411" s="74"/>
      <c r="M411" s="74"/>
      <c r="N411" s="74"/>
      <c r="O411" s="74"/>
    </row>
    <row r="412" spans="1:15" ht="15.75" customHeight="1" x14ac:dyDescent="0.25">
      <c r="A412" s="76" t="str">
        <f>[1]Entregables!C412</f>
        <v>22O5E5</v>
      </c>
      <c r="B412" s="74">
        <f>[1]Entregables!E412</f>
        <v>0.1</v>
      </c>
      <c r="C412" s="74">
        <v>0.05</v>
      </c>
      <c r="D412" s="74">
        <v>1</v>
      </c>
      <c r="E412" s="74">
        <v>0.1</v>
      </c>
      <c r="F412" s="74">
        <v>0.15000000000000002</v>
      </c>
      <c r="G412" s="79"/>
      <c r="H412" s="79"/>
      <c r="I412" s="79"/>
      <c r="J412" s="79"/>
      <c r="K412" s="79"/>
      <c r="L412" s="74"/>
      <c r="M412" s="74"/>
      <c r="N412" s="74"/>
      <c r="O412" s="74"/>
    </row>
    <row r="413" spans="1:15" ht="15.75" customHeight="1" x14ac:dyDescent="0.25">
      <c r="A413" s="76" t="str">
        <f>[1]Entregables!C413</f>
        <v>26O1E1</v>
      </c>
      <c r="B413" s="74">
        <f>[1]Entregables!E413</f>
        <v>0.5</v>
      </c>
      <c r="C413" s="74">
        <v>0</v>
      </c>
      <c r="D413" s="74">
        <v>1</v>
      </c>
      <c r="E413" s="74">
        <v>0.5</v>
      </c>
      <c r="F413" s="74">
        <v>0.5</v>
      </c>
      <c r="G413" s="79"/>
      <c r="H413" s="79"/>
      <c r="I413" s="79"/>
      <c r="J413" s="79"/>
      <c r="K413" s="79"/>
      <c r="L413" s="74"/>
      <c r="M413" s="74"/>
      <c r="N413" s="74"/>
      <c r="O413" s="74"/>
    </row>
    <row r="414" spans="1:15" ht="15.75" customHeight="1" x14ac:dyDescent="0.25">
      <c r="A414" s="76" t="str">
        <f>[1]Entregables!C414</f>
        <v>26O1E2</v>
      </c>
      <c r="B414" s="74">
        <f>[1]Entregables!E414</f>
        <v>0.5</v>
      </c>
      <c r="C414" s="74">
        <v>0</v>
      </c>
      <c r="D414" s="74">
        <v>1</v>
      </c>
      <c r="E414" s="74">
        <v>0.25</v>
      </c>
      <c r="F414" s="74">
        <v>0.25</v>
      </c>
      <c r="G414" s="79"/>
      <c r="H414" s="79"/>
      <c r="I414" s="79"/>
      <c r="J414" s="79"/>
      <c r="K414" s="79"/>
      <c r="L414" s="74"/>
      <c r="M414" s="74"/>
      <c r="N414" s="74"/>
      <c r="O414" s="74"/>
    </row>
    <row r="415" spans="1:15" ht="15.75" customHeight="1" x14ac:dyDescent="0.25">
      <c r="A415" s="76" t="str">
        <f>[1]Entregables!C415</f>
        <v>26O2E1</v>
      </c>
      <c r="B415" s="74">
        <f>[1]Entregables!E415</f>
        <v>0.40000000596046448</v>
      </c>
      <c r="C415" s="74">
        <v>0.09</v>
      </c>
      <c r="D415" s="74">
        <v>0.52941175913728233</v>
      </c>
      <c r="E415" s="74">
        <v>0.23</v>
      </c>
      <c r="F415" s="74">
        <v>0.32</v>
      </c>
      <c r="G415" s="79"/>
      <c r="H415" s="79"/>
      <c r="I415" s="79"/>
      <c r="J415" s="79"/>
      <c r="K415" s="79"/>
      <c r="L415" s="74"/>
      <c r="M415" s="74"/>
      <c r="N415" s="74"/>
      <c r="O415" s="74"/>
    </row>
    <row r="416" spans="1:15" ht="15.75" customHeight="1" x14ac:dyDescent="0.25">
      <c r="A416" s="76" t="str">
        <f>[1]Entregables!C416</f>
        <v>26O2E2</v>
      </c>
      <c r="B416" s="74">
        <f>[1]Entregables!E416</f>
        <v>0.30000001192092896</v>
      </c>
      <c r="C416" s="74">
        <v>0.1</v>
      </c>
      <c r="D416" s="74">
        <v>0.33333332008785727</v>
      </c>
      <c r="E416" s="74">
        <v>0.5</v>
      </c>
      <c r="F416" s="74">
        <v>0.6</v>
      </c>
      <c r="G416" s="79"/>
      <c r="H416" s="79"/>
      <c r="I416" s="79"/>
      <c r="J416" s="79"/>
      <c r="K416" s="79"/>
      <c r="L416" s="74"/>
      <c r="M416" s="74"/>
      <c r="N416" s="74"/>
      <c r="O416" s="74"/>
    </row>
    <row r="417" spans="1:15" ht="15.75" customHeight="1" x14ac:dyDescent="0.25">
      <c r="A417" s="76" t="str">
        <f>[1]Entregables!C417</f>
        <v>26O2E3</v>
      </c>
      <c r="B417" s="74">
        <f>[1]Entregables!E417</f>
        <v>0.30000001192092896</v>
      </c>
      <c r="C417" s="74">
        <v>0.3</v>
      </c>
      <c r="D417" s="74">
        <v>0.99999996026357174</v>
      </c>
      <c r="E417" s="74">
        <v>0.5</v>
      </c>
      <c r="F417" s="74">
        <v>0.8</v>
      </c>
      <c r="G417" s="79"/>
      <c r="H417" s="79"/>
      <c r="I417" s="79"/>
      <c r="J417" s="79"/>
      <c r="K417" s="79"/>
      <c r="L417" s="74"/>
      <c r="M417" s="74"/>
      <c r="N417" s="74"/>
      <c r="O417" s="74"/>
    </row>
    <row r="418" spans="1:15" ht="15.75" customHeight="1" x14ac:dyDescent="0.25">
      <c r="A418" s="76" t="str">
        <f>[1]Entregables!C418</f>
        <v>26O3E1</v>
      </c>
      <c r="B418" s="74">
        <f>[1]Entregables!E418</f>
        <v>0.30000001192092896</v>
      </c>
      <c r="C418" s="74">
        <v>0</v>
      </c>
      <c r="D418" s="74">
        <v>1</v>
      </c>
      <c r="E418" s="74">
        <v>0.2</v>
      </c>
      <c r="F418" s="74">
        <v>0.2</v>
      </c>
      <c r="G418" s="79"/>
      <c r="H418" s="79"/>
      <c r="I418" s="79"/>
      <c r="J418" s="79"/>
      <c r="K418" s="79"/>
      <c r="L418" s="74"/>
      <c r="M418" s="74"/>
      <c r="N418" s="74"/>
      <c r="O418" s="74"/>
    </row>
    <row r="419" spans="1:15" ht="15.75" customHeight="1" x14ac:dyDescent="0.25">
      <c r="A419" s="76" t="str">
        <f>[1]Entregables!C419</f>
        <v>26O3E2</v>
      </c>
      <c r="B419" s="74">
        <f>[1]Entregables!E419</f>
        <v>0.69999998807907104</v>
      </c>
      <c r="C419" s="74">
        <v>0.2</v>
      </c>
      <c r="D419" s="74">
        <v>0.99999998509883903</v>
      </c>
      <c r="E419" s="74">
        <v>0.2</v>
      </c>
      <c r="F419" s="74">
        <v>0.4</v>
      </c>
      <c r="G419" s="79"/>
      <c r="H419" s="79"/>
      <c r="I419" s="79"/>
      <c r="J419" s="79"/>
      <c r="K419" s="79"/>
      <c r="L419" s="74"/>
      <c r="M419" s="74"/>
      <c r="N419" s="74"/>
      <c r="O419" s="74"/>
    </row>
    <row r="420" spans="1:15" ht="15.75" customHeight="1" x14ac:dyDescent="0.25">
      <c r="A420" s="76" t="str">
        <f>[1]Entregables!C420</f>
        <v>33O1E1</v>
      </c>
      <c r="B420" s="74">
        <f>[1]Entregables!E420</f>
        <v>0.5</v>
      </c>
      <c r="C420" s="74">
        <v>0.04</v>
      </c>
      <c r="D420" s="74">
        <v>0.39999999999999997</v>
      </c>
      <c r="E420" s="74">
        <v>0.04</v>
      </c>
      <c r="F420" s="74">
        <v>0.08</v>
      </c>
      <c r="G420" s="79"/>
      <c r="H420" s="79"/>
      <c r="I420" s="79"/>
      <c r="J420" s="79"/>
      <c r="K420" s="79"/>
      <c r="L420" s="74"/>
      <c r="M420" s="74"/>
      <c r="N420" s="74"/>
      <c r="O420" s="74"/>
    </row>
    <row r="421" spans="1:15" ht="15.75" customHeight="1" x14ac:dyDescent="0.25">
      <c r="A421" s="76" t="str">
        <f>[1]Entregables!C421</f>
        <v>33O1E2</v>
      </c>
      <c r="B421" s="74">
        <f>[1]Entregables!E421</f>
        <v>0.5</v>
      </c>
      <c r="C421" s="74">
        <v>0.04</v>
      </c>
      <c r="D421" s="74">
        <v>0.39999999999999997</v>
      </c>
      <c r="E421" s="74">
        <v>0.04</v>
      </c>
      <c r="F421" s="74">
        <v>0.08</v>
      </c>
      <c r="G421" s="79"/>
      <c r="H421" s="79"/>
      <c r="I421" s="79"/>
      <c r="J421" s="79"/>
      <c r="K421" s="79"/>
      <c r="L421" s="74"/>
      <c r="M421" s="74"/>
      <c r="N421" s="74"/>
      <c r="O421" s="74"/>
    </row>
    <row r="422" spans="1:15" ht="15.75" customHeight="1" x14ac:dyDescent="0.25">
      <c r="A422" s="76" t="str">
        <f>[1]Entregables!C422</f>
        <v>33O2E1</v>
      </c>
      <c r="B422" s="74">
        <f>[1]Entregables!E422</f>
        <v>0.45</v>
      </c>
      <c r="C422" s="74">
        <v>0</v>
      </c>
      <c r="D422" s="74">
        <v>1</v>
      </c>
      <c r="E422" s="74">
        <v>0</v>
      </c>
      <c r="F422" s="74">
        <v>0</v>
      </c>
      <c r="G422" s="79"/>
      <c r="H422" s="79"/>
      <c r="I422" s="79"/>
      <c r="J422" s="79"/>
      <c r="K422" s="79"/>
      <c r="L422" s="74"/>
      <c r="M422" s="74"/>
      <c r="N422" s="74"/>
      <c r="O422" s="74"/>
    </row>
    <row r="423" spans="1:15" ht="15.75" customHeight="1" x14ac:dyDescent="0.25">
      <c r="A423" s="76" t="str">
        <f>[1]Entregables!C423</f>
        <v>33O2E2</v>
      </c>
      <c r="B423" s="74">
        <f>[1]Entregables!E423</f>
        <v>0.2</v>
      </c>
      <c r="C423" s="79"/>
      <c r="D423" s="79"/>
      <c r="E423" s="79"/>
      <c r="F423" s="79"/>
      <c r="G423" s="79"/>
      <c r="H423" s="79"/>
      <c r="I423" s="79"/>
      <c r="J423" s="79"/>
      <c r="K423" s="79"/>
      <c r="L423" s="79"/>
      <c r="M423" s="79"/>
      <c r="N423" s="79"/>
      <c r="O423" s="79"/>
    </row>
    <row r="424" spans="1:15" ht="15.75" customHeight="1" x14ac:dyDescent="0.25">
      <c r="A424" s="76" t="str">
        <f>[1]Entregables!C424</f>
        <v>33O2E3</v>
      </c>
      <c r="B424" s="74">
        <f>[1]Entregables!E424</f>
        <v>0.35</v>
      </c>
      <c r="C424" s="74">
        <v>0</v>
      </c>
      <c r="D424" s="74">
        <v>1</v>
      </c>
      <c r="E424" s="74">
        <v>0.3</v>
      </c>
      <c r="F424" s="74">
        <v>0.3</v>
      </c>
      <c r="G424" s="79"/>
      <c r="H424" s="79"/>
      <c r="I424" s="79"/>
      <c r="J424" s="79"/>
      <c r="K424" s="79"/>
      <c r="L424" s="74"/>
      <c r="M424" s="74"/>
      <c r="N424" s="74"/>
      <c r="O424" s="74"/>
    </row>
    <row r="425" spans="1:15" ht="15.75" customHeight="1" x14ac:dyDescent="0.25">
      <c r="A425" s="76" t="str">
        <f>[1]Entregables!C425</f>
        <v>33O3E1</v>
      </c>
      <c r="B425" s="74">
        <f>[1]Entregables!E425</f>
        <v>0.5</v>
      </c>
      <c r="C425" s="74">
        <v>0</v>
      </c>
      <c r="D425" s="74">
        <v>1</v>
      </c>
      <c r="E425" s="74">
        <v>0</v>
      </c>
      <c r="F425" s="74">
        <v>0</v>
      </c>
      <c r="G425" s="79"/>
      <c r="H425" s="79"/>
      <c r="I425" s="79"/>
      <c r="J425" s="79"/>
      <c r="K425" s="79"/>
      <c r="L425" s="74"/>
      <c r="M425" s="74"/>
      <c r="N425" s="74"/>
      <c r="O425" s="74"/>
    </row>
    <row r="426" spans="1:15" ht="15.75" customHeight="1" x14ac:dyDescent="0.25">
      <c r="A426" s="76" t="str">
        <f>[1]Entregables!C426</f>
        <v>33O3E2</v>
      </c>
      <c r="B426" s="74">
        <f>[1]Entregables!E426</f>
        <v>0.5</v>
      </c>
      <c r="C426" s="74">
        <v>0</v>
      </c>
      <c r="D426" s="74">
        <v>1</v>
      </c>
      <c r="E426" s="74">
        <v>0</v>
      </c>
      <c r="F426" s="74">
        <v>0</v>
      </c>
      <c r="G426" s="79"/>
      <c r="H426" s="79"/>
      <c r="I426" s="79"/>
      <c r="J426" s="79"/>
      <c r="K426" s="79"/>
      <c r="L426" s="74"/>
      <c r="M426" s="74"/>
      <c r="N426" s="74"/>
      <c r="O426" s="74"/>
    </row>
    <row r="427" spans="1:15" ht="15.75" customHeight="1" x14ac:dyDescent="0.25">
      <c r="A427" s="76" t="str">
        <f>[1]Entregables!C427</f>
        <v>37O1E1</v>
      </c>
      <c r="B427" s="74">
        <f>[1]Entregables!E427</f>
        <v>0.20000000298023224</v>
      </c>
      <c r="C427" s="74">
        <v>0</v>
      </c>
      <c r="D427" s="74">
        <v>1</v>
      </c>
      <c r="E427" s="74">
        <v>0</v>
      </c>
      <c r="F427" s="74">
        <v>0</v>
      </c>
      <c r="G427" s="79"/>
      <c r="H427" s="79"/>
      <c r="I427" s="79"/>
      <c r="J427" s="79"/>
      <c r="K427" s="79"/>
      <c r="L427" s="74"/>
      <c r="M427" s="74"/>
      <c r="N427" s="74"/>
      <c r="O427" s="74"/>
    </row>
    <row r="428" spans="1:15" ht="15.75" customHeight="1" x14ac:dyDescent="0.25">
      <c r="A428" s="76" t="str">
        <f>[1]Entregables!C428</f>
        <v>37O1E2</v>
      </c>
      <c r="B428" s="74">
        <f>[1]Entregables!E428</f>
        <v>0.20000000298023224</v>
      </c>
      <c r="C428" s="74">
        <v>0</v>
      </c>
      <c r="D428" s="74">
        <v>1</v>
      </c>
      <c r="E428" s="74">
        <v>0</v>
      </c>
      <c r="F428" s="74">
        <v>0</v>
      </c>
      <c r="G428" s="79"/>
      <c r="H428" s="79"/>
      <c r="I428" s="79"/>
      <c r="J428" s="79"/>
      <c r="K428" s="79"/>
      <c r="L428" s="74"/>
      <c r="M428" s="74"/>
      <c r="N428" s="74"/>
      <c r="O428" s="74"/>
    </row>
    <row r="429" spans="1:15" ht="15.75" customHeight="1" x14ac:dyDescent="0.25">
      <c r="A429" s="76" t="str">
        <f>[1]Entregables!C429</f>
        <v>37O1E3</v>
      </c>
      <c r="B429" s="74">
        <f>[1]Entregables!E429</f>
        <v>0.60000002384185791</v>
      </c>
      <c r="C429" s="74">
        <v>0</v>
      </c>
      <c r="D429" s="74">
        <v>1</v>
      </c>
      <c r="E429" s="74">
        <v>0</v>
      </c>
      <c r="F429" s="74">
        <v>0</v>
      </c>
      <c r="G429" s="79"/>
      <c r="H429" s="79"/>
      <c r="I429" s="79"/>
      <c r="J429" s="79"/>
      <c r="K429" s="79"/>
      <c r="L429" s="74"/>
      <c r="M429" s="74"/>
      <c r="N429" s="74"/>
      <c r="O429" s="74"/>
    </row>
    <row r="430" spans="1:15" ht="15.75" customHeight="1" x14ac:dyDescent="0.25">
      <c r="A430" s="76" t="str">
        <f>[1]Entregables!C430</f>
        <v>37O2E1</v>
      </c>
      <c r="B430" s="74">
        <f>[1]Entregables!E430</f>
        <v>0.25</v>
      </c>
      <c r="C430" s="74">
        <v>0</v>
      </c>
      <c r="D430" s="74">
        <v>1</v>
      </c>
      <c r="E430" s="74">
        <v>0.14000000000000001</v>
      </c>
      <c r="F430" s="74">
        <v>0.14000000000000001</v>
      </c>
      <c r="G430" s="79"/>
      <c r="H430" s="79"/>
      <c r="I430" s="79"/>
      <c r="J430" s="79"/>
      <c r="K430" s="79"/>
      <c r="L430" s="74"/>
      <c r="M430" s="74"/>
      <c r="N430" s="74"/>
      <c r="O430" s="74"/>
    </row>
    <row r="431" spans="1:15" ht="15.75" customHeight="1" x14ac:dyDescent="0.25">
      <c r="A431" s="76" t="str">
        <f>[1]Entregables!C431</f>
        <v>37O2E2</v>
      </c>
      <c r="B431" s="74">
        <f>[1]Entregables!E431</f>
        <v>5.000000074505806E-2</v>
      </c>
      <c r="C431" s="74">
        <v>0</v>
      </c>
      <c r="D431" s="74">
        <v>1</v>
      </c>
      <c r="E431" s="74">
        <v>0.05</v>
      </c>
      <c r="F431" s="74">
        <v>0.05</v>
      </c>
      <c r="G431" s="79"/>
      <c r="H431" s="79"/>
      <c r="I431" s="79"/>
      <c r="J431" s="79"/>
      <c r="K431" s="79"/>
      <c r="L431" s="74"/>
      <c r="M431" s="74"/>
      <c r="N431" s="74"/>
      <c r="O431" s="74"/>
    </row>
    <row r="432" spans="1:15" ht="15.75" customHeight="1" x14ac:dyDescent="0.25">
      <c r="A432" s="76" t="str">
        <f>[1]Entregables!C432</f>
        <v>37O2E3</v>
      </c>
      <c r="B432" s="74">
        <f>[1]Entregables!E432</f>
        <v>0.20000000298023224</v>
      </c>
      <c r="C432" s="74">
        <v>0</v>
      </c>
      <c r="D432" s="74">
        <v>1</v>
      </c>
      <c r="E432" s="74">
        <v>7.0000000000000007E-2</v>
      </c>
      <c r="F432" s="74">
        <v>7.0000000000000007E-2</v>
      </c>
      <c r="G432" s="79"/>
      <c r="H432" s="79"/>
      <c r="I432" s="79"/>
      <c r="J432" s="79"/>
      <c r="K432" s="79"/>
      <c r="L432" s="74"/>
      <c r="M432" s="74"/>
      <c r="N432" s="74"/>
      <c r="O432" s="74"/>
    </row>
    <row r="433" spans="1:15" ht="15.75" customHeight="1" x14ac:dyDescent="0.25">
      <c r="A433" s="76" t="str">
        <f>[1]Entregables!C433</f>
        <v>37O2E4</v>
      </c>
      <c r="B433" s="74">
        <f>[1]Entregables!E433</f>
        <v>5.000000074505806E-2</v>
      </c>
      <c r="C433" s="74">
        <v>0</v>
      </c>
      <c r="D433" s="74">
        <v>1</v>
      </c>
      <c r="E433" s="74">
        <v>0.05</v>
      </c>
      <c r="F433" s="74">
        <v>0.05</v>
      </c>
      <c r="G433" s="79"/>
      <c r="H433" s="79"/>
      <c r="I433" s="79"/>
      <c r="J433" s="79"/>
      <c r="K433" s="79"/>
      <c r="L433" s="74"/>
      <c r="M433" s="74"/>
      <c r="N433" s="74"/>
      <c r="O433" s="74"/>
    </row>
    <row r="434" spans="1:15" ht="15.75" customHeight="1" x14ac:dyDescent="0.25">
      <c r="A434" s="76" t="str">
        <f>[1]Entregables!C434</f>
        <v>37O2E5</v>
      </c>
      <c r="B434" s="74">
        <f>[1]Entregables!E434</f>
        <v>0.15000000596046448</v>
      </c>
      <c r="C434" s="74">
        <v>0.01</v>
      </c>
      <c r="D434" s="74">
        <v>0.19999999701976781</v>
      </c>
      <c r="E434" s="74">
        <v>0.02</v>
      </c>
      <c r="F434" s="74">
        <v>0.03</v>
      </c>
      <c r="G434" s="79"/>
      <c r="H434" s="79"/>
      <c r="I434" s="79"/>
      <c r="J434" s="79"/>
      <c r="K434" s="79"/>
      <c r="L434" s="74"/>
      <c r="M434" s="74"/>
      <c r="N434" s="74"/>
      <c r="O434" s="74"/>
    </row>
    <row r="435" spans="1:15" ht="15.75" customHeight="1" x14ac:dyDescent="0.25">
      <c r="A435" s="76" t="str">
        <f>[1]Entregables!C435</f>
        <v>37O2E6</v>
      </c>
      <c r="B435" s="74">
        <f>[1]Entregables!E435</f>
        <v>0.15000000596046448</v>
      </c>
      <c r="C435" s="74">
        <v>0.17</v>
      </c>
      <c r="D435" s="74">
        <v>1</v>
      </c>
      <c r="E435" s="74">
        <v>0.43</v>
      </c>
      <c r="F435" s="74">
        <v>0.6</v>
      </c>
      <c r="G435" s="79"/>
      <c r="H435" s="79"/>
      <c r="I435" s="79"/>
      <c r="J435" s="79"/>
      <c r="K435" s="79"/>
      <c r="L435" s="74"/>
      <c r="M435" s="74"/>
      <c r="N435" s="74"/>
      <c r="O435" s="74"/>
    </row>
    <row r="436" spans="1:15" ht="15.75" customHeight="1" x14ac:dyDescent="0.25">
      <c r="A436" s="76" t="str">
        <f>[1]Entregables!C436</f>
        <v>37O2E7</v>
      </c>
      <c r="B436" s="74">
        <f>[1]Entregables!E436</f>
        <v>5.000000074505806E-2</v>
      </c>
      <c r="C436" s="74">
        <v>0</v>
      </c>
      <c r="D436" s="74">
        <v>1</v>
      </c>
      <c r="E436" s="74">
        <v>0.33</v>
      </c>
      <c r="F436" s="74">
        <v>0.33</v>
      </c>
      <c r="G436" s="79"/>
      <c r="H436" s="79"/>
      <c r="I436" s="79"/>
      <c r="J436" s="79"/>
      <c r="K436" s="79"/>
      <c r="L436" s="74"/>
      <c r="M436" s="74"/>
      <c r="N436" s="74"/>
      <c r="O436" s="74"/>
    </row>
    <row r="437" spans="1:15" ht="15.75" customHeight="1" x14ac:dyDescent="0.25">
      <c r="A437" s="76" t="str">
        <f>[1]Entregables!C437</f>
        <v>37O2E8</v>
      </c>
      <c r="B437" s="74">
        <f>[1]Entregables!E437</f>
        <v>0.10000000149011612</v>
      </c>
      <c r="C437" s="74">
        <v>0</v>
      </c>
      <c r="D437" s="74">
        <v>1</v>
      </c>
      <c r="E437" s="74">
        <v>0</v>
      </c>
      <c r="F437" s="74">
        <v>0</v>
      </c>
      <c r="G437" s="79"/>
      <c r="H437" s="79"/>
      <c r="I437" s="79"/>
      <c r="J437" s="79"/>
      <c r="K437" s="79"/>
      <c r="L437" s="74"/>
      <c r="M437" s="74"/>
      <c r="N437" s="74"/>
      <c r="O437" s="74"/>
    </row>
    <row r="438" spans="1:15" ht="15.75" customHeight="1" x14ac:dyDescent="0.25">
      <c r="A438" s="76" t="str">
        <f>[1]Entregables!C438</f>
        <v>37O3E1</v>
      </c>
      <c r="B438" s="74">
        <f>[1]Entregables!E438</f>
        <v>0.5</v>
      </c>
      <c r="C438" s="74">
        <v>0</v>
      </c>
      <c r="D438" s="74">
        <v>1</v>
      </c>
      <c r="E438" s="74">
        <v>0</v>
      </c>
      <c r="F438" s="74">
        <v>0</v>
      </c>
      <c r="G438" s="79"/>
      <c r="H438" s="79"/>
      <c r="I438" s="79"/>
      <c r="J438" s="79"/>
      <c r="K438" s="79"/>
      <c r="L438" s="74"/>
      <c r="M438" s="74"/>
      <c r="N438" s="74"/>
      <c r="O438" s="74"/>
    </row>
    <row r="439" spans="1:15" ht="15.75" customHeight="1" x14ac:dyDescent="0.25">
      <c r="A439" s="76" t="str">
        <f>[1]Entregables!C439</f>
        <v>37O3E2</v>
      </c>
      <c r="B439" s="74">
        <f>[1]Entregables!E439</f>
        <v>0.5</v>
      </c>
      <c r="C439" s="74">
        <v>0</v>
      </c>
      <c r="D439" s="74">
        <v>1</v>
      </c>
      <c r="E439" s="74">
        <v>0</v>
      </c>
      <c r="F439" s="74">
        <v>0</v>
      </c>
      <c r="G439" s="79"/>
      <c r="H439" s="79"/>
      <c r="I439" s="79"/>
      <c r="J439" s="79"/>
      <c r="K439" s="79"/>
      <c r="L439" s="74"/>
      <c r="M439" s="74"/>
      <c r="N439" s="74"/>
      <c r="O439" s="74"/>
    </row>
    <row r="440" spans="1:15" ht="15.75" customHeight="1" x14ac:dyDescent="0.25">
      <c r="A440" s="76" t="str">
        <f>[1]Entregables!C440</f>
        <v>41O1E1</v>
      </c>
      <c r="B440" s="74">
        <f>[1]Entregables!E440</f>
        <v>0.40000000596046448</v>
      </c>
      <c r="C440" s="74">
        <v>0</v>
      </c>
      <c r="D440" s="74">
        <v>0</v>
      </c>
      <c r="E440" s="74">
        <v>0.6</v>
      </c>
      <c r="F440" s="74">
        <v>0.6</v>
      </c>
      <c r="G440" s="79"/>
      <c r="H440" s="79"/>
      <c r="I440" s="79"/>
      <c r="J440" s="79"/>
      <c r="K440" s="79"/>
      <c r="L440" s="74"/>
      <c r="M440" s="74"/>
      <c r="N440" s="74"/>
      <c r="O440" s="74"/>
    </row>
    <row r="441" spans="1:15" ht="15.75" customHeight="1" x14ac:dyDescent="0.25">
      <c r="A441" s="76" t="str">
        <f>[1]Entregables!C441</f>
        <v>41O1E2</v>
      </c>
      <c r="B441" s="74">
        <f>[1]Entregables!E441</f>
        <v>0.30000001192092896</v>
      </c>
      <c r="C441" s="74">
        <v>0</v>
      </c>
      <c r="D441" s="74">
        <v>1</v>
      </c>
      <c r="E441" s="74">
        <v>0</v>
      </c>
      <c r="F441" s="74">
        <v>0</v>
      </c>
      <c r="G441" s="79"/>
      <c r="H441" s="79"/>
      <c r="I441" s="79"/>
      <c r="J441" s="79"/>
      <c r="K441" s="79"/>
      <c r="L441" s="74"/>
      <c r="M441" s="74"/>
      <c r="N441" s="74"/>
      <c r="O441" s="74"/>
    </row>
    <row r="442" spans="1:15" ht="15.75" customHeight="1" x14ac:dyDescent="0.25">
      <c r="A442" s="76" t="str">
        <f>[1]Entregables!C442</f>
        <v>41O1E3</v>
      </c>
      <c r="B442" s="74">
        <f>[1]Entregables!E442</f>
        <v>0.30000001192092896</v>
      </c>
      <c r="C442" s="74">
        <v>0.28999999999999998</v>
      </c>
      <c r="D442" s="74">
        <v>1</v>
      </c>
      <c r="E442" s="74">
        <v>0.67</v>
      </c>
      <c r="F442" s="74">
        <v>0.96</v>
      </c>
      <c r="G442" s="79"/>
      <c r="H442" s="79"/>
      <c r="I442" s="79"/>
      <c r="J442" s="79"/>
      <c r="K442" s="79"/>
      <c r="L442" s="74"/>
      <c r="M442" s="74"/>
      <c r="N442" s="74"/>
      <c r="O442" s="74"/>
    </row>
    <row r="443" spans="1:15" ht="15.75" customHeight="1" x14ac:dyDescent="0.25">
      <c r="A443" s="76" t="str">
        <f>[1]Entregables!C443</f>
        <v>41O2E1</v>
      </c>
      <c r="B443" s="74">
        <f>[1]Entregables!E443</f>
        <v>0.40000000596046448</v>
      </c>
      <c r="C443" s="74">
        <v>0.1</v>
      </c>
      <c r="D443" s="74">
        <v>0.1</v>
      </c>
      <c r="E443" s="74">
        <v>0.1</v>
      </c>
      <c r="F443" s="74">
        <v>0.2</v>
      </c>
      <c r="G443" s="79"/>
      <c r="H443" s="79"/>
      <c r="I443" s="79"/>
      <c r="J443" s="79"/>
      <c r="K443" s="79"/>
      <c r="L443" s="74"/>
      <c r="M443" s="74"/>
      <c r="N443" s="74"/>
      <c r="O443" s="74"/>
    </row>
    <row r="444" spans="1:15" ht="15.75" customHeight="1" x14ac:dyDescent="0.25">
      <c r="A444" s="76" t="str">
        <f>[1]Entregables!C444</f>
        <v>41O2E2</v>
      </c>
      <c r="B444" s="74">
        <f>[1]Entregables!E444</f>
        <v>0.20000000298023224</v>
      </c>
      <c r="C444" s="74">
        <v>0</v>
      </c>
      <c r="D444" s="74">
        <v>1</v>
      </c>
      <c r="E444" s="74">
        <v>0.85</v>
      </c>
      <c r="F444" s="74">
        <v>0.85</v>
      </c>
      <c r="G444" s="79"/>
      <c r="H444" s="79"/>
      <c r="I444" s="79"/>
      <c r="J444" s="79"/>
      <c r="K444" s="79"/>
      <c r="L444" s="74"/>
      <c r="M444" s="74"/>
      <c r="N444" s="74"/>
      <c r="O444" s="74"/>
    </row>
    <row r="445" spans="1:15" ht="15.75" customHeight="1" x14ac:dyDescent="0.25">
      <c r="A445" s="76" t="str">
        <f>[1]Entregables!C445</f>
        <v>41O2E3</v>
      </c>
      <c r="B445" s="74">
        <f>[1]Entregables!E445</f>
        <v>0.30000001192092896</v>
      </c>
      <c r="C445" s="74">
        <v>0</v>
      </c>
      <c r="D445" s="74">
        <v>0</v>
      </c>
      <c r="E445" s="74">
        <v>0.5</v>
      </c>
      <c r="F445" s="74">
        <v>0.5</v>
      </c>
      <c r="G445" s="79"/>
      <c r="H445" s="79"/>
      <c r="I445" s="79"/>
      <c r="J445" s="79"/>
      <c r="K445" s="79"/>
      <c r="L445" s="74"/>
      <c r="M445" s="74"/>
      <c r="N445" s="74"/>
      <c r="O445" s="74"/>
    </row>
    <row r="446" spans="1:15" ht="15.75" customHeight="1" x14ac:dyDescent="0.25">
      <c r="A446" s="76" t="str">
        <f>[1]Entregables!C446</f>
        <v>41O2E4</v>
      </c>
      <c r="B446" s="74">
        <f>[1]Entregables!E446</f>
        <v>0.10000000149011612</v>
      </c>
      <c r="C446" s="74">
        <v>0.1</v>
      </c>
      <c r="D446" s="74">
        <v>0.49999999254941951</v>
      </c>
      <c r="E446" s="74">
        <v>0.1</v>
      </c>
      <c r="F446" s="74">
        <v>0.2</v>
      </c>
      <c r="G446" s="79"/>
      <c r="H446" s="79"/>
      <c r="I446" s="79"/>
      <c r="J446" s="79"/>
      <c r="K446" s="79"/>
      <c r="L446" s="74"/>
      <c r="M446" s="74"/>
      <c r="N446" s="74"/>
      <c r="O446" s="74"/>
    </row>
    <row r="447" spans="1:15" ht="15.75" customHeight="1" x14ac:dyDescent="0.25">
      <c r="A447" s="76" t="str">
        <f>[1]Entregables!C447</f>
        <v>41O3E1</v>
      </c>
      <c r="B447" s="74">
        <f>[1]Entregables!E447</f>
        <v>0.40000000596046448</v>
      </c>
      <c r="C447" s="74">
        <v>0</v>
      </c>
      <c r="D447" s="74">
        <v>0</v>
      </c>
      <c r="E447" s="74">
        <v>0</v>
      </c>
      <c r="F447" s="74">
        <v>0</v>
      </c>
      <c r="G447" s="79"/>
      <c r="H447" s="79"/>
      <c r="I447" s="79"/>
      <c r="J447" s="79"/>
      <c r="K447" s="79"/>
      <c r="L447" s="74"/>
      <c r="M447" s="74"/>
      <c r="N447" s="74"/>
      <c r="O447" s="74"/>
    </row>
    <row r="448" spans="1:15" ht="15.75" customHeight="1" x14ac:dyDescent="0.25">
      <c r="A448" s="76" t="str">
        <f>[1]Entregables!C448</f>
        <v>41O3E2</v>
      </c>
      <c r="B448" s="74">
        <f>[1]Entregables!E448</f>
        <v>0.30000001192092896</v>
      </c>
      <c r="C448" s="74">
        <v>0</v>
      </c>
      <c r="D448" s="74">
        <v>1</v>
      </c>
      <c r="E448" s="74">
        <v>0</v>
      </c>
      <c r="F448" s="74">
        <v>0</v>
      </c>
      <c r="G448" s="79"/>
      <c r="H448" s="79"/>
      <c r="I448" s="79"/>
      <c r="J448" s="79"/>
      <c r="K448" s="79"/>
      <c r="L448" s="74"/>
      <c r="M448" s="74"/>
      <c r="N448" s="74"/>
      <c r="O448" s="74"/>
    </row>
    <row r="449" spans="1:15" ht="15.75" customHeight="1" x14ac:dyDescent="0.25">
      <c r="A449" s="76" t="str">
        <f>[1]Entregables!C449</f>
        <v>41O3E3</v>
      </c>
      <c r="B449" s="74">
        <f>[1]Entregables!E449</f>
        <v>0.10000000149011612</v>
      </c>
      <c r="C449" s="74">
        <v>1</v>
      </c>
      <c r="D449" s="74">
        <v>1</v>
      </c>
      <c r="E449" s="74">
        <v>0</v>
      </c>
      <c r="F449" s="74">
        <v>1</v>
      </c>
      <c r="G449" s="79"/>
      <c r="H449" s="79"/>
      <c r="I449" s="79"/>
      <c r="J449" s="79"/>
      <c r="K449" s="79"/>
      <c r="L449" s="74"/>
      <c r="M449" s="74"/>
      <c r="N449" s="74"/>
      <c r="O449" s="74"/>
    </row>
    <row r="450" spans="1:15" ht="15.75" customHeight="1" x14ac:dyDescent="0.25">
      <c r="A450" s="76" t="str">
        <f>[1]Entregables!C450</f>
        <v>41O3E4</v>
      </c>
      <c r="B450" s="74">
        <f>[1]Entregables!E450</f>
        <v>0.20000000298023224</v>
      </c>
      <c r="C450" s="74">
        <v>0</v>
      </c>
      <c r="D450" s="74">
        <v>0</v>
      </c>
      <c r="E450" s="74">
        <v>0.2</v>
      </c>
      <c r="F450" s="74">
        <v>0.2</v>
      </c>
      <c r="G450" s="79"/>
      <c r="H450" s="79"/>
      <c r="I450" s="79"/>
      <c r="J450" s="79"/>
      <c r="K450" s="79"/>
      <c r="L450" s="74"/>
      <c r="M450" s="74"/>
      <c r="N450" s="74"/>
      <c r="O450" s="74"/>
    </row>
    <row r="451" spans="1:15" ht="15.75" customHeight="1" x14ac:dyDescent="0.25">
      <c r="A451" s="76" t="str">
        <f>[1]Entregables!C451</f>
        <v>41O4E1</v>
      </c>
      <c r="B451" s="74">
        <f>[1]Entregables!E451</f>
        <v>5.000000074505806E-2</v>
      </c>
      <c r="C451" s="74">
        <v>0.3</v>
      </c>
      <c r="D451" s="74">
        <v>0.3</v>
      </c>
      <c r="E451" s="74">
        <v>0.5</v>
      </c>
      <c r="F451" s="74">
        <v>0.8</v>
      </c>
      <c r="G451" s="79"/>
      <c r="H451" s="79"/>
      <c r="I451" s="79"/>
      <c r="J451" s="79"/>
      <c r="K451" s="79"/>
      <c r="L451" s="74"/>
      <c r="M451" s="74"/>
      <c r="N451" s="74"/>
      <c r="O451" s="74"/>
    </row>
    <row r="452" spans="1:15" ht="15.75" customHeight="1" x14ac:dyDescent="0.25">
      <c r="A452" s="76" t="str">
        <f>[1]Entregables!C452</f>
        <v>41O4E2</v>
      </c>
      <c r="B452" s="74">
        <f>[1]Entregables!E452</f>
        <v>0.10000000149011612</v>
      </c>
      <c r="C452" s="74">
        <v>0</v>
      </c>
      <c r="D452" s="74">
        <v>0</v>
      </c>
      <c r="E452" s="74">
        <v>0</v>
      </c>
      <c r="F452" s="74">
        <v>0</v>
      </c>
      <c r="G452" s="79"/>
      <c r="H452" s="79"/>
      <c r="I452" s="79"/>
      <c r="J452" s="79"/>
      <c r="K452" s="79"/>
      <c r="L452" s="74"/>
      <c r="M452" s="74"/>
      <c r="N452" s="74"/>
      <c r="O452" s="74"/>
    </row>
    <row r="453" spans="1:15" ht="15.75" customHeight="1" x14ac:dyDescent="0.25">
      <c r="A453" s="76" t="str">
        <f>[1]Entregables!C453</f>
        <v>41O4E3</v>
      </c>
      <c r="B453" s="74">
        <f>[1]Entregables!E453</f>
        <v>0.10000000149011612</v>
      </c>
      <c r="C453" s="74">
        <v>0</v>
      </c>
      <c r="D453" s="74">
        <v>1</v>
      </c>
      <c r="E453" s="74">
        <v>0</v>
      </c>
      <c r="F453" s="74">
        <v>0</v>
      </c>
      <c r="G453" s="79"/>
      <c r="H453" s="79"/>
      <c r="I453" s="79"/>
      <c r="J453" s="79"/>
      <c r="K453" s="79"/>
      <c r="L453" s="74"/>
      <c r="M453" s="74"/>
      <c r="N453" s="74"/>
      <c r="O453" s="74"/>
    </row>
    <row r="454" spans="1:15" ht="15.75" customHeight="1" x14ac:dyDescent="0.25">
      <c r="A454" s="76" t="str">
        <f>[1]Entregables!C454</f>
        <v>41O4E4</v>
      </c>
      <c r="B454" s="74">
        <f>[1]Entregables!E454</f>
        <v>5.000000074505806E-2</v>
      </c>
      <c r="C454" s="74">
        <v>0.1</v>
      </c>
      <c r="D454" s="74">
        <v>0.1</v>
      </c>
      <c r="E454" s="74">
        <v>0.2</v>
      </c>
      <c r="F454" s="74">
        <v>0.30000000000000004</v>
      </c>
      <c r="G454" s="79"/>
      <c r="H454" s="79"/>
      <c r="I454" s="79"/>
      <c r="J454" s="79"/>
      <c r="K454" s="79"/>
      <c r="L454" s="74"/>
      <c r="M454" s="74"/>
      <c r="N454" s="74"/>
      <c r="O454" s="74"/>
    </row>
    <row r="455" spans="1:15" ht="15.75" customHeight="1" x14ac:dyDescent="0.25">
      <c r="A455" s="76" t="str">
        <f>[1]Entregables!C455</f>
        <v>41O4E5</v>
      </c>
      <c r="B455" s="74">
        <f>[1]Entregables!E455</f>
        <v>0.15000000596046448</v>
      </c>
      <c r="C455" s="74">
        <v>0</v>
      </c>
      <c r="D455" s="74">
        <v>0</v>
      </c>
      <c r="E455" s="74">
        <v>0.5</v>
      </c>
      <c r="F455" s="74">
        <v>0.5</v>
      </c>
      <c r="G455" s="79"/>
      <c r="H455" s="79"/>
      <c r="I455" s="79"/>
      <c r="J455" s="79"/>
      <c r="K455" s="79"/>
      <c r="L455" s="74"/>
      <c r="M455" s="74"/>
      <c r="N455" s="74"/>
      <c r="O455" s="74"/>
    </row>
    <row r="456" spans="1:15" ht="15.75" customHeight="1" x14ac:dyDescent="0.25">
      <c r="A456" s="76" t="str">
        <f>[1]Entregables!C456</f>
        <v>41O4E6</v>
      </c>
      <c r="B456" s="74">
        <f>[1]Entregables!E456</f>
        <v>5.000000074505806E-2</v>
      </c>
      <c r="C456" s="74">
        <v>0</v>
      </c>
      <c r="D456" s="74">
        <v>1</v>
      </c>
      <c r="E456" s="74">
        <v>0.5</v>
      </c>
      <c r="F456" s="74">
        <v>0.5</v>
      </c>
      <c r="G456" s="79"/>
      <c r="H456" s="79"/>
      <c r="I456" s="79"/>
      <c r="J456" s="79"/>
      <c r="K456" s="79"/>
      <c r="L456" s="74"/>
      <c r="M456" s="74"/>
      <c r="N456" s="74"/>
      <c r="O456" s="74"/>
    </row>
    <row r="457" spans="1:15" ht="15.75" customHeight="1" x14ac:dyDescent="0.25">
      <c r="A457" s="76" t="str">
        <f>[1]Entregables!C457</f>
        <v>41O4E7</v>
      </c>
      <c r="B457" s="74">
        <f>[1]Entregables!E457</f>
        <v>0.10000000149011612</v>
      </c>
      <c r="C457" s="74">
        <v>0</v>
      </c>
      <c r="D457" s="74">
        <v>1</v>
      </c>
      <c r="E457" s="74">
        <v>0.6</v>
      </c>
      <c r="F457" s="74">
        <v>0.6</v>
      </c>
      <c r="G457" s="79"/>
      <c r="H457" s="79"/>
      <c r="I457" s="79"/>
      <c r="J457" s="79"/>
      <c r="K457" s="79"/>
      <c r="L457" s="74"/>
      <c r="M457" s="74"/>
      <c r="N457" s="74"/>
      <c r="O457" s="74"/>
    </row>
    <row r="458" spans="1:15" ht="15.75" customHeight="1" x14ac:dyDescent="0.25">
      <c r="A458" s="76" t="str">
        <f>[1]Entregables!C458</f>
        <v>41O4E8</v>
      </c>
      <c r="B458" s="74">
        <f>[1]Entregables!E458</f>
        <v>0.10000000149011612</v>
      </c>
      <c r="C458" s="74">
        <v>0</v>
      </c>
      <c r="D458" s="74">
        <v>1</v>
      </c>
      <c r="E458" s="74">
        <v>0.2</v>
      </c>
      <c r="F458" s="74">
        <v>0.2</v>
      </c>
      <c r="G458" s="79"/>
      <c r="H458" s="79"/>
      <c r="I458" s="79"/>
      <c r="J458" s="79"/>
      <c r="K458" s="79"/>
      <c r="L458" s="74"/>
      <c r="M458" s="74"/>
      <c r="N458" s="74"/>
      <c r="O458" s="74"/>
    </row>
    <row r="459" spans="1:15" ht="15.75" customHeight="1" x14ac:dyDescent="0.25">
      <c r="A459" s="76" t="str">
        <f>[1]Entregables!C459</f>
        <v>41O4E9</v>
      </c>
      <c r="B459" s="74">
        <f>[1]Entregables!E459</f>
        <v>0.25</v>
      </c>
      <c r="C459" s="74">
        <v>0</v>
      </c>
      <c r="D459" s="74">
        <v>1</v>
      </c>
      <c r="E459" s="74">
        <v>0.2</v>
      </c>
      <c r="F459" s="74">
        <v>0.2</v>
      </c>
      <c r="G459" s="79"/>
      <c r="H459" s="79"/>
      <c r="I459" s="79"/>
      <c r="J459" s="79"/>
      <c r="K459" s="79"/>
      <c r="L459" s="74"/>
      <c r="M459" s="74"/>
      <c r="N459" s="74"/>
      <c r="O459" s="74"/>
    </row>
    <row r="460" spans="1:15" ht="15.75" customHeight="1" x14ac:dyDescent="0.25">
      <c r="A460" s="76" t="str">
        <f>[1]Entregables!C460</f>
        <v>41O4E10</v>
      </c>
      <c r="B460" s="74">
        <f>[1]Entregables!E460</f>
        <v>5.000000074505806E-2</v>
      </c>
      <c r="C460" s="74">
        <v>0</v>
      </c>
      <c r="D460" s="74">
        <v>0</v>
      </c>
      <c r="E460" s="74">
        <v>0</v>
      </c>
      <c r="F460" s="74">
        <v>0</v>
      </c>
      <c r="G460" s="79"/>
      <c r="H460" s="79"/>
      <c r="I460" s="79"/>
      <c r="J460" s="79"/>
      <c r="K460" s="79"/>
      <c r="L460" s="74"/>
      <c r="M460" s="74"/>
      <c r="N460" s="74"/>
      <c r="O460" s="74"/>
    </row>
    <row r="461" spans="1:15" ht="15.75" customHeight="1" x14ac:dyDescent="0.25">
      <c r="A461" s="76" t="str">
        <f>[1]Entregables!C461</f>
        <v>41O5E1</v>
      </c>
      <c r="B461" s="74">
        <f>[1]Entregables!E461</f>
        <v>1</v>
      </c>
      <c r="C461" s="74">
        <v>0.16</v>
      </c>
      <c r="D461" s="74">
        <v>1</v>
      </c>
      <c r="E461" s="74">
        <v>0.17</v>
      </c>
      <c r="F461" s="74">
        <v>0.33</v>
      </c>
      <c r="G461" s="79"/>
      <c r="H461" s="79"/>
      <c r="I461" s="79"/>
      <c r="J461" s="79"/>
      <c r="K461" s="79"/>
      <c r="L461" s="74"/>
      <c r="M461" s="74"/>
      <c r="N461" s="74"/>
      <c r="O461" s="74"/>
    </row>
    <row r="462" spans="1:15" ht="15.75" customHeight="1" x14ac:dyDescent="0.25">
      <c r="A462" s="76" t="str">
        <f>[1]Entregables!C462</f>
        <v>9O1E1</v>
      </c>
      <c r="B462" s="74">
        <f>[1]Entregables!E462</f>
        <v>0.60000002384185791</v>
      </c>
      <c r="C462" s="74">
        <v>0.15</v>
      </c>
      <c r="D462" s="74">
        <v>0.74999999999999989</v>
      </c>
      <c r="E462" s="74">
        <v>0.3</v>
      </c>
      <c r="F462" s="74">
        <v>0.44999999999999996</v>
      </c>
      <c r="G462" s="79"/>
      <c r="H462" s="79"/>
      <c r="I462" s="79"/>
      <c r="J462" s="79"/>
      <c r="K462" s="79"/>
      <c r="L462" s="74"/>
      <c r="M462" s="74"/>
      <c r="N462" s="74"/>
      <c r="O462" s="74"/>
    </row>
    <row r="463" spans="1:15" ht="15.75" customHeight="1" x14ac:dyDescent="0.25">
      <c r="A463" s="76" t="str">
        <f>[1]Entregables!C463</f>
        <v>9O1E2</v>
      </c>
      <c r="B463" s="74">
        <f>[1]Entregables!E463</f>
        <v>0.20000000298023224</v>
      </c>
      <c r="C463" s="74">
        <v>0</v>
      </c>
      <c r="D463" s="74">
        <v>1</v>
      </c>
      <c r="E463" s="74">
        <v>0.15</v>
      </c>
      <c r="F463" s="74">
        <v>0.15</v>
      </c>
      <c r="G463" s="79"/>
      <c r="H463" s="79"/>
      <c r="I463" s="79"/>
      <c r="J463" s="79"/>
      <c r="K463" s="79"/>
      <c r="L463" s="74"/>
      <c r="M463" s="74"/>
      <c r="N463" s="74"/>
      <c r="O463" s="74"/>
    </row>
    <row r="464" spans="1:15" ht="15.75" customHeight="1" x14ac:dyDescent="0.25">
      <c r="A464" s="76" t="str">
        <f>[1]Entregables!C464</f>
        <v>9O1E3</v>
      </c>
      <c r="B464" s="74">
        <f>[1]Entregables!E464</f>
        <v>0.20000000298023224</v>
      </c>
      <c r="C464" s="74">
        <v>0</v>
      </c>
      <c r="D464" s="74">
        <v>1</v>
      </c>
      <c r="E464" s="74">
        <v>0</v>
      </c>
      <c r="F464" s="74">
        <v>0</v>
      </c>
      <c r="G464" s="79"/>
      <c r="H464" s="79"/>
      <c r="I464" s="79"/>
      <c r="J464" s="79"/>
      <c r="K464" s="79"/>
      <c r="L464" s="74"/>
      <c r="M464" s="74"/>
      <c r="N464" s="74"/>
      <c r="O464" s="74"/>
    </row>
    <row r="465" spans="1:15" ht="15.75" customHeight="1" x14ac:dyDescent="0.25">
      <c r="A465" s="76" t="str">
        <f>[1]Entregables!C465</f>
        <v>9O2E1</v>
      </c>
      <c r="B465" s="74">
        <f>[1]Entregables!E465</f>
        <v>1</v>
      </c>
      <c r="C465" s="74">
        <v>0</v>
      </c>
      <c r="D465" s="74">
        <v>1</v>
      </c>
      <c r="E465" s="74">
        <v>0</v>
      </c>
      <c r="F465" s="74">
        <v>0</v>
      </c>
      <c r="G465" s="79"/>
      <c r="H465" s="79"/>
      <c r="I465" s="79"/>
      <c r="J465" s="79"/>
      <c r="K465" s="79"/>
      <c r="L465" s="74"/>
      <c r="M465" s="74"/>
      <c r="N465" s="74"/>
      <c r="O465" s="74"/>
    </row>
    <row r="466" spans="1:15" ht="15.75" customHeight="1" x14ac:dyDescent="0.25">
      <c r="A466" s="76" t="str">
        <f>[1]Entregables!C466</f>
        <v>9O3E1</v>
      </c>
      <c r="B466" s="74">
        <f>[1]Entregables!E466</f>
        <v>1</v>
      </c>
      <c r="C466" s="74">
        <v>0</v>
      </c>
      <c r="D466" s="74">
        <v>1</v>
      </c>
      <c r="E466" s="74">
        <v>0</v>
      </c>
      <c r="F466" s="74">
        <v>0</v>
      </c>
      <c r="G466" s="79"/>
      <c r="H466" s="79"/>
      <c r="I466" s="79"/>
      <c r="J466" s="79"/>
      <c r="K466" s="79"/>
      <c r="L466" s="74"/>
      <c r="M466" s="74"/>
      <c r="N466" s="74"/>
      <c r="O466" s="74"/>
    </row>
    <row r="467" spans="1:15" ht="15.75" customHeight="1" x14ac:dyDescent="0.25">
      <c r="A467" s="76">
        <f>[1]Entregables!C467</f>
        <v>0</v>
      </c>
      <c r="B467" s="74">
        <f>[1]Entregables!E467</f>
        <v>0</v>
      </c>
      <c r="C467" s="74"/>
      <c r="D467" s="74"/>
      <c r="E467" s="74"/>
      <c r="F467" s="74">
        <v>0</v>
      </c>
      <c r="G467" s="79"/>
      <c r="H467" s="79"/>
      <c r="I467" s="79"/>
      <c r="J467" s="79"/>
      <c r="K467" s="79"/>
      <c r="L467" s="74"/>
      <c r="M467" s="74"/>
      <c r="N467" s="74"/>
      <c r="O467" s="74"/>
    </row>
    <row r="468" spans="1:15" ht="15.75" customHeight="1" x14ac:dyDescent="0.25">
      <c r="A468" s="76">
        <f>[1]Entregables!C468</f>
        <v>0</v>
      </c>
      <c r="B468" s="74">
        <f>[1]Entregables!E468</f>
        <v>0</v>
      </c>
      <c r="C468" s="74"/>
      <c r="D468" s="74"/>
      <c r="E468" s="79"/>
      <c r="F468" s="79"/>
      <c r="G468" s="79"/>
      <c r="H468" s="79"/>
      <c r="I468" s="79"/>
      <c r="J468" s="79"/>
      <c r="K468" s="79"/>
      <c r="L468" s="74"/>
      <c r="M468" s="74"/>
      <c r="N468" s="74"/>
      <c r="O468" s="74"/>
    </row>
    <row r="469" spans="1:15" ht="15.75" customHeight="1" x14ac:dyDescent="0.25">
      <c r="A469" s="76">
        <f>[1]Entregables!C469</f>
        <v>0</v>
      </c>
      <c r="B469" s="74">
        <f>[1]Entregables!E469</f>
        <v>0</v>
      </c>
      <c r="C469" s="74"/>
      <c r="D469" s="74"/>
      <c r="E469" s="79"/>
      <c r="F469" s="79"/>
      <c r="G469" s="79"/>
      <c r="H469" s="79"/>
      <c r="I469" s="79"/>
      <c r="J469" s="79"/>
      <c r="K469" s="79"/>
      <c r="L469" s="74"/>
      <c r="M469" s="74"/>
      <c r="N469" s="74"/>
      <c r="O469" s="74"/>
    </row>
    <row r="470" spans="1:15" ht="15.75" customHeight="1" x14ac:dyDescent="0.25">
      <c r="A470" s="76">
        <f>[1]Entregables!C470</f>
        <v>0</v>
      </c>
      <c r="B470" s="74">
        <f>[1]Entregables!E470</f>
        <v>0</v>
      </c>
      <c r="C470" s="74"/>
      <c r="D470" s="74"/>
      <c r="E470" s="79"/>
      <c r="F470" s="79"/>
      <c r="G470" s="79"/>
      <c r="H470" s="79"/>
      <c r="I470" s="79"/>
      <c r="J470" s="79"/>
      <c r="K470" s="79"/>
      <c r="L470" s="74"/>
      <c r="M470" s="74"/>
      <c r="N470" s="74"/>
      <c r="O470" s="74"/>
    </row>
    <row r="471" spans="1:15" ht="15.75" customHeight="1" x14ac:dyDescent="0.25">
      <c r="A471" s="76">
        <f>[1]Entregables!C471</f>
        <v>0</v>
      </c>
      <c r="B471" s="74">
        <f>[1]Entregables!E471</f>
        <v>0</v>
      </c>
      <c r="C471" s="74"/>
      <c r="D471" s="74"/>
      <c r="E471" s="79"/>
      <c r="F471" s="79"/>
      <c r="G471" s="79"/>
      <c r="H471" s="79"/>
      <c r="I471" s="79"/>
      <c r="J471" s="79"/>
      <c r="K471" s="79"/>
      <c r="L471" s="74"/>
      <c r="M471" s="74"/>
      <c r="N471" s="74"/>
      <c r="O471" s="74"/>
    </row>
    <row r="472" spans="1:15" ht="15.75" customHeight="1" x14ac:dyDescent="0.25">
      <c r="A472" s="76">
        <f>[1]Entregables!C472</f>
        <v>0</v>
      </c>
      <c r="B472" s="74">
        <f>[1]Entregables!E472</f>
        <v>0</v>
      </c>
      <c r="C472" s="74"/>
      <c r="D472" s="74"/>
      <c r="E472" s="79"/>
      <c r="F472" s="79"/>
      <c r="G472" s="79"/>
      <c r="H472" s="79"/>
      <c r="I472" s="79"/>
      <c r="J472" s="79"/>
      <c r="K472" s="79"/>
      <c r="L472" s="74"/>
      <c r="M472" s="74"/>
      <c r="N472" s="74"/>
      <c r="O472" s="74"/>
    </row>
    <row r="473" spans="1:15" ht="15.75" customHeight="1" x14ac:dyDescent="0.25">
      <c r="A473" s="76">
        <f>[1]Entregables!C473</f>
        <v>0</v>
      </c>
      <c r="B473" s="74">
        <f>[1]Entregables!E473</f>
        <v>0</v>
      </c>
      <c r="C473" s="74"/>
      <c r="D473" s="74"/>
      <c r="E473" s="79"/>
      <c r="F473" s="79"/>
      <c r="G473" s="79"/>
      <c r="H473" s="79"/>
      <c r="I473" s="79"/>
      <c r="J473" s="79"/>
      <c r="K473" s="79"/>
      <c r="L473" s="74"/>
      <c r="M473" s="74"/>
      <c r="N473" s="74"/>
      <c r="O473" s="74"/>
    </row>
    <row r="474" spans="1:15" ht="15.75" customHeight="1" x14ac:dyDescent="0.25">
      <c r="A474" s="76">
        <f>[1]Entregables!C474</f>
        <v>0</v>
      </c>
      <c r="B474" s="74">
        <f>[1]Entregables!E474</f>
        <v>0</v>
      </c>
      <c r="C474" s="74"/>
      <c r="D474" s="74"/>
      <c r="E474" s="79"/>
      <c r="F474" s="79"/>
      <c r="G474" s="79"/>
      <c r="H474" s="79"/>
      <c r="I474" s="79"/>
      <c r="J474" s="79"/>
      <c r="K474" s="79"/>
      <c r="L474" s="74"/>
      <c r="M474" s="74"/>
      <c r="N474" s="74"/>
      <c r="O474" s="74"/>
    </row>
    <row r="475" spans="1:15" ht="15.75" customHeight="1" x14ac:dyDescent="0.25">
      <c r="A475" s="76">
        <f>[1]Entregables!C475</f>
        <v>0</v>
      </c>
      <c r="B475" s="74">
        <f>[1]Entregables!E475</f>
        <v>0</v>
      </c>
      <c r="C475" s="74"/>
      <c r="D475" s="74"/>
      <c r="E475" s="79"/>
      <c r="F475" s="79"/>
      <c r="G475" s="79"/>
      <c r="H475" s="79"/>
      <c r="I475" s="79"/>
      <c r="J475" s="79"/>
      <c r="K475" s="79"/>
      <c r="L475" s="74"/>
      <c r="M475" s="74"/>
      <c r="N475" s="74"/>
      <c r="O475" s="74"/>
    </row>
    <row r="476" spans="1:15" ht="15.75" customHeight="1" x14ac:dyDescent="0.25">
      <c r="A476" s="76">
        <f>[1]Entregables!C476</f>
        <v>0</v>
      </c>
      <c r="B476" s="74">
        <f>[1]Entregables!E476</f>
        <v>0</v>
      </c>
      <c r="C476" s="74"/>
      <c r="D476" s="74"/>
      <c r="E476" s="79"/>
      <c r="F476" s="79"/>
      <c r="G476" s="79"/>
      <c r="H476" s="79"/>
      <c r="I476" s="79"/>
      <c r="J476" s="79"/>
      <c r="K476" s="79"/>
      <c r="L476" s="74"/>
      <c r="M476" s="74"/>
      <c r="N476" s="74"/>
      <c r="O476" s="74"/>
    </row>
    <row r="477" spans="1:15" ht="15.75" customHeight="1" x14ac:dyDescent="0.25">
      <c r="A477" s="76">
        <f>[1]Entregables!C477</f>
        <v>0</v>
      </c>
      <c r="B477" s="74">
        <f>[1]Entregables!E477</f>
        <v>0</v>
      </c>
      <c r="C477" s="74"/>
      <c r="D477" s="74"/>
      <c r="E477" s="79"/>
      <c r="F477" s="79"/>
      <c r="G477" s="79"/>
      <c r="H477" s="79"/>
      <c r="I477" s="79"/>
      <c r="J477" s="79"/>
      <c r="K477" s="79"/>
      <c r="L477" s="74"/>
      <c r="M477" s="74"/>
      <c r="N477" s="74"/>
      <c r="O477" s="74"/>
    </row>
    <row r="478" spans="1:15" ht="15.75" customHeight="1" x14ac:dyDescent="0.25">
      <c r="A478" s="76">
        <f>[1]Entregables!C478</f>
        <v>0</v>
      </c>
      <c r="B478" s="74">
        <f>[1]Entregables!E478</f>
        <v>0</v>
      </c>
      <c r="C478" s="74"/>
      <c r="D478" s="74"/>
      <c r="E478" s="79"/>
      <c r="F478" s="79"/>
      <c r="G478" s="79"/>
      <c r="H478" s="79"/>
      <c r="I478" s="79"/>
      <c r="J478" s="79"/>
      <c r="K478" s="79"/>
      <c r="L478" s="74"/>
      <c r="M478" s="74"/>
      <c r="N478" s="74"/>
      <c r="O478" s="74"/>
    </row>
    <row r="479" spans="1:15" ht="15.75" customHeight="1" x14ac:dyDescent="0.25">
      <c r="A479" s="76">
        <f>[1]Entregables!C479</f>
        <v>0</v>
      </c>
      <c r="B479" s="74">
        <f>[1]Entregables!E479</f>
        <v>0</v>
      </c>
      <c r="C479" s="74"/>
      <c r="D479" s="74"/>
      <c r="E479" s="79"/>
      <c r="F479" s="79"/>
      <c r="G479" s="79"/>
      <c r="H479" s="79"/>
      <c r="I479" s="79"/>
      <c r="J479" s="79"/>
      <c r="K479" s="79"/>
      <c r="L479" s="74"/>
      <c r="M479" s="74"/>
      <c r="N479" s="74"/>
      <c r="O479" s="74"/>
    </row>
    <row r="480" spans="1:15" ht="15.75" customHeight="1" x14ac:dyDescent="0.25">
      <c r="A480" s="76">
        <f>[1]Entregables!C480</f>
        <v>0</v>
      </c>
      <c r="B480" s="74">
        <f>[1]Entregables!E480</f>
        <v>0</v>
      </c>
      <c r="C480" s="74"/>
      <c r="D480" s="74"/>
      <c r="E480" s="79"/>
      <c r="F480" s="79"/>
      <c r="G480" s="79"/>
      <c r="H480" s="79"/>
      <c r="I480" s="79"/>
      <c r="J480" s="79"/>
      <c r="K480" s="79"/>
      <c r="L480" s="74"/>
      <c r="M480" s="74"/>
      <c r="N480" s="74"/>
      <c r="O480" s="74"/>
    </row>
    <row r="481" ht="15.75" customHeight="1" x14ac:dyDescent="0.25"/>
    <row r="482" ht="15.75" hidden="1" customHeight="1" x14ac:dyDescent="0.25"/>
    <row r="483" ht="15.75" hidden="1" customHeight="1" x14ac:dyDescent="0.25"/>
    <row r="484" ht="15.75" hidden="1" customHeight="1" x14ac:dyDescent="0.25"/>
    <row r="485" ht="15.75" hidden="1" customHeight="1" x14ac:dyDescent="0.25"/>
    <row r="486" ht="15.75" hidden="1" customHeight="1" x14ac:dyDescent="0.25"/>
    <row r="487" ht="15.75" hidden="1" customHeight="1" x14ac:dyDescent="0.25"/>
    <row r="488" ht="15.75" hidden="1" customHeight="1" x14ac:dyDescent="0.25"/>
    <row r="489" ht="15.75" hidden="1" customHeight="1" x14ac:dyDescent="0.25"/>
    <row r="490" ht="15.75" hidden="1" customHeight="1" x14ac:dyDescent="0.25"/>
    <row r="491" ht="15.75" hidden="1" customHeight="1" x14ac:dyDescent="0.25"/>
    <row r="492" ht="15.75" hidden="1" customHeight="1" x14ac:dyDescent="0.25"/>
    <row r="493" ht="15.75" hidden="1" customHeight="1" x14ac:dyDescent="0.25"/>
    <row r="494" ht="15.75" hidden="1" customHeight="1" x14ac:dyDescent="0.25"/>
    <row r="495" ht="15.75" hidden="1" customHeight="1" x14ac:dyDescent="0.25"/>
    <row r="496" ht="15.75" hidden="1" customHeight="1" x14ac:dyDescent="0.25"/>
    <row r="497" ht="15.75" hidden="1" customHeight="1" x14ac:dyDescent="0.25"/>
    <row r="498" ht="15.75" hidden="1" customHeight="1" x14ac:dyDescent="0.25"/>
    <row r="499" ht="15.75" hidden="1" customHeight="1" x14ac:dyDescent="0.25"/>
    <row r="500" ht="15.75" hidden="1" customHeight="1" x14ac:dyDescent="0.25"/>
    <row r="501" ht="15.75" hidden="1" customHeight="1" x14ac:dyDescent="0.25"/>
    <row r="502" ht="15.75" hidden="1" customHeight="1" x14ac:dyDescent="0.25"/>
    <row r="503" ht="15.75" hidden="1" customHeight="1" x14ac:dyDescent="0.25"/>
    <row r="504" ht="15.75" hidden="1" customHeight="1" x14ac:dyDescent="0.25"/>
    <row r="505" ht="15.75" hidden="1" customHeight="1" x14ac:dyDescent="0.25"/>
    <row r="506" ht="15.75" hidden="1" customHeight="1" x14ac:dyDescent="0.25"/>
    <row r="507" ht="15.75" hidden="1" customHeight="1" x14ac:dyDescent="0.25"/>
    <row r="508" ht="15.75" hidden="1" customHeight="1" x14ac:dyDescent="0.25"/>
    <row r="509" ht="15.75" hidden="1" customHeight="1" x14ac:dyDescent="0.25"/>
    <row r="510" ht="15.75" hidden="1" customHeight="1" x14ac:dyDescent="0.25"/>
    <row r="511" ht="15.75" hidden="1" customHeight="1" x14ac:dyDescent="0.25"/>
    <row r="512" ht="15.75" hidden="1" customHeight="1" x14ac:dyDescent="0.25"/>
    <row r="513" ht="15.75" hidden="1" customHeight="1" x14ac:dyDescent="0.25"/>
    <row r="514" ht="15.75" hidden="1" customHeight="1" x14ac:dyDescent="0.25"/>
    <row r="515" ht="15.75" hidden="1" customHeight="1" x14ac:dyDescent="0.25"/>
    <row r="516" ht="15.75" hidden="1" customHeight="1" x14ac:dyDescent="0.25"/>
    <row r="517" ht="15.75" hidden="1" customHeight="1" x14ac:dyDescent="0.25"/>
    <row r="518" ht="15.75" hidden="1" customHeight="1" x14ac:dyDescent="0.25"/>
    <row r="519" ht="15.75" hidden="1" customHeight="1" x14ac:dyDescent="0.25"/>
    <row r="520" ht="15.75" hidden="1" customHeight="1" x14ac:dyDescent="0.25"/>
    <row r="521" ht="15.75" hidden="1" customHeight="1" x14ac:dyDescent="0.25"/>
    <row r="522" ht="15.75" hidden="1" customHeight="1" x14ac:dyDescent="0.25"/>
    <row r="523" ht="15.75" hidden="1" customHeight="1" x14ac:dyDescent="0.25"/>
    <row r="524" ht="15.75" hidden="1" customHeight="1" x14ac:dyDescent="0.25"/>
    <row r="525" ht="15.75" hidden="1" customHeight="1" x14ac:dyDescent="0.25"/>
    <row r="526" ht="15.75" hidden="1" customHeight="1" x14ac:dyDescent="0.25"/>
    <row r="527" ht="15.75" hidden="1" customHeight="1" x14ac:dyDescent="0.25"/>
    <row r="528" ht="15.75" hidden="1" customHeight="1" x14ac:dyDescent="0.25"/>
    <row r="529" ht="15.75" hidden="1" customHeight="1" x14ac:dyDescent="0.25"/>
    <row r="530" ht="15.75" hidden="1" customHeight="1" x14ac:dyDescent="0.25"/>
    <row r="531" ht="15.75" hidden="1" customHeight="1" x14ac:dyDescent="0.25"/>
    <row r="532" ht="15.75" hidden="1" customHeight="1" x14ac:dyDescent="0.25"/>
    <row r="533" ht="15.75" hidden="1" customHeight="1" x14ac:dyDescent="0.25"/>
    <row r="534" ht="15.75" hidden="1" customHeight="1" x14ac:dyDescent="0.25"/>
    <row r="535" ht="15.75" hidden="1" customHeight="1" x14ac:dyDescent="0.25"/>
    <row r="536" ht="15.75" hidden="1" customHeight="1" x14ac:dyDescent="0.25"/>
    <row r="537" ht="15.75" hidden="1" customHeight="1" x14ac:dyDescent="0.25"/>
    <row r="538" ht="15.75" hidden="1" customHeight="1" x14ac:dyDescent="0.25"/>
    <row r="539" ht="15.75" hidden="1" customHeight="1" x14ac:dyDescent="0.25"/>
    <row r="540" ht="15.75" hidden="1" customHeight="1" x14ac:dyDescent="0.25"/>
    <row r="541" ht="15.75" hidden="1" customHeight="1" x14ac:dyDescent="0.25"/>
    <row r="542" ht="15.75" hidden="1" customHeight="1" x14ac:dyDescent="0.25"/>
    <row r="543" ht="15.75" hidden="1" customHeight="1" x14ac:dyDescent="0.25"/>
    <row r="544" ht="15.75" hidden="1" customHeight="1" x14ac:dyDescent="0.25"/>
    <row r="545" ht="15.75" hidden="1" customHeight="1" x14ac:dyDescent="0.25"/>
    <row r="546" ht="15.75" hidden="1" customHeight="1" x14ac:dyDescent="0.25"/>
    <row r="547" ht="15.75" hidden="1" customHeight="1" x14ac:dyDescent="0.25"/>
    <row r="548" ht="15.75" hidden="1" customHeight="1" x14ac:dyDescent="0.25"/>
    <row r="549" ht="15.75" hidden="1" customHeight="1" x14ac:dyDescent="0.25"/>
    <row r="550" ht="15.75" hidden="1" customHeight="1" x14ac:dyDescent="0.25"/>
    <row r="551" ht="15.75" hidden="1" customHeight="1" x14ac:dyDescent="0.25"/>
    <row r="552" ht="15.75" hidden="1" customHeight="1" x14ac:dyDescent="0.25"/>
    <row r="553" ht="15.75" hidden="1" customHeight="1" x14ac:dyDescent="0.25"/>
    <row r="554" ht="15.75" hidden="1" customHeight="1" x14ac:dyDescent="0.25"/>
    <row r="555" ht="15.75" hidden="1" customHeight="1" x14ac:dyDescent="0.25"/>
    <row r="556" ht="15.75" hidden="1" customHeight="1" x14ac:dyDescent="0.25"/>
    <row r="557" ht="15.75" hidden="1" customHeight="1" x14ac:dyDescent="0.25"/>
    <row r="558" ht="15.75" hidden="1" customHeight="1" x14ac:dyDescent="0.25"/>
    <row r="559" ht="15.75" hidden="1" customHeight="1" x14ac:dyDescent="0.25"/>
    <row r="560" ht="15.75" hidden="1" customHeight="1" x14ac:dyDescent="0.25"/>
    <row r="561" ht="15.75" hidden="1" customHeight="1" x14ac:dyDescent="0.25"/>
    <row r="562" ht="15.75" hidden="1" customHeight="1" x14ac:dyDescent="0.25"/>
    <row r="563" ht="15.75" hidden="1" customHeight="1" x14ac:dyDescent="0.25"/>
    <row r="564" ht="15.75" hidden="1" customHeight="1" x14ac:dyDescent="0.25"/>
    <row r="565" ht="15.75" hidden="1" customHeight="1" x14ac:dyDescent="0.25"/>
    <row r="566" ht="15.75" hidden="1" customHeight="1" x14ac:dyDescent="0.25"/>
    <row r="567" ht="15.75" hidden="1" customHeight="1" x14ac:dyDescent="0.25"/>
    <row r="568" ht="15.75" hidden="1" customHeight="1" x14ac:dyDescent="0.25"/>
    <row r="569" ht="15.75" hidden="1" customHeight="1" x14ac:dyDescent="0.25"/>
    <row r="570" ht="15.75" hidden="1" customHeight="1" x14ac:dyDescent="0.25"/>
    <row r="571" ht="15.75" hidden="1" customHeight="1" x14ac:dyDescent="0.25"/>
    <row r="572" ht="15.75" hidden="1" customHeight="1" x14ac:dyDescent="0.25"/>
    <row r="573" ht="15.75" hidden="1" customHeight="1" x14ac:dyDescent="0.25"/>
    <row r="574" ht="15.75" hidden="1" customHeight="1" x14ac:dyDescent="0.25"/>
    <row r="575" ht="15.75" hidden="1" customHeight="1" x14ac:dyDescent="0.25"/>
    <row r="576" ht="15.75" hidden="1" customHeight="1" x14ac:dyDescent="0.25"/>
    <row r="577" ht="15.75" hidden="1" customHeight="1" x14ac:dyDescent="0.25"/>
    <row r="578" ht="15.75" hidden="1" customHeight="1" x14ac:dyDescent="0.25"/>
    <row r="579" ht="15.75" hidden="1" customHeight="1" x14ac:dyDescent="0.25"/>
    <row r="580" ht="15.75" hidden="1" customHeight="1" x14ac:dyDescent="0.25"/>
    <row r="581" ht="15.75" hidden="1" customHeight="1" x14ac:dyDescent="0.25"/>
    <row r="582" ht="15.75" hidden="1" customHeight="1" x14ac:dyDescent="0.25"/>
    <row r="583" ht="15.75" hidden="1" customHeight="1" x14ac:dyDescent="0.25"/>
    <row r="584" ht="15.75" hidden="1" customHeight="1" x14ac:dyDescent="0.25"/>
    <row r="585" ht="15.75" hidden="1" customHeight="1" x14ac:dyDescent="0.25"/>
    <row r="586" ht="15.75" hidden="1" customHeight="1" x14ac:dyDescent="0.25"/>
    <row r="587" ht="15.75" hidden="1" customHeight="1" x14ac:dyDescent="0.25"/>
    <row r="588" ht="15.75" hidden="1" customHeight="1" x14ac:dyDescent="0.25"/>
    <row r="589" ht="15.75" hidden="1" customHeight="1" x14ac:dyDescent="0.25"/>
    <row r="590" ht="15.75" hidden="1" customHeight="1" x14ac:dyDescent="0.25"/>
    <row r="591" ht="15.75" hidden="1" customHeight="1" x14ac:dyDescent="0.25"/>
    <row r="592" ht="15.75" hidden="1" customHeight="1" x14ac:dyDescent="0.25"/>
    <row r="593" ht="15.75" hidden="1" customHeight="1" x14ac:dyDescent="0.25"/>
    <row r="594" ht="15.75" hidden="1" customHeight="1" x14ac:dyDescent="0.25"/>
    <row r="595" ht="15.75" hidden="1" customHeight="1" x14ac:dyDescent="0.25"/>
    <row r="596" ht="15.75" hidden="1" customHeight="1" x14ac:dyDescent="0.25"/>
    <row r="597" ht="15.75" hidden="1" customHeight="1" x14ac:dyDescent="0.25"/>
    <row r="598" ht="15.75" hidden="1" customHeight="1" x14ac:dyDescent="0.25"/>
    <row r="599" ht="15.75" hidden="1" customHeight="1" x14ac:dyDescent="0.25"/>
    <row r="600" ht="15.75" hidden="1" customHeight="1" x14ac:dyDescent="0.25"/>
    <row r="601" ht="15.75" hidden="1" customHeight="1" x14ac:dyDescent="0.25"/>
    <row r="602" ht="15.75" hidden="1" customHeight="1" x14ac:dyDescent="0.25"/>
    <row r="603" ht="15.75" hidden="1" customHeight="1" x14ac:dyDescent="0.25"/>
    <row r="604" ht="15.75" hidden="1" customHeight="1" x14ac:dyDescent="0.25"/>
    <row r="605" ht="15.75" hidden="1" customHeight="1" x14ac:dyDescent="0.25"/>
    <row r="606" ht="15.75" hidden="1" customHeight="1" x14ac:dyDescent="0.25"/>
    <row r="607" ht="15.75" hidden="1" customHeight="1" x14ac:dyDescent="0.25"/>
    <row r="608" ht="15.75" hidden="1" customHeight="1" x14ac:dyDescent="0.25"/>
    <row r="609" ht="15.75" hidden="1" customHeight="1" x14ac:dyDescent="0.25"/>
    <row r="610" ht="15.75" hidden="1" customHeight="1" x14ac:dyDescent="0.25"/>
    <row r="611" ht="15.75" hidden="1" customHeight="1" x14ac:dyDescent="0.25"/>
    <row r="612" ht="15.75" hidden="1" customHeight="1" x14ac:dyDescent="0.25"/>
    <row r="613" ht="15.75" hidden="1" customHeight="1" x14ac:dyDescent="0.25"/>
    <row r="614" ht="15.75" hidden="1" customHeight="1" x14ac:dyDescent="0.25"/>
    <row r="615" ht="15.75" hidden="1" customHeight="1" x14ac:dyDescent="0.25"/>
    <row r="616" ht="15.75" hidden="1" customHeight="1" x14ac:dyDescent="0.25"/>
    <row r="617" ht="15.75" hidden="1" customHeight="1" x14ac:dyDescent="0.25"/>
    <row r="618" ht="15.75" hidden="1" customHeight="1" x14ac:dyDescent="0.25"/>
    <row r="619" ht="15.75" hidden="1" customHeight="1" x14ac:dyDescent="0.25"/>
    <row r="620" ht="15.75" hidden="1" customHeight="1" x14ac:dyDescent="0.25"/>
    <row r="621" ht="15.75" hidden="1" customHeight="1" x14ac:dyDescent="0.25"/>
    <row r="622" ht="15.75" hidden="1" customHeight="1" x14ac:dyDescent="0.25"/>
    <row r="623" ht="15.75" hidden="1" customHeight="1" x14ac:dyDescent="0.25"/>
    <row r="624" ht="15.75" hidden="1" customHeight="1" x14ac:dyDescent="0.25"/>
    <row r="625" ht="15.75" hidden="1" customHeight="1" x14ac:dyDescent="0.25"/>
    <row r="626" ht="15.75" hidden="1" customHeight="1" x14ac:dyDescent="0.25"/>
    <row r="627" ht="15.75" hidden="1" customHeight="1" x14ac:dyDescent="0.25"/>
    <row r="628" ht="15.75" hidden="1" customHeight="1" x14ac:dyDescent="0.25"/>
    <row r="629" ht="15.75" hidden="1" customHeight="1" x14ac:dyDescent="0.25"/>
    <row r="630" ht="15.75" hidden="1" customHeight="1" x14ac:dyDescent="0.25"/>
    <row r="631" ht="15.75" hidden="1" customHeight="1" x14ac:dyDescent="0.25"/>
    <row r="632" ht="15.75" hidden="1" customHeight="1" x14ac:dyDescent="0.25"/>
    <row r="633" ht="15.75" hidden="1" customHeight="1" x14ac:dyDescent="0.25"/>
    <row r="634" ht="15.75" hidden="1" customHeight="1" x14ac:dyDescent="0.25"/>
    <row r="635" ht="15.75" hidden="1" customHeight="1" x14ac:dyDescent="0.25"/>
    <row r="636" ht="15.75" hidden="1" customHeight="1" x14ac:dyDescent="0.25"/>
    <row r="637" ht="15.75" hidden="1" customHeight="1" x14ac:dyDescent="0.25"/>
    <row r="638" ht="15.75" hidden="1" customHeight="1" x14ac:dyDescent="0.25"/>
    <row r="639" ht="15.75" hidden="1" customHeight="1" x14ac:dyDescent="0.25"/>
    <row r="640" ht="15.75" hidden="1" customHeight="1" x14ac:dyDescent="0.25"/>
    <row r="641" ht="15.75" hidden="1" customHeight="1" x14ac:dyDescent="0.25"/>
    <row r="642" ht="15.75" hidden="1" customHeight="1" x14ac:dyDescent="0.25"/>
    <row r="643" ht="15.75" hidden="1" customHeight="1" x14ac:dyDescent="0.25"/>
    <row r="644" ht="15.75" hidden="1" customHeight="1" x14ac:dyDescent="0.25"/>
    <row r="645" ht="15.75" hidden="1" customHeight="1" x14ac:dyDescent="0.25"/>
    <row r="646" ht="15.75" hidden="1" customHeight="1" x14ac:dyDescent="0.25"/>
    <row r="647" ht="15.75" hidden="1" customHeight="1" x14ac:dyDescent="0.25"/>
    <row r="648" ht="15.75" hidden="1" customHeight="1" x14ac:dyDescent="0.25"/>
    <row r="649" ht="15.75" hidden="1" customHeight="1" x14ac:dyDescent="0.25"/>
    <row r="650" ht="15.75" hidden="1" customHeight="1" x14ac:dyDescent="0.25"/>
    <row r="651" ht="15.75" hidden="1" customHeight="1" x14ac:dyDescent="0.25"/>
    <row r="652" ht="15.75" hidden="1" customHeight="1" x14ac:dyDescent="0.25"/>
    <row r="653" ht="15.75" hidden="1" customHeight="1" x14ac:dyDescent="0.25"/>
    <row r="654" ht="15.75" hidden="1" customHeight="1" x14ac:dyDescent="0.25"/>
    <row r="655" ht="15.75" hidden="1" customHeight="1" x14ac:dyDescent="0.25"/>
    <row r="656" ht="15.75" hidden="1" customHeight="1" x14ac:dyDescent="0.25"/>
    <row r="657" ht="15.75" hidden="1" customHeight="1" x14ac:dyDescent="0.25"/>
    <row r="658" ht="15.75" hidden="1" customHeight="1" x14ac:dyDescent="0.25"/>
    <row r="659" ht="15.75" hidden="1" customHeight="1" x14ac:dyDescent="0.25"/>
    <row r="660" ht="15.75" hidden="1" customHeight="1" x14ac:dyDescent="0.25"/>
    <row r="661" ht="15.75" hidden="1" customHeight="1" x14ac:dyDescent="0.25"/>
    <row r="662" ht="15.75" hidden="1" customHeight="1" x14ac:dyDescent="0.25"/>
    <row r="663" ht="15.75" hidden="1" customHeight="1" x14ac:dyDescent="0.25"/>
    <row r="664" ht="15.75" hidden="1" customHeight="1" x14ac:dyDescent="0.25"/>
    <row r="665" ht="15.75" hidden="1" customHeight="1" x14ac:dyDescent="0.25"/>
    <row r="666" ht="15.75" hidden="1" customHeight="1" x14ac:dyDescent="0.25"/>
    <row r="667" ht="15.75" hidden="1" customHeight="1" x14ac:dyDescent="0.25"/>
    <row r="668" ht="15.75" hidden="1" customHeight="1" x14ac:dyDescent="0.25"/>
    <row r="669" ht="15.75" hidden="1" customHeight="1" x14ac:dyDescent="0.25"/>
    <row r="670" ht="15.75" hidden="1" customHeight="1" x14ac:dyDescent="0.25"/>
    <row r="671" ht="15.75" hidden="1" customHeight="1" x14ac:dyDescent="0.25"/>
    <row r="672" ht="15.75" hidden="1" customHeight="1" x14ac:dyDescent="0.25"/>
    <row r="673" ht="15.75" hidden="1" customHeight="1" x14ac:dyDescent="0.25"/>
    <row r="674" ht="15.75" hidden="1" customHeight="1" x14ac:dyDescent="0.25"/>
    <row r="675" ht="15.75" hidden="1" customHeight="1" x14ac:dyDescent="0.25"/>
    <row r="676" ht="15.75" hidden="1" customHeight="1" x14ac:dyDescent="0.25"/>
    <row r="677" ht="15.75" hidden="1" customHeight="1" x14ac:dyDescent="0.25"/>
    <row r="678" ht="15.75" hidden="1" customHeight="1" x14ac:dyDescent="0.25"/>
    <row r="679" ht="15.75" hidden="1" customHeight="1" x14ac:dyDescent="0.25"/>
    <row r="680" ht="15.75" hidden="1" customHeight="1" x14ac:dyDescent="0.25"/>
    <row r="681" ht="15.75" hidden="1" customHeight="1" x14ac:dyDescent="0.25"/>
    <row r="682" ht="15.75" hidden="1" customHeight="1" x14ac:dyDescent="0.25"/>
    <row r="683" ht="15.75" hidden="1" customHeight="1" x14ac:dyDescent="0.25"/>
    <row r="684" ht="15.75" hidden="1" customHeight="1" x14ac:dyDescent="0.25"/>
    <row r="685" ht="15.75" hidden="1" customHeight="1" x14ac:dyDescent="0.25"/>
    <row r="686" ht="15.75" hidden="1" customHeight="1" x14ac:dyDescent="0.25"/>
    <row r="687" ht="15.75" hidden="1" customHeight="1" x14ac:dyDescent="0.25"/>
    <row r="688" ht="15.75" hidden="1" customHeight="1" x14ac:dyDescent="0.25"/>
    <row r="689" ht="15.75" hidden="1" customHeight="1" x14ac:dyDescent="0.25"/>
    <row r="690" ht="15.75" hidden="1" customHeight="1" x14ac:dyDescent="0.25"/>
    <row r="691" ht="15.75" hidden="1" customHeight="1" x14ac:dyDescent="0.25"/>
    <row r="692" ht="15.75" hidden="1" customHeight="1" x14ac:dyDescent="0.25"/>
    <row r="693" ht="15.75" hidden="1" customHeight="1" x14ac:dyDescent="0.25"/>
    <row r="694" ht="15.75" hidden="1" customHeight="1" x14ac:dyDescent="0.25"/>
    <row r="695" ht="15.75" hidden="1" customHeight="1" x14ac:dyDescent="0.25"/>
    <row r="696" ht="15.75" hidden="1" customHeight="1" x14ac:dyDescent="0.25"/>
    <row r="697" ht="15.75" hidden="1" customHeight="1" x14ac:dyDescent="0.25"/>
    <row r="698" ht="15.75" hidden="1" customHeight="1" x14ac:dyDescent="0.25"/>
    <row r="699" ht="15.75" hidden="1" customHeight="1" x14ac:dyDescent="0.25"/>
    <row r="700" ht="15.75" hidden="1" customHeight="1" x14ac:dyDescent="0.25"/>
    <row r="701" ht="15.75" hidden="1" customHeight="1" x14ac:dyDescent="0.25"/>
    <row r="702" ht="15.75" hidden="1" customHeight="1" x14ac:dyDescent="0.25"/>
    <row r="703" ht="15.75" hidden="1" customHeight="1" x14ac:dyDescent="0.25"/>
    <row r="704" ht="15.75" hidden="1" customHeight="1" x14ac:dyDescent="0.25"/>
    <row r="705" ht="15.75" hidden="1" customHeight="1" x14ac:dyDescent="0.25"/>
    <row r="706" ht="15.75" hidden="1" customHeight="1" x14ac:dyDescent="0.25"/>
    <row r="707" ht="15.75" hidden="1" customHeight="1" x14ac:dyDescent="0.25"/>
    <row r="708" ht="15.75" hidden="1" customHeight="1" x14ac:dyDescent="0.25"/>
    <row r="709" ht="15.75" hidden="1" customHeight="1" x14ac:dyDescent="0.25"/>
    <row r="710" ht="15.75" hidden="1" customHeight="1" x14ac:dyDescent="0.25"/>
    <row r="711" ht="15.75" hidden="1" customHeight="1" x14ac:dyDescent="0.25"/>
    <row r="712" ht="15.75" hidden="1" customHeight="1" x14ac:dyDescent="0.25"/>
    <row r="713" ht="15.75" hidden="1" customHeight="1" x14ac:dyDescent="0.25"/>
    <row r="714" ht="15.75" hidden="1" customHeight="1" x14ac:dyDescent="0.25"/>
    <row r="715" ht="15.75" hidden="1" customHeight="1" x14ac:dyDescent="0.25"/>
    <row r="716" ht="15.75" hidden="1" customHeight="1" x14ac:dyDescent="0.25"/>
    <row r="717" ht="15.75" hidden="1" customHeight="1" x14ac:dyDescent="0.25"/>
    <row r="718" ht="15.75" hidden="1" customHeight="1" x14ac:dyDescent="0.25"/>
    <row r="719" ht="15.75" hidden="1" customHeight="1" x14ac:dyDescent="0.25"/>
    <row r="720" ht="15.75" hidden="1" customHeight="1" x14ac:dyDescent="0.25"/>
    <row r="721" ht="15.75" hidden="1" customHeight="1" x14ac:dyDescent="0.25"/>
    <row r="722" ht="15.75" hidden="1" customHeight="1" x14ac:dyDescent="0.25"/>
    <row r="723" ht="15.75" hidden="1" customHeight="1" x14ac:dyDescent="0.25"/>
    <row r="724" ht="15.75" hidden="1" customHeight="1" x14ac:dyDescent="0.25"/>
    <row r="725" ht="15.75" hidden="1" customHeight="1" x14ac:dyDescent="0.25"/>
    <row r="726" ht="15.75" hidden="1" customHeight="1" x14ac:dyDescent="0.25"/>
    <row r="727" ht="15.75" hidden="1" customHeight="1" x14ac:dyDescent="0.25"/>
    <row r="728" ht="15.75" hidden="1" customHeight="1" x14ac:dyDescent="0.25"/>
    <row r="729" ht="15.75" hidden="1" customHeight="1" x14ac:dyDescent="0.25"/>
    <row r="730" ht="15.75" hidden="1" customHeight="1" x14ac:dyDescent="0.25"/>
    <row r="731" ht="15.75" hidden="1" customHeight="1" x14ac:dyDescent="0.25"/>
    <row r="732" ht="15.75" hidden="1" customHeight="1" x14ac:dyDescent="0.25"/>
    <row r="733" ht="15.75" hidden="1" customHeight="1" x14ac:dyDescent="0.25"/>
    <row r="734" ht="15.75" hidden="1" customHeight="1" x14ac:dyDescent="0.25"/>
    <row r="735" ht="15.75" hidden="1" customHeight="1" x14ac:dyDescent="0.25"/>
    <row r="736" ht="15.75" hidden="1" customHeight="1" x14ac:dyDescent="0.25"/>
    <row r="737" ht="15.75" hidden="1" customHeight="1" x14ac:dyDescent="0.25"/>
    <row r="738" ht="15.75" hidden="1" customHeight="1" x14ac:dyDescent="0.25"/>
    <row r="739" ht="15.75" hidden="1" customHeight="1" x14ac:dyDescent="0.25"/>
    <row r="740" ht="15.75" hidden="1" customHeight="1" x14ac:dyDescent="0.25"/>
    <row r="741" ht="15.75" hidden="1" customHeight="1" x14ac:dyDescent="0.25"/>
    <row r="742" ht="15.75" hidden="1" customHeight="1" x14ac:dyDescent="0.25"/>
    <row r="743" ht="15.75" hidden="1" customHeight="1" x14ac:dyDescent="0.25"/>
    <row r="744" ht="15.75" hidden="1" customHeight="1" x14ac:dyDescent="0.25"/>
    <row r="745" ht="15.75" hidden="1" customHeight="1" x14ac:dyDescent="0.25"/>
    <row r="746" ht="15.75" hidden="1" customHeight="1" x14ac:dyDescent="0.25"/>
    <row r="747" ht="15.75" hidden="1" customHeight="1" x14ac:dyDescent="0.25"/>
    <row r="748" ht="15.75" hidden="1" customHeight="1" x14ac:dyDescent="0.25"/>
    <row r="749" ht="15.75" hidden="1" customHeight="1" x14ac:dyDescent="0.25"/>
    <row r="750" ht="15.75" hidden="1" customHeight="1" x14ac:dyDescent="0.25"/>
    <row r="751" ht="15.75" hidden="1" customHeight="1" x14ac:dyDescent="0.25"/>
    <row r="752" ht="15.75" hidden="1" customHeight="1" x14ac:dyDescent="0.25"/>
    <row r="753" ht="15.75" hidden="1" customHeight="1" x14ac:dyDescent="0.25"/>
    <row r="754" ht="15.75" hidden="1" customHeight="1" x14ac:dyDescent="0.25"/>
    <row r="755" ht="15.75" hidden="1" customHeight="1" x14ac:dyDescent="0.25"/>
    <row r="756" ht="15.75" hidden="1" customHeight="1" x14ac:dyDescent="0.25"/>
    <row r="757" ht="15.75" hidden="1" customHeight="1" x14ac:dyDescent="0.25"/>
    <row r="758" ht="15.75" hidden="1" customHeight="1" x14ac:dyDescent="0.25"/>
    <row r="759" ht="15.75" hidden="1" customHeight="1" x14ac:dyDescent="0.25"/>
    <row r="760" ht="15.75" hidden="1" customHeight="1" x14ac:dyDescent="0.25"/>
    <row r="761" ht="15.75" hidden="1" customHeight="1" x14ac:dyDescent="0.25"/>
    <row r="762" ht="15.75" hidden="1" customHeight="1" x14ac:dyDescent="0.25"/>
    <row r="763" ht="15.75" hidden="1" customHeight="1" x14ac:dyDescent="0.25"/>
    <row r="764" ht="15.75" hidden="1" customHeight="1" x14ac:dyDescent="0.25"/>
    <row r="765" ht="15.75" hidden="1" customHeight="1" x14ac:dyDescent="0.25"/>
    <row r="766" ht="15.75" hidden="1" customHeight="1" x14ac:dyDescent="0.25"/>
    <row r="767" ht="15.75" hidden="1" customHeight="1" x14ac:dyDescent="0.25"/>
    <row r="768" ht="15.75" hidden="1" customHeight="1" x14ac:dyDescent="0.25"/>
    <row r="769" ht="15.75" hidden="1" customHeight="1" x14ac:dyDescent="0.25"/>
    <row r="770" ht="15.75" hidden="1" customHeight="1" x14ac:dyDescent="0.25"/>
    <row r="771" ht="15.75" hidden="1" customHeight="1" x14ac:dyDescent="0.25"/>
    <row r="772" ht="15.75" hidden="1" customHeight="1" x14ac:dyDescent="0.25"/>
    <row r="773" ht="15.75" hidden="1" customHeight="1" x14ac:dyDescent="0.25"/>
    <row r="774" ht="15.75" hidden="1" customHeight="1" x14ac:dyDescent="0.25"/>
    <row r="775" ht="15.75" hidden="1" customHeight="1" x14ac:dyDescent="0.25"/>
    <row r="776" ht="15.75" hidden="1" customHeight="1" x14ac:dyDescent="0.25"/>
    <row r="777" ht="15.75" hidden="1" customHeight="1" x14ac:dyDescent="0.25"/>
    <row r="778" ht="15.75" hidden="1" customHeight="1" x14ac:dyDescent="0.25"/>
    <row r="779" ht="15.75" hidden="1" customHeight="1" x14ac:dyDescent="0.25"/>
    <row r="780" ht="15.75" hidden="1" customHeight="1" x14ac:dyDescent="0.25"/>
    <row r="781" ht="15.75" hidden="1" customHeight="1" x14ac:dyDescent="0.25"/>
    <row r="782" ht="15.75" hidden="1" customHeight="1" x14ac:dyDescent="0.25"/>
    <row r="783" ht="15.75" hidden="1" customHeight="1" x14ac:dyDescent="0.25"/>
    <row r="784" ht="15.75" hidden="1" customHeight="1" x14ac:dyDescent="0.25"/>
    <row r="785" ht="15.75" hidden="1" customHeight="1" x14ac:dyDescent="0.25"/>
    <row r="786" ht="15.75" hidden="1" customHeight="1" x14ac:dyDescent="0.25"/>
    <row r="787" ht="15.75" hidden="1" customHeight="1" x14ac:dyDescent="0.25"/>
    <row r="788" ht="15.75" hidden="1" customHeight="1" x14ac:dyDescent="0.25"/>
    <row r="789" ht="15.75" hidden="1" customHeight="1" x14ac:dyDescent="0.25"/>
    <row r="790" ht="15.75" hidden="1" customHeight="1" x14ac:dyDescent="0.25"/>
    <row r="791" ht="15.75" hidden="1" customHeight="1" x14ac:dyDescent="0.25"/>
    <row r="792" ht="15.75" hidden="1" customHeight="1" x14ac:dyDescent="0.25"/>
    <row r="793" ht="15.75" hidden="1" customHeight="1" x14ac:dyDescent="0.25"/>
    <row r="794" ht="15.75" hidden="1" customHeight="1" x14ac:dyDescent="0.25"/>
    <row r="795" ht="15.75" hidden="1" customHeight="1" x14ac:dyDescent="0.25"/>
    <row r="796" ht="15.75" hidden="1" customHeight="1" x14ac:dyDescent="0.25"/>
    <row r="797" ht="15.75" hidden="1" customHeight="1" x14ac:dyDescent="0.25"/>
    <row r="798" ht="15.75" hidden="1" customHeight="1" x14ac:dyDescent="0.25"/>
    <row r="799" ht="15.75" hidden="1" customHeight="1" x14ac:dyDescent="0.25"/>
    <row r="800" ht="15.75" hidden="1" customHeight="1" x14ac:dyDescent="0.25"/>
    <row r="801" ht="15.75" hidden="1" customHeight="1" x14ac:dyDescent="0.25"/>
    <row r="802" ht="15.75" hidden="1" customHeight="1" x14ac:dyDescent="0.25"/>
    <row r="803" ht="15.75" hidden="1" customHeight="1" x14ac:dyDescent="0.25"/>
    <row r="804" ht="15.75" hidden="1" customHeight="1" x14ac:dyDescent="0.25"/>
    <row r="805" ht="15.75" hidden="1" customHeight="1" x14ac:dyDescent="0.25"/>
    <row r="806" ht="15.75" hidden="1" customHeight="1" x14ac:dyDescent="0.25"/>
    <row r="807" ht="15.75" hidden="1" customHeight="1" x14ac:dyDescent="0.25"/>
    <row r="808" ht="15.75" hidden="1" customHeight="1" x14ac:dyDescent="0.25"/>
    <row r="809" ht="15.75" hidden="1" customHeight="1" x14ac:dyDescent="0.25"/>
    <row r="810" ht="15.75" hidden="1" customHeight="1" x14ac:dyDescent="0.25"/>
    <row r="811" ht="15.75" hidden="1" customHeight="1" x14ac:dyDescent="0.25"/>
    <row r="812" ht="15.75" hidden="1" customHeight="1" x14ac:dyDescent="0.25"/>
    <row r="813" ht="15.75" hidden="1" customHeight="1" x14ac:dyDescent="0.25"/>
    <row r="814" ht="15.75" hidden="1" customHeight="1" x14ac:dyDescent="0.25"/>
    <row r="815" ht="15.75" hidden="1" customHeight="1" x14ac:dyDescent="0.25"/>
    <row r="816" ht="15.75" hidden="1" customHeight="1" x14ac:dyDescent="0.25"/>
    <row r="817" ht="15.75" hidden="1" customHeight="1" x14ac:dyDescent="0.25"/>
    <row r="818" ht="15.75" hidden="1" customHeight="1" x14ac:dyDescent="0.25"/>
    <row r="819" ht="15.75" hidden="1" customHeight="1" x14ac:dyDescent="0.25"/>
    <row r="820" ht="15.75" hidden="1" customHeight="1" x14ac:dyDescent="0.25"/>
    <row r="821" ht="15.75" hidden="1" customHeight="1" x14ac:dyDescent="0.25"/>
    <row r="822" ht="15.75" hidden="1" customHeight="1" x14ac:dyDescent="0.25"/>
    <row r="823" ht="15.75" hidden="1" customHeight="1" x14ac:dyDescent="0.25"/>
    <row r="824" ht="15.75" hidden="1" customHeight="1" x14ac:dyDescent="0.25"/>
    <row r="825" ht="15.75" hidden="1" customHeight="1" x14ac:dyDescent="0.25"/>
    <row r="826" ht="15.75" hidden="1" customHeight="1" x14ac:dyDescent="0.25"/>
    <row r="827" ht="15.75" hidden="1" customHeight="1" x14ac:dyDescent="0.25"/>
    <row r="828" ht="15.75" hidden="1" customHeight="1" x14ac:dyDescent="0.25"/>
    <row r="829" ht="15.75" hidden="1" customHeight="1" x14ac:dyDescent="0.25"/>
    <row r="830" ht="15.75" hidden="1" customHeight="1" x14ac:dyDescent="0.25"/>
    <row r="831" ht="15.75" hidden="1" customHeight="1" x14ac:dyDescent="0.25"/>
    <row r="832" ht="15.75" hidden="1" customHeight="1" x14ac:dyDescent="0.25"/>
    <row r="833" ht="15.75" hidden="1" customHeight="1" x14ac:dyDescent="0.25"/>
    <row r="834" ht="15.75" hidden="1" customHeight="1" x14ac:dyDescent="0.25"/>
    <row r="835" ht="15.75" hidden="1" customHeight="1" x14ac:dyDescent="0.25"/>
    <row r="836" ht="15.75" hidden="1" customHeight="1" x14ac:dyDescent="0.25"/>
    <row r="837" ht="15.75" hidden="1" customHeight="1" x14ac:dyDescent="0.25"/>
    <row r="838" ht="15.75" hidden="1" customHeight="1" x14ac:dyDescent="0.25"/>
    <row r="839" ht="15.75" hidden="1" customHeight="1" x14ac:dyDescent="0.25"/>
    <row r="840" ht="15.75" hidden="1" customHeight="1" x14ac:dyDescent="0.25"/>
    <row r="841" ht="15.75" hidden="1" customHeight="1" x14ac:dyDescent="0.25"/>
    <row r="842" ht="15.75" hidden="1" customHeight="1" x14ac:dyDescent="0.25"/>
    <row r="843" ht="15.75" hidden="1" customHeight="1" x14ac:dyDescent="0.25"/>
    <row r="844" ht="15.75" hidden="1" customHeight="1" x14ac:dyDescent="0.25"/>
    <row r="845" ht="15.75" hidden="1" customHeight="1" x14ac:dyDescent="0.25"/>
    <row r="846" ht="15.75" hidden="1" customHeight="1" x14ac:dyDescent="0.25"/>
    <row r="847" ht="15.75" hidden="1" customHeight="1" x14ac:dyDescent="0.25"/>
    <row r="848" ht="15.75" hidden="1" customHeight="1" x14ac:dyDescent="0.25"/>
    <row r="849" ht="15.75" hidden="1" customHeight="1" x14ac:dyDescent="0.25"/>
    <row r="850" ht="15.75" hidden="1" customHeight="1" x14ac:dyDescent="0.25"/>
    <row r="851" ht="15.75" hidden="1" customHeight="1" x14ac:dyDescent="0.25"/>
    <row r="852" ht="15.75" hidden="1" customHeight="1" x14ac:dyDescent="0.25"/>
    <row r="853" ht="15.75" hidden="1" customHeight="1" x14ac:dyDescent="0.25"/>
    <row r="854" ht="15.75" hidden="1" customHeight="1" x14ac:dyDescent="0.25"/>
    <row r="855" ht="15.75" hidden="1" customHeight="1" x14ac:dyDescent="0.25"/>
    <row r="856" ht="15.75" hidden="1" customHeight="1" x14ac:dyDescent="0.25"/>
    <row r="857" ht="15.75" hidden="1" customHeight="1" x14ac:dyDescent="0.25"/>
    <row r="858" ht="15.75" hidden="1" customHeight="1" x14ac:dyDescent="0.25"/>
    <row r="859" ht="15.75" hidden="1" customHeight="1" x14ac:dyDescent="0.25"/>
    <row r="860" ht="15.75" hidden="1" customHeight="1" x14ac:dyDescent="0.25"/>
    <row r="861" ht="15.75" hidden="1" customHeight="1" x14ac:dyDescent="0.25"/>
    <row r="862" ht="15.75" hidden="1" customHeight="1" x14ac:dyDescent="0.25"/>
    <row r="863" ht="15.75" hidden="1" customHeight="1" x14ac:dyDescent="0.25"/>
    <row r="864" ht="15.75" hidden="1" customHeight="1" x14ac:dyDescent="0.25"/>
    <row r="865" ht="15.75" hidden="1" customHeight="1" x14ac:dyDescent="0.25"/>
    <row r="866" ht="15.75" hidden="1" customHeight="1" x14ac:dyDescent="0.25"/>
    <row r="867" ht="15.75" hidden="1" customHeight="1" x14ac:dyDescent="0.25"/>
    <row r="868" ht="15.75" hidden="1" customHeight="1" x14ac:dyDescent="0.25"/>
    <row r="869" ht="15.75" hidden="1" customHeight="1" x14ac:dyDescent="0.25"/>
    <row r="870" ht="15.75" hidden="1" customHeight="1" x14ac:dyDescent="0.25"/>
    <row r="871" ht="15.75" hidden="1" customHeight="1" x14ac:dyDescent="0.25"/>
    <row r="872" ht="15.75" hidden="1" customHeight="1" x14ac:dyDescent="0.25"/>
    <row r="873" ht="15.75" hidden="1" customHeight="1" x14ac:dyDescent="0.25"/>
    <row r="874" ht="15.75" hidden="1" customHeight="1" x14ac:dyDescent="0.25"/>
    <row r="875" ht="15.75" hidden="1" customHeight="1" x14ac:dyDescent="0.25"/>
    <row r="876" ht="15.75" hidden="1" customHeight="1" x14ac:dyDescent="0.25"/>
    <row r="877" ht="15.75" hidden="1" customHeight="1" x14ac:dyDescent="0.25"/>
    <row r="878" ht="15.75" hidden="1" customHeight="1" x14ac:dyDescent="0.25"/>
    <row r="879" ht="15.75" hidden="1" customHeight="1" x14ac:dyDescent="0.25"/>
    <row r="880" ht="15.75" hidden="1" customHeight="1" x14ac:dyDescent="0.25"/>
    <row r="881" ht="15.75" hidden="1" customHeight="1" x14ac:dyDescent="0.25"/>
    <row r="882" ht="15.75" hidden="1" customHeight="1" x14ac:dyDescent="0.25"/>
    <row r="883" ht="15.75" hidden="1" customHeight="1" x14ac:dyDescent="0.25"/>
    <row r="884" ht="15.75" hidden="1" customHeight="1" x14ac:dyDescent="0.25"/>
    <row r="885" ht="15.75" hidden="1" customHeight="1" x14ac:dyDescent="0.25"/>
    <row r="886" ht="15.75" hidden="1" customHeight="1" x14ac:dyDescent="0.25"/>
    <row r="887" ht="15.75" hidden="1" customHeight="1" x14ac:dyDescent="0.25"/>
    <row r="888" ht="15.75" hidden="1" customHeight="1" x14ac:dyDescent="0.25"/>
    <row r="889" ht="15.75" hidden="1" customHeight="1" x14ac:dyDescent="0.25"/>
    <row r="890" ht="15.75" hidden="1" customHeight="1" x14ac:dyDescent="0.25"/>
    <row r="891" ht="15.75" hidden="1" customHeight="1" x14ac:dyDescent="0.25"/>
    <row r="892" ht="15.75" hidden="1" customHeight="1" x14ac:dyDescent="0.25"/>
    <row r="893" ht="15.75" hidden="1" customHeight="1" x14ac:dyDescent="0.25"/>
    <row r="894" ht="15.75" hidden="1" customHeight="1" x14ac:dyDescent="0.25"/>
    <row r="895" ht="15.75" hidden="1" customHeight="1" x14ac:dyDescent="0.25"/>
    <row r="896" ht="15.75" hidden="1" customHeight="1" x14ac:dyDescent="0.25"/>
    <row r="897" ht="15.75" hidden="1" customHeight="1" x14ac:dyDescent="0.25"/>
    <row r="898" ht="15.75" hidden="1" customHeight="1" x14ac:dyDescent="0.25"/>
    <row r="899" ht="15.75" hidden="1" customHeight="1" x14ac:dyDescent="0.25"/>
    <row r="900" ht="15.75" hidden="1" customHeight="1" x14ac:dyDescent="0.25"/>
    <row r="901" ht="15.75" hidden="1" customHeight="1" x14ac:dyDescent="0.25"/>
    <row r="902" ht="15.75" hidden="1" customHeight="1" x14ac:dyDescent="0.25"/>
    <row r="903" ht="15.75" hidden="1" customHeight="1" x14ac:dyDescent="0.25"/>
    <row r="904" ht="15.75" hidden="1" customHeight="1" x14ac:dyDescent="0.25"/>
    <row r="905" ht="15.75" hidden="1" customHeight="1" x14ac:dyDescent="0.25"/>
    <row r="906" ht="15.75" hidden="1" customHeight="1" x14ac:dyDescent="0.25"/>
    <row r="907" ht="15.75" hidden="1" customHeight="1" x14ac:dyDescent="0.25"/>
    <row r="908" ht="15.75" hidden="1" customHeight="1" x14ac:dyDescent="0.25"/>
    <row r="909" ht="15.75" hidden="1" customHeight="1" x14ac:dyDescent="0.25"/>
    <row r="910" ht="15.75" hidden="1" customHeight="1" x14ac:dyDescent="0.25"/>
    <row r="911" ht="15.75" hidden="1" customHeight="1" x14ac:dyDescent="0.25"/>
    <row r="912" ht="15.75" hidden="1" customHeight="1" x14ac:dyDescent="0.25"/>
    <row r="913" ht="15.75" hidden="1" customHeight="1" x14ac:dyDescent="0.25"/>
    <row r="914" ht="15.75" hidden="1" customHeight="1" x14ac:dyDescent="0.25"/>
    <row r="915" ht="15.75" hidden="1" customHeight="1" x14ac:dyDescent="0.25"/>
    <row r="916" ht="15.75" hidden="1" customHeight="1" x14ac:dyDescent="0.25"/>
    <row r="917" ht="15.75" hidden="1" customHeight="1" x14ac:dyDescent="0.25"/>
    <row r="918" ht="15.75" hidden="1" customHeight="1" x14ac:dyDescent="0.25"/>
    <row r="919" ht="15.75" hidden="1" customHeight="1" x14ac:dyDescent="0.25"/>
    <row r="920" ht="15.75" hidden="1" customHeight="1" x14ac:dyDescent="0.25"/>
    <row r="921" ht="15.75" hidden="1" customHeight="1" x14ac:dyDescent="0.25"/>
    <row r="922" ht="15.75" hidden="1" customHeight="1" x14ac:dyDescent="0.25"/>
    <row r="923" ht="15.75" hidden="1" customHeight="1" x14ac:dyDescent="0.25"/>
    <row r="924" ht="15.75" hidden="1" customHeight="1" x14ac:dyDescent="0.25"/>
    <row r="925" ht="15.75" hidden="1" customHeight="1" x14ac:dyDescent="0.25"/>
    <row r="926" ht="15.75" hidden="1" customHeight="1" x14ac:dyDescent="0.25"/>
    <row r="927" ht="15.75" hidden="1" customHeight="1" x14ac:dyDescent="0.25"/>
    <row r="928" ht="15.75" hidden="1" customHeight="1" x14ac:dyDescent="0.25"/>
    <row r="929" ht="15.75" hidden="1" customHeight="1" x14ac:dyDescent="0.25"/>
    <row r="930" ht="15.75" hidden="1" customHeight="1" x14ac:dyDescent="0.25"/>
    <row r="931" ht="15.75" hidden="1" customHeight="1" x14ac:dyDescent="0.25"/>
    <row r="932" ht="15.75" hidden="1" customHeight="1" x14ac:dyDescent="0.25"/>
    <row r="933" ht="15.75" hidden="1" customHeight="1" x14ac:dyDescent="0.25"/>
    <row r="934" ht="15.75" hidden="1" customHeight="1" x14ac:dyDescent="0.25"/>
    <row r="935" ht="15.75" hidden="1" customHeight="1" x14ac:dyDescent="0.25"/>
    <row r="936" ht="15.75" hidden="1" customHeight="1" x14ac:dyDescent="0.25"/>
    <row r="937" ht="15.75" hidden="1" customHeight="1" x14ac:dyDescent="0.25"/>
    <row r="938" ht="15.75" hidden="1" customHeight="1" x14ac:dyDescent="0.25"/>
    <row r="939" ht="15.75" hidden="1" customHeight="1" x14ac:dyDescent="0.25"/>
    <row r="940" ht="15.75" hidden="1" customHeight="1" x14ac:dyDescent="0.25"/>
    <row r="941" ht="15.75" hidden="1" customHeight="1" x14ac:dyDescent="0.25"/>
    <row r="942" ht="15.75" hidden="1" customHeight="1" x14ac:dyDescent="0.25"/>
    <row r="943" ht="15.75" hidden="1" customHeight="1" x14ac:dyDescent="0.25"/>
    <row r="944" ht="15.75" hidden="1" customHeight="1" x14ac:dyDescent="0.25"/>
    <row r="945" ht="15.75" hidden="1" customHeight="1" x14ac:dyDescent="0.25"/>
    <row r="946" ht="15.75" hidden="1" customHeight="1" x14ac:dyDescent="0.25"/>
    <row r="947" ht="15.75" hidden="1" customHeight="1" x14ac:dyDescent="0.25"/>
    <row r="948" ht="15.75" hidden="1" customHeight="1" x14ac:dyDescent="0.25"/>
    <row r="949" ht="15.75" hidden="1" customHeight="1" x14ac:dyDescent="0.25"/>
    <row r="950" ht="15.75" hidden="1" customHeight="1" x14ac:dyDescent="0.25"/>
    <row r="951" ht="15.75" hidden="1" customHeight="1" x14ac:dyDescent="0.25"/>
    <row r="952" ht="15.75" hidden="1" customHeight="1" x14ac:dyDescent="0.25"/>
    <row r="953" ht="15.75" hidden="1" customHeight="1" x14ac:dyDescent="0.25"/>
    <row r="954" ht="15.75" hidden="1" customHeight="1" x14ac:dyDescent="0.25"/>
    <row r="955" ht="15.75" hidden="1" customHeight="1" x14ac:dyDescent="0.25"/>
    <row r="956" ht="15.75" hidden="1" customHeight="1" x14ac:dyDescent="0.25"/>
    <row r="957" ht="15.75" hidden="1" customHeight="1" x14ac:dyDescent="0.25"/>
    <row r="958" ht="15.75" hidden="1" customHeight="1" x14ac:dyDescent="0.25"/>
    <row r="959" ht="15.75" hidden="1" customHeight="1" x14ac:dyDescent="0.25"/>
    <row r="960" ht="15.75" hidden="1" customHeight="1" x14ac:dyDescent="0.25"/>
    <row r="961" ht="15.75" hidden="1" customHeight="1" x14ac:dyDescent="0.25"/>
    <row r="962" ht="15.75" hidden="1" customHeight="1" x14ac:dyDescent="0.25"/>
    <row r="963" ht="15.75" hidden="1" customHeight="1" x14ac:dyDescent="0.25"/>
    <row r="964" ht="15.75" hidden="1" customHeight="1" x14ac:dyDescent="0.25"/>
    <row r="965" ht="15.75" hidden="1" customHeight="1" x14ac:dyDescent="0.25"/>
    <row r="966" ht="15.75" hidden="1" customHeight="1" x14ac:dyDescent="0.25"/>
    <row r="967" ht="15.75" hidden="1" customHeight="1" x14ac:dyDescent="0.25"/>
    <row r="968" ht="15.75" hidden="1" customHeight="1" x14ac:dyDescent="0.25"/>
    <row r="969" ht="15.75" hidden="1" customHeight="1" x14ac:dyDescent="0.25"/>
    <row r="970" ht="15.75" hidden="1" customHeight="1" x14ac:dyDescent="0.25"/>
    <row r="971" ht="15.75" hidden="1" customHeight="1" x14ac:dyDescent="0.25"/>
    <row r="972" ht="15.75" hidden="1" customHeight="1" x14ac:dyDescent="0.25"/>
    <row r="973" ht="15.75" hidden="1" customHeight="1" x14ac:dyDescent="0.25"/>
    <row r="974" ht="15.75" hidden="1" customHeight="1" x14ac:dyDescent="0.25"/>
  </sheetData>
  <autoFilter ref="A1:O480" xr:uid="{00000000-0009-0000-0000-000007000000}"/>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theme="1" tint="0.499984740745262"/>
  </sheetPr>
  <dimension ref="A1:Z1000"/>
  <sheetViews>
    <sheetView showGridLines="0" workbookViewId="0">
      <pane ySplit="1" topLeftCell="A2" activePane="bottomLeft" state="frozen"/>
      <selection pane="bottomLeft" activeCell="E3" sqref="E3"/>
    </sheetView>
  </sheetViews>
  <sheetFormatPr baseColWidth="10" defaultColWidth="0" defaultRowHeight="15" customHeight="1" zeroHeight="1" x14ac:dyDescent="0.25"/>
  <cols>
    <col min="1" max="1" width="11.140625" style="73" customWidth="1"/>
    <col min="2" max="5" width="35.7109375" style="73" customWidth="1"/>
    <col min="6" max="6" width="11.42578125" style="73" customWidth="1"/>
    <col min="7" max="26" width="10.7109375" style="73" hidden="1" customWidth="1"/>
    <col min="27" max="16384" width="14.42578125" style="73" hidden="1"/>
  </cols>
  <sheetData>
    <row r="1" spans="1:5" ht="30" x14ac:dyDescent="0.25">
      <c r="A1" s="71" t="s">
        <v>12</v>
      </c>
      <c r="B1" s="71" t="s">
        <v>1998</v>
      </c>
      <c r="C1" s="71" t="s">
        <v>1999</v>
      </c>
      <c r="D1" s="78" t="s">
        <v>2000</v>
      </c>
      <c r="E1" s="78" t="s">
        <v>2001</v>
      </c>
    </row>
    <row r="2" spans="1:5" ht="30" customHeight="1" x14ac:dyDescent="0.25">
      <c r="A2" s="75">
        <f>[1]Presupuesto!A2</f>
        <v>1</v>
      </c>
      <c r="B2" s="94" t="s">
        <v>2002</v>
      </c>
      <c r="C2" s="95" t="s">
        <v>2003</v>
      </c>
      <c r="D2" s="96" t="s">
        <v>2004</v>
      </c>
      <c r="E2" s="96" t="s">
        <v>2005</v>
      </c>
    </row>
    <row r="3" spans="1:5" ht="30" customHeight="1" x14ac:dyDescent="0.25">
      <c r="A3" s="75">
        <f>[1]Presupuesto!A3</f>
        <v>2</v>
      </c>
      <c r="B3" s="94" t="s">
        <v>2006</v>
      </c>
      <c r="C3" s="94" t="s">
        <v>2007</v>
      </c>
      <c r="D3" s="96" t="s">
        <v>2008</v>
      </c>
      <c r="E3" s="96" t="s">
        <v>2009</v>
      </c>
    </row>
    <row r="4" spans="1:5" ht="30" customHeight="1" x14ac:dyDescent="0.25">
      <c r="A4" s="75">
        <f>[1]Presupuesto!A4</f>
        <v>4</v>
      </c>
      <c r="B4" s="94" t="s">
        <v>2010</v>
      </c>
      <c r="C4" s="95" t="s">
        <v>2011</v>
      </c>
      <c r="D4" s="96" t="s">
        <v>2010</v>
      </c>
      <c r="E4" s="96" t="s">
        <v>2012</v>
      </c>
    </row>
    <row r="5" spans="1:5" ht="30" customHeight="1" x14ac:dyDescent="0.25">
      <c r="A5" s="75">
        <f>[1]Presupuesto!A5</f>
        <v>5</v>
      </c>
      <c r="B5" s="94" t="s">
        <v>2013</v>
      </c>
      <c r="C5" s="95" t="s">
        <v>2014</v>
      </c>
      <c r="D5" s="96" t="s">
        <v>2015</v>
      </c>
      <c r="E5" s="96" t="s">
        <v>2016</v>
      </c>
    </row>
    <row r="6" spans="1:5" ht="30" customHeight="1" x14ac:dyDescent="0.25">
      <c r="A6" s="75">
        <f>[1]Presupuesto!A6</f>
        <v>6</v>
      </c>
      <c r="B6" s="94" t="s">
        <v>2017</v>
      </c>
      <c r="C6" s="95" t="s">
        <v>2018</v>
      </c>
      <c r="D6" s="96" t="s">
        <v>2019</v>
      </c>
      <c r="E6" s="96" t="s">
        <v>2020</v>
      </c>
    </row>
    <row r="7" spans="1:5" ht="30" customHeight="1" x14ac:dyDescent="0.25">
      <c r="A7" s="75">
        <f>[1]Presupuesto!A7</f>
        <v>7</v>
      </c>
      <c r="B7" s="94" t="s">
        <v>2021</v>
      </c>
      <c r="C7" s="95" t="s">
        <v>2022</v>
      </c>
      <c r="D7" s="96" t="s">
        <v>2023</v>
      </c>
      <c r="E7" s="96" t="s">
        <v>2024</v>
      </c>
    </row>
    <row r="8" spans="1:5" ht="30" customHeight="1" x14ac:dyDescent="0.25">
      <c r="A8" s="75">
        <f>[1]Presupuesto!A8</f>
        <v>8</v>
      </c>
      <c r="B8" s="94" t="s">
        <v>2025</v>
      </c>
      <c r="C8" s="95" t="s">
        <v>2026</v>
      </c>
      <c r="D8" s="96" t="s">
        <v>2027</v>
      </c>
      <c r="E8" s="96" t="s">
        <v>2028</v>
      </c>
    </row>
    <row r="9" spans="1:5" ht="30" customHeight="1" x14ac:dyDescent="0.25">
      <c r="A9" s="75">
        <f>[1]Presupuesto!A9</f>
        <v>38</v>
      </c>
      <c r="B9" s="94" t="s">
        <v>2029</v>
      </c>
      <c r="C9" s="95" t="s">
        <v>2030</v>
      </c>
      <c r="D9" s="96" t="s">
        <v>2031</v>
      </c>
      <c r="E9" s="96" t="s">
        <v>2032</v>
      </c>
    </row>
    <row r="10" spans="1:5" ht="30" customHeight="1" x14ac:dyDescent="0.25">
      <c r="A10" s="75">
        <f>[1]Presupuesto!A10</f>
        <v>10</v>
      </c>
      <c r="B10" s="94" t="s">
        <v>2033</v>
      </c>
      <c r="C10" s="95" t="s">
        <v>2034</v>
      </c>
      <c r="D10" s="96" t="s">
        <v>2035</v>
      </c>
      <c r="E10" s="96" t="s">
        <v>2036</v>
      </c>
    </row>
    <row r="11" spans="1:5" ht="30" customHeight="1" x14ac:dyDescent="0.25">
      <c r="A11" s="75">
        <f>[1]Presupuesto!A11</f>
        <v>11</v>
      </c>
      <c r="B11" s="94" t="s">
        <v>2037</v>
      </c>
      <c r="C11" s="95" t="s">
        <v>2038</v>
      </c>
      <c r="D11" s="96" t="s">
        <v>2039</v>
      </c>
      <c r="E11" s="96" t="s">
        <v>2040</v>
      </c>
    </row>
    <row r="12" spans="1:5" ht="30" customHeight="1" x14ac:dyDescent="0.25">
      <c r="A12" s="75">
        <f>[1]Presupuesto!A12</f>
        <v>12</v>
      </c>
      <c r="B12" s="94" t="s">
        <v>2041</v>
      </c>
      <c r="C12" s="95" t="s">
        <v>2038</v>
      </c>
      <c r="D12" s="96" t="s">
        <v>2042</v>
      </c>
      <c r="E12" s="96" t="s">
        <v>2043</v>
      </c>
    </row>
    <row r="13" spans="1:5" ht="30" customHeight="1" x14ac:dyDescent="0.25">
      <c r="A13" s="75">
        <f>[1]Presupuesto!A13</f>
        <v>13</v>
      </c>
      <c r="B13" s="94" t="s">
        <v>2044</v>
      </c>
      <c r="C13" s="95" t="s">
        <v>2045</v>
      </c>
      <c r="D13" s="96" t="s">
        <v>2046</v>
      </c>
      <c r="E13" s="96" t="s">
        <v>2047</v>
      </c>
    </row>
    <row r="14" spans="1:5" ht="30" customHeight="1" x14ac:dyDescent="0.25">
      <c r="A14" s="75">
        <f>[1]Presupuesto!A14</f>
        <v>14</v>
      </c>
      <c r="B14" s="94" t="s">
        <v>2048</v>
      </c>
      <c r="C14" s="95" t="s">
        <v>2049</v>
      </c>
      <c r="D14" s="96" t="s">
        <v>2050</v>
      </c>
      <c r="E14" s="96" t="s">
        <v>2051</v>
      </c>
    </row>
    <row r="15" spans="1:5" ht="30" customHeight="1" x14ac:dyDescent="0.25">
      <c r="A15" s="75">
        <f>[1]Presupuesto!A15</f>
        <v>15</v>
      </c>
      <c r="B15" s="94" t="s">
        <v>2052</v>
      </c>
      <c r="C15" s="95" t="s">
        <v>2053</v>
      </c>
      <c r="D15" s="96" t="s">
        <v>2054</v>
      </c>
      <c r="E15" s="96" t="s">
        <v>2055</v>
      </c>
    </row>
    <row r="16" spans="1:5" ht="30" customHeight="1" x14ac:dyDescent="0.25">
      <c r="A16" s="75">
        <f>[1]Presupuesto!A16</f>
        <v>16</v>
      </c>
      <c r="B16" s="94" t="s">
        <v>2056</v>
      </c>
      <c r="C16" s="95" t="s">
        <v>2057</v>
      </c>
      <c r="D16" s="96" t="s">
        <v>2058</v>
      </c>
      <c r="E16" s="96" t="s">
        <v>2059</v>
      </c>
    </row>
    <row r="17" spans="1:5" ht="30" customHeight="1" x14ac:dyDescent="0.25">
      <c r="A17" s="75">
        <f>[1]Presupuesto!A17</f>
        <v>17</v>
      </c>
      <c r="B17" s="94" t="s">
        <v>2060</v>
      </c>
      <c r="C17" s="95" t="s">
        <v>2061</v>
      </c>
      <c r="D17" s="96" t="s">
        <v>2062</v>
      </c>
      <c r="E17" s="96" t="s">
        <v>2063</v>
      </c>
    </row>
    <row r="18" spans="1:5" ht="30" customHeight="1" x14ac:dyDescent="0.25">
      <c r="A18" s="75">
        <f>[1]Presupuesto!A18</f>
        <v>18</v>
      </c>
      <c r="B18" s="94" t="s">
        <v>2064</v>
      </c>
      <c r="C18" s="95" t="s">
        <v>2065</v>
      </c>
      <c r="D18" s="96" t="s">
        <v>2066</v>
      </c>
      <c r="E18" s="96" t="s">
        <v>2067</v>
      </c>
    </row>
    <row r="19" spans="1:5" ht="30" customHeight="1" x14ac:dyDescent="0.25">
      <c r="A19" s="75">
        <f>[1]Presupuesto!A19</f>
        <v>19</v>
      </c>
      <c r="B19" s="94" t="s">
        <v>2068</v>
      </c>
      <c r="C19" s="95" t="s">
        <v>2069</v>
      </c>
      <c r="D19" s="96" t="s">
        <v>2070</v>
      </c>
      <c r="E19" s="96" t="s">
        <v>2071</v>
      </c>
    </row>
    <row r="20" spans="1:5" ht="30" customHeight="1" x14ac:dyDescent="0.25">
      <c r="A20" s="75">
        <f>[1]Presupuesto!A20</f>
        <v>20</v>
      </c>
      <c r="B20" s="94" t="s">
        <v>2072</v>
      </c>
      <c r="C20" s="95" t="s">
        <v>2073</v>
      </c>
      <c r="D20" s="96" t="s">
        <v>2074</v>
      </c>
      <c r="E20" s="96" t="s">
        <v>2075</v>
      </c>
    </row>
    <row r="21" spans="1:5" ht="30" customHeight="1" x14ac:dyDescent="0.25">
      <c r="A21" s="75">
        <f>[1]Presupuesto!A21</f>
        <v>23</v>
      </c>
      <c r="B21" s="94" t="s">
        <v>2076</v>
      </c>
      <c r="C21" s="95" t="s">
        <v>2077</v>
      </c>
      <c r="D21" s="96" t="s">
        <v>2078</v>
      </c>
      <c r="E21" s="96" t="s">
        <v>2079</v>
      </c>
    </row>
    <row r="22" spans="1:5" ht="30" customHeight="1" x14ac:dyDescent="0.25">
      <c r="A22" s="75">
        <f>[1]Presupuesto!A22</f>
        <v>24</v>
      </c>
      <c r="B22" s="94" t="s">
        <v>2080</v>
      </c>
      <c r="C22" s="95" t="s">
        <v>2081</v>
      </c>
      <c r="D22" s="96" t="s">
        <v>2082</v>
      </c>
      <c r="E22" s="96" t="s">
        <v>2083</v>
      </c>
    </row>
    <row r="23" spans="1:5" ht="30" customHeight="1" x14ac:dyDescent="0.25">
      <c r="A23" s="75">
        <f>[1]Presupuesto!A23</f>
        <v>25</v>
      </c>
      <c r="B23" s="94" t="s">
        <v>2084</v>
      </c>
      <c r="C23" s="94" t="s">
        <v>2085</v>
      </c>
      <c r="D23" s="96" t="s">
        <v>2086</v>
      </c>
      <c r="E23" s="96" t="s">
        <v>2087</v>
      </c>
    </row>
    <row r="24" spans="1:5" ht="30" customHeight="1" x14ac:dyDescent="0.25">
      <c r="A24" s="75">
        <f>[1]Presupuesto!A24</f>
        <v>27</v>
      </c>
      <c r="B24" s="94" t="s">
        <v>2088</v>
      </c>
      <c r="C24" s="94" t="s">
        <v>2089</v>
      </c>
      <c r="D24" s="96" t="s">
        <v>2090</v>
      </c>
      <c r="E24" s="96" t="s">
        <v>2091</v>
      </c>
    </row>
    <row r="25" spans="1:5" ht="30" customHeight="1" x14ac:dyDescent="0.25">
      <c r="A25" s="75">
        <f>[1]Presupuesto!A25</f>
        <v>28</v>
      </c>
      <c r="B25" s="94" t="s">
        <v>2092</v>
      </c>
      <c r="C25" s="94" t="s">
        <v>2093</v>
      </c>
      <c r="D25" s="96" t="s">
        <v>2094</v>
      </c>
      <c r="E25" s="96" t="s">
        <v>2059</v>
      </c>
    </row>
    <row r="26" spans="1:5" ht="30" customHeight="1" x14ac:dyDescent="0.25">
      <c r="A26" s="75">
        <f>[1]Presupuesto!A26</f>
        <v>29</v>
      </c>
      <c r="B26" s="94" t="s">
        <v>2095</v>
      </c>
      <c r="C26" s="95" t="s">
        <v>2096</v>
      </c>
      <c r="D26" s="96" t="s">
        <v>2097</v>
      </c>
      <c r="E26" s="96" t="s">
        <v>2098</v>
      </c>
    </row>
    <row r="27" spans="1:5" ht="30" customHeight="1" x14ac:dyDescent="0.25">
      <c r="A27" s="75">
        <f>[1]Presupuesto!A27</f>
        <v>30</v>
      </c>
      <c r="B27" s="94" t="s">
        <v>2099</v>
      </c>
      <c r="C27" s="95" t="s">
        <v>2100</v>
      </c>
      <c r="D27" s="96" t="s">
        <v>2101</v>
      </c>
      <c r="E27" s="96" t="s">
        <v>2102</v>
      </c>
    </row>
    <row r="28" spans="1:5" ht="30" customHeight="1" x14ac:dyDescent="0.25">
      <c r="A28" s="75">
        <f>[1]Presupuesto!A28</f>
        <v>31</v>
      </c>
      <c r="B28" s="94" t="s">
        <v>2103</v>
      </c>
      <c r="C28" s="95" t="s">
        <v>2104</v>
      </c>
      <c r="D28" s="96" t="s">
        <v>2105</v>
      </c>
      <c r="E28" s="96" t="s">
        <v>2106</v>
      </c>
    </row>
    <row r="29" spans="1:5" ht="30" customHeight="1" x14ac:dyDescent="0.25">
      <c r="A29" s="75">
        <f>[1]Presupuesto!A29</f>
        <v>32</v>
      </c>
      <c r="B29" s="94" t="s">
        <v>2107</v>
      </c>
      <c r="C29" s="95" t="s">
        <v>2108</v>
      </c>
      <c r="D29" s="96" t="s">
        <v>2109</v>
      </c>
      <c r="E29" s="96" t="s">
        <v>2110</v>
      </c>
    </row>
    <row r="30" spans="1:5" ht="30" customHeight="1" x14ac:dyDescent="0.25">
      <c r="A30" s="75">
        <f>[1]Presupuesto!A30</f>
        <v>34</v>
      </c>
      <c r="B30" s="94" t="s">
        <v>2111</v>
      </c>
      <c r="C30" s="95" t="s">
        <v>2034</v>
      </c>
      <c r="D30" s="96" t="s">
        <v>2112</v>
      </c>
      <c r="E30" s="96" t="s">
        <v>2034</v>
      </c>
    </row>
    <row r="31" spans="1:5" ht="30" customHeight="1" x14ac:dyDescent="0.25">
      <c r="A31" s="75">
        <f>[1]Presupuesto!A31</f>
        <v>35</v>
      </c>
      <c r="B31" s="94" t="s">
        <v>2113</v>
      </c>
      <c r="C31" s="94" t="s">
        <v>2114</v>
      </c>
      <c r="D31" s="96" t="s">
        <v>2115</v>
      </c>
      <c r="E31" s="96" t="s">
        <v>2116</v>
      </c>
    </row>
    <row r="32" spans="1:5" ht="30" customHeight="1" x14ac:dyDescent="0.25">
      <c r="A32" s="75">
        <f>[1]Presupuesto!A32</f>
        <v>36</v>
      </c>
      <c r="B32" s="94" t="s">
        <v>2117</v>
      </c>
      <c r="C32" s="95" t="s">
        <v>2118</v>
      </c>
      <c r="D32" s="96" t="s">
        <v>2119</v>
      </c>
      <c r="E32" s="96" t="s">
        <v>2120</v>
      </c>
    </row>
    <row r="33" spans="1:5" ht="30" customHeight="1" x14ac:dyDescent="0.25">
      <c r="A33" s="75">
        <f>[1]Presupuesto!A33</f>
        <v>39</v>
      </c>
      <c r="B33" s="94" t="s">
        <v>2121</v>
      </c>
      <c r="C33" s="94" t="s">
        <v>2122</v>
      </c>
      <c r="D33" s="96" t="s">
        <v>2123</v>
      </c>
      <c r="E33" s="96" t="s">
        <v>2124</v>
      </c>
    </row>
    <row r="34" spans="1:5" ht="30" customHeight="1" x14ac:dyDescent="0.25">
      <c r="A34" s="75">
        <f>[1]Presupuesto!A34</f>
        <v>40</v>
      </c>
      <c r="B34" s="94" t="s">
        <v>2125</v>
      </c>
      <c r="C34" s="95" t="s">
        <v>2126</v>
      </c>
      <c r="D34" s="96" t="s">
        <v>2127</v>
      </c>
      <c r="E34" s="96" t="s">
        <v>2128</v>
      </c>
    </row>
    <row r="35" spans="1:5" ht="30" customHeight="1" x14ac:dyDescent="0.25">
      <c r="A35" s="75">
        <f>[1]Presupuesto!A35</f>
        <v>42</v>
      </c>
      <c r="B35" s="94" t="s">
        <v>2129</v>
      </c>
      <c r="C35" s="95" t="s">
        <v>2130</v>
      </c>
      <c r="D35" s="96" t="s">
        <v>2131</v>
      </c>
      <c r="E35" s="96" t="s">
        <v>2132</v>
      </c>
    </row>
    <row r="36" spans="1:5" ht="30" customHeight="1" x14ac:dyDescent="0.25">
      <c r="A36" s="75">
        <f>[1]Presupuesto!A36</f>
        <v>43</v>
      </c>
      <c r="B36" s="94" t="s">
        <v>2033</v>
      </c>
      <c r="C36" s="95" t="s">
        <v>2133</v>
      </c>
      <c r="D36" s="96" t="s">
        <v>2134</v>
      </c>
      <c r="E36" s="96" t="s">
        <v>2135</v>
      </c>
    </row>
    <row r="37" spans="1:5" ht="30" customHeight="1" x14ac:dyDescent="0.25">
      <c r="A37" s="75">
        <f>[1]Presupuesto!A37</f>
        <v>44</v>
      </c>
      <c r="B37" s="94" t="s">
        <v>2136</v>
      </c>
      <c r="C37" s="95" t="s">
        <v>2137</v>
      </c>
      <c r="D37" s="96" t="s">
        <v>2138</v>
      </c>
      <c r="E37" s="96" t="s">
        <v>2139</v>
      </c>
    </row>
    <row r="38" spans="1:5" ht="30" customHeight="1" x14ac:dyDescent="0.25">
      <c r="A38" s="75">
        <f>[1]Presupuesto!A38</f>
        <v>45</v>
      </c>
      <c r="B38" s="94" t="s">
        <v>2140</v>
      </c>
      <c r="C38" s="95" t="s">
        <v>2141</v>
      </c>
      <c r="D38" s="96" t="s">
        <v>2142</v>
      </c>
      <c r="E38" s="96" t="s">
        <v>2143</v>
      </c>
    </row>
    <row r="39" spans="1:5" ht="30" customHeight="1" x14ac:dyDescent="0.25">
      <c r="A39" s="75">
        <f>[1]Presupuesto!A39</f>
        <v>46</v>
      </c>
      <c r="B39" s="94" t="s">
        <v>2144</v>
      </c>
      <c r="C39" s="95" t="s">
        <v>2145</v>
      </c>
      <c r="D39" s="96" t="s">
        <v>2146</v>
      </c>
      <c r="E39" s="96" t="s">
        <v>2147</v>
      </c>
    </row>
    <row r="40" spans="1:5" ht="30" customHeight="1" x14ac:dyDescent="0.25">
      <c r="A40" s="75">
        <f>[1]Presupuesto!A40</f>
        <v>47</v>
      </c>
      <c r="B40" s="94" t="s">
        <v>2148</v>
      </c>
      <c r="C40" s="94" t="s">
        <v>2149</v>
      </c>
      <c r="D40" s="96" t="s">
        <v>2150</v>
      </c>
      <c r="E40" s="96" t="s">
        <v>2151</v>
      </c>
    </row>
    <row r="41" spans="1:5" ht="30" customHeight="1" x14ac:dyDescent="0.25">
      <c r="A41" s="75">
        <f>[1]Presupuesto!A41</f>
        <v>48</v>
      </c>
      <c r="B41" s="94" t="s">
        <v>2152</v>
      </c>
      <c r="C41" s="94" t="s">
        <v>2153</v>
      </c>
      <c r="D41" s="96" t="s">
        <v>2154</v>
      </c>
      <c r="E41" s="96" t="s">
        <v>2155</v>
      </c>
    </row>
    <row r="42" spans="1:5" ht="30" customHeight="1" x14ac:dyDescent="0.25">
      <c r="A42" s="75">
        <f>[1]Presupuesto!A42</f>
        <v>49</v>
      </c>
      <c r="B42" s="94" t="s">
        <v>2156</v>
      </c>
      <c r="C42" s="94" t="s">
        <v>2157</v>
      </c>
      <c r="D42" s="96" t="s">
        <v>2158</v>
      </c>
      <c r="E42" s="96" t="s">
        <v>2159</v>
      </c>
    </row>
    <row r="43" spans="1:5" ht="30" customHeight="1" x14ac:dyDescent="0.25">
      <c r="A43" s="75">
        <f>[1]Presupuesto!A43</f>
        <v>50</v>
      </c>
      <c r="B43" s="94" t="s">
        <v>2160</v>
      </c>
      <c r="C43" s="95" t="s">
        <v>2161</v>
      </c>
      <c r="D43" s="96" t="s">
        <v>2162</v>
      </c>
      <c r="E43" s="96" t="s">
        <v>2163</v>
      </c>
    </row>
    <row r="44" spans="1:5" ht="30" customHeight="1" x14ac:dyDescent="0.25">
      <c r="A44" s="75">
        <f>[1]Presupuesto!A44</f>
        <v>51</v>
      </c>
      <c r="B44" s="94" t="s">
        <v>2164</v>
      </c>
      <c r="C44" s="95" t="s">
        <v>2165</v>
      </c>
      <c r="D44" s="96" t="s">
        <v>2166</v>
      </c>
      <c r="E44" s="96" t="s">
        <v>2167</v>
      </c>
    </row>
    <row r="45" spans="1:5" ht="30" customHeight="1" x14ac:dyDescent="0.25">
      <c r="A45" s="75">
        <f>[1]Presupuesto!A45</f>
        <v>52</v>
      </c>
      <c r="B45" s="94" t="s">
        <v>2168</v>
      </c>
      <c r="C45" s="95" t="s">
        <v>2169</v>
      </c>
      <c r="D45" s="96" t="s">
        <v>2170</v>
      </c>
      <c r="E45" s="96" t="s">
        <v>2171</v>
      </c>
    </row>
    <row r="46" spans="1:5" ht="30" customHeight="1" x14ac:dyDescent="0.25">
      <c r="A46" s="75">
        <f>[1]Presupuesto!A46</f>
        <v>53</v>
      </c>
      <c r="B46" s="94" t="s">
        <v>2172</v>
      </c>
      <c r="C46" s="94" t="s">
        <v>2173</v>
      </c>
      <c r="D46" s="96" t="s">
        <v>2174</v>
      </c>
      <c r="E46" s="96" t="s">
        <v>2175</v>
      </c>
    </row>
    <row r="47" spans="1:5" ht="30" customHeight="1" x14ac:dyDescent="0.25">
      <c r="A47" s="75">
        <f>[1]Presupuesto!A47</f>
        <v>54</v>
      </c>
      <c r="B47" s="94" t="s">
        <v>2176</v>
      </c>
      <c r="C47" s="95" t="s">
        <v>2177</v>
      </c>
      <c r="D47" s="96" t="s">
        <v>2178</v>
      </c>
      <c r="E47" s="96" t="s">
        <v>2179</v>
      </c>
    </row>
    <row r="48" spans="1:5" ht="30" customHeight="1" x14ac:dyDescent="0.25">
      <c r="A48" s="75">
        <f>[1]Presupuesto!A48</f>
        <v>55</v>
      </c>
      <c r="B48" s="94" t="s">
        <v>2180</v>
      </c>
      <c r="C48" s="95" t="s">
        <v>2181</v>
      </c>
      <c r="D48" s="96" t="s">
        <v>2182</v>
      </c>
      <c r="E48" s="96" t="s">
        <v>2183</v>
      </c>
    </row>
    <row r="49" spans="1:5" ht="30" customHeight="1" x14ac:dyDescent="0.25">
      <c r="A49" s="75">
        <f>[1]Presupuesto!A49</f>
        <v>56</v>
      </c>
      <c r="B49" s="94" t="s">
        <v>2184</v>
      </c>
      <c r="C49" s="95" t="s">
        <v>2185</v>
      </c>
      <c r="D49" s="96" t="s">
        <v>2186</v>
      </c>
      <c r="E49" s="96" t="s">
        <v>2186</v>
      </c>
    </row>
    <row r="50" spans="1:5" ht="30" customHeight="1" x14ac:dyDescent="0.25">
      <c r="A50" s="75">
        <f>[1]Presupuesto!A50</f>
        <v>57</v>
      </c>
      <c r="B50" s="94" t="s">
        <v>2187</v>
      </c>
      <c r="C50" s="95" t="s">
        <v>2188</v>
      </c>
      <c r="D50" s="96" t="s">
        <v>2189</v>
      </c>
      <c r="E50" s="96" t="s">
        <v>2190</v>
      </c>
    </row>
    <row r="51" spans="1:5" ht="30" customHeight="1" x14ac:dyDescent="0.25">
      <c r="A51" s="75">
        <f>[1]Presupuesto!A51</f>
        <v>58</v>
      </c>
      <c r="B51" s="94" t="s">
        <v>2191</v>
      </c>
      <c r="C51" s="95" t="s">
        <v>2192</v>
      </c>
      <c r="D51" s="96" t="s">
        <v>2193</v>
      </c>
      <c r="E51" s="96" t="s">
        <v>2194</v>
      </c>
    </row>
    <row r="52" spans="1:5" ht="30" customHeight="1" x14ac:dyDescent="0.25">
      <c r="A52" s="75">
        <f>[1]Presupuesto!A52</f>
        <v>59</v>
      </c>
      <c r="B52" s="94" t="s">
        <v>2195</v>
      </c>
      <c r="C52" s="95" t="s">
        <v>2196</v>
      </c>
      <c r="D52" s="96" t="s">
        <v>2197</v>
      </c>
      <c r="E52" s="96" t="s">
        <v>2198</v>
      </c>
    </row>
    <row r="53" spans="1:5" ht="30" customHeight="1" x14ac:dyDescent="0.25">
      <c r="A53" s="75">
        <f>[1]Presupuesto!A53</f>
        <v>60</v>
      </c>
      <c r="B53" s="94" t="s">
        <v>2199</v>
      </c>
      <c r="C53" s="95" t="s">
        <v>2200</v>
      </c>
      <c r="D53" s="96" t="s">
        <v>2201</v>
      </c>
      <c r="E53" s="96" t="s">
        <v>2202</v>
      </c>
    </row>
    <row r="54" spans="1:5" ht="30" customHeight="1" x14ac:dyDescent="0.25">
      <c r="A54" s="75">
        <f>[1]Presupuesto!A54</f>
        <v>61</v>
      </c>
      <c r="B54" s="94" t="s">
        <v>2203</v>
      </c>
      <c r="C54" s="95" t="s">
        <v>2204</v>
      </c>
      <c r="D54" s="96" t="s">
        <v>2205</v>
      </c>
      <c r="E54" s="96" t="s">
        <v>2206</v>
      </c>
    </row>
    <row r="55" spans="1:5" ht="30" customHeight="1" x14ac:dyDescent="0.25">
      <c r="A55" s="75">
        <f>[1]Presupuesto!A55</f>
        <v>62</v>
      </c>
      <c r="B55" s="94" t="s">
        <v>2207</v>
      </c>
      <c r="C55" s="94" t="s">
        <v>2208</v>
      </c>
      <c r="D55" s="96" t="s">
        <v>2209</v>
      </c>
      <c r="E55" s="96" t="s">
        <v>2210</v>
      </c>
    </row>
    <row r="56" spans="1:5" ht="30" customHeight="1" x14ac:dyDescent="0.25">
      <c r="A56" s="75">
        <f>[1]Presupuesto!A56</f>
        <v>65</v>
      </c>
      <c r="B56" s="94" t="s">
        <v>2211</v>
      </c>
      <c r="C56" s="95" t="s">
        <v>2212</v>
      </c>
      <c r="D56" s="96" t="s">
        <v>2213</v>
      </c>
      <c r="E56" s="96" t="s">
        <v>2214</v>
      </c>
    </row>
    <row r="57" spans="1:5" ht="30" customHeight="1" x14ac:dyDescent="0.25">
      <c r="A57" s="75">
        <f>[1]Presupuesto!A57</f>
        <v>66</v>
      </c>
      <c r="B57" s="94" t="s">
        <v>2215</v>
      </c>
      <c r="C57" s="95" t="s">
        <v>2216</v>
      </c>
      <c r="D57" s="96" t="s">
        <v>2217</v>
      </c>
      <c r="E57" s="96" t="s">
        <v>2218</v>
      </c>
    </row>
    <row r="58" spans="1:5" ht="30" customHeight="1" x14ac:dyDescent="0.25">
      <c r="A58" s="75">
        <f>[1]Presupuesto!A58</f>
        <v>3</v>
      </c>
      <c r="B58" s="94" t="s">
        <v>2219</v>
      </c>
      <c r="C58" s="94" t="s">
        <v>2220</v>
      </c>
      <c r="D58" s="96" t="s">
        <v>2221</v>
      </c>
      <c r="E58" s="96" t="s">
        <v>2222</v>
      </c>
    </row>
    <row r="59" spans="1:5" ht="30" customHeight="1" x14ac:dyDescent="0.25">
      <c r="A59" s="75">
        <f>[1]Presupuesto!A59</f>
        <v>21</v>
      </c>
      <c r="B59" s="94" t="s">
        <v>2223</v>
      </c>
      <c r="C59" s="95" t="s">
        <v>2224</v>
      </c>
      <c r="D59" s="96" t="s">
        <v>2225</v>
      </c>
      <c r="E59" s="96" t="s">
        <v>2226</v>
      </c>
    </row>
    <row r="60" spans="1:5" ht="30" customHeight="1" x14ac:dyDescent="0.25">
      <c r="A60" s="75">
        <f>[1]Presupuesto!A60</f>
        <v>22</v>
      </c>
      <c r="B60" s="94" t="s">
        <v>2227</v>
      </c>
      <c r="C60" s="95" t="s">
        <v>2228</v>
      </c>
      <c r="D60" s="96" t="s">
        <v>2229</v>
      </c>
      <c r="E60" s="96" t="s">
        <v>2230</v>
      </c>
    </row>
    <row r="61" spans="1:5" ht="30" customHeight="1" x14ac:dyDescent="0.25">
      <c r="A61" s="75">
        <f>[1]Presupuesto!A61</f>
        <v>26</v>
      </c>
      <c r="B61" s="97" t="s">
        <v>2231</v>
      </c>
      <c r="C61" s="97" t="s">
        <v>2232</v>
      </c>
      <c r="D61" s="96" t="s">
        <v>2233</v>
      </c>
      <c r="E61" s="96" t="s">
        <v>2234</v>
      </c>
    </row>
    <row r="62" spans="1:5" ht="30" customHeight="1" x14ac:dyDescent="0.25">
      <c r="A62" s="75">
        <f>[1]Presupuesto!A62</f>
        <v>33</v>
      </c>
      <c r="B62" s="94" t="s">
        <v>2235</v>
      </c>
      <c r="C62" s="95" t="s">
        <v>2236</v>
      </c>
      <c r="D62" s="96" t="s">
        <v>2237</v>
      </c>
      <c r="E62" s="96" t="s">
        <v>2238</v>
      </c>
    </row>
    <row r="63" spans="1:5" ht="30" customHeight="1" x14ac:dyDescent="0.25">
      <c r="A63" s="75">
        <f>[1]Presupuesto!A63</f>
        <v>37</v>
      </c>
      <c r="B63" s="94" t="s">
        <v>2239</v>
      </c>
      <c r="C63" s="95" t="s">
        <v>2240</v>
      </c>
      <c r="D63" s="96" t="s">
        <v>2241</v>
      </c>
      <c r="E63" s="96" t="s">
        <v>2242</v>
      </c>
    </row>
    <row r="64" spans="1:5" ht="30" customHeight="1" x14ac:dyDescent="0.25">
      <c r="A64" s="75">
        <f>[1]Presupuesto!A64</f>
        <v>41</v>
      </c>
      <c r="B64" s="94" t="s">
        <v>2243</v>
      </c>
      <c r="C64" s="95" t="s">
        <v>2244</v>
      </c>
      <c r="D64" s="96" t="s">
        <v>2245</v>
      </c>
      <c r="E64" s="96" t="s">
        <v>2246</v>
      </c>
    </row>
    <row r="65" spans="1:5" ht="30" customHeight="1" x14ac:dyDescent="0.25">
      <c r="A65" s="75">
        <f>[1]Presupuesto!A65</f>
        <v>9</v>
      </c>
      <c r="B65" s="94" t="s">
        <v>2029</v>
      </c>
      <c r="C65" s="95" t="s">
        <v>2030</v>
      </c>
      <c r="D65" s="96" t="s">
        <v>2247</v>
      </c>
      <c r="E65" s="96" t="s">
        <v>2248</v>
      </c>
    </row>
    <row r="66" spans="1:5" ht="30" customHeight="1" x14ac:dyDescent="0.25">
      <c r="A66" s="75">
        <f>[1]Presupuesto!A66</f>
        <v>0</v>
      </c>
      <c r="B66" s="94"/>
      <c r="C66" s="95"/>
      <c r="D66" s="94"/>
      <c r="E66" s="95"/>
    </row>
    <row r="67" spans="1:5" ht="30" customHeight="1" x14ac:dyDescent="0.25">
      <c r="A67" s="75">
        <f>[1]Presupuesto!A66</f>
        <v>0</v>
      </c>
      <c r="B67" s="94"/>
      <c r="C67" s="95"/>
      <c r="D67" s="94"/>
      <c r="E67" s="95"/>
    </row>
    <row r="68" spans="1:5" ht="30" customHeight="1" x14ac:dyDescent="0.25">
      <c r="A68" s="75">
        <f>[1]Presupuesto!A67</f>
        <v>0</v>
      </c>
      <c r="B68" s="94"/>
      <c r="C68" s="95"/>
      <c r="D68" s="94"/>
      <c r="E68" s="95"/>
    </row>
    <row r="69" spans="1:5" ht="30" customHeight="1" x14ac:dyDescent="0.25">
      <c r="A69" s="75">
        <f>[1]Presupuesto!A68</f>
        <v>0</v>
      </c>
      <c r="B69" s="94"/>
      <c r="C69" s="95"/>
      <c r="D69" s="94"/>
      <c r="E69" s="95"/>
    </row>
    <row r="70" spans="1:5" ht="30" customHeight="1" x14ac:dyDescent="0.25">
      <c r="A70" s="75">
        <f>[1]Presupuesto!A69</f>
        <v>0</v>
      </c>
      <c r="B70" s="94"/>
      <c r="C70" s="95"/>
      <c r="D70" s="94"/>
      <c r="E70" s="95"/>
    </row>
    <row r="71" spans="1:5" ht="15.75" customHeight="1" x14ac:dyDescent="0.25">
      <c r="A71" s="98"/>
    </row>
    <row r="72" spans="1:5" ht="15.75" hidden="1" customHeight="1" x14ac:dyDescent="0.25">
      <c r="A72" s="98"/>
    </row>
    <row r="73" spans="1:5" ht="15.75" hidden="1" customHeight="1" x14ac:dyDescent="0.25">
      <c r="A73" s="98"/>
    </row>
    <row r="74" spans="1:5" ht="15.75" hidden="1" customHeight="1" x14ac:dyDescent="0.25">
      <c r="A74" s="98"/>
    </row>
    <row r="75" spans="1:5" ht="15.75" hidden="1" customHeight="1" x14ac:dyDescent="0.25">
      <c r="A75" s="98"/>
    </row>
    <row r="76" spans="1:5" ht="15.75" hidden="1" customHeight="1" x14ac:dyDescent="0.25">
      <c r="A76" s="98"/>
    </row>
    <row r="77" spans="1:5" ht="15.75" hidden="1" customHeight="1" x14ac:dyDescent="0.25">
      <c r="A77" s="98"/>
    </row>
    <row r="78" spans="1:5" ht="15.75" hidden="1" customHeight="1" x14ac:dyDescent="0.25">
      <c r="A78" s="98"/>
    </row>
    <row r="79" spans="1:5" ht="15.75" hidden="1" customHeight="1" x14ac:dyDescent="0.25">
      <c r="A79" s="98"/>
    </row>
    <row r="80" spans="1:5" ht="15.75" hidden="1" customHeight="1" x14ac:dyDescent="0.25">
      <c r="A80" s="98"/>
    </row>
    <row r="81" spans="1:1" ht="15.75" hidden="1" customHeight="1" x14ac:dyDescent="0.25">
      <c r="A81" s="98"/>
    </row>
    <row r="82" spans="1:1" ht="15.75" hidden="1" customHeight="1" x14ac:dyDescent="0.25">
      <c r="A82" s="98"/>
    </row>
    <row r="83" spans="1:1" ht="15.75" hidden="1" customHeight="1" x14ac:dyDescent="0.25">
      <c r="A83" s="98"/>
    </row>
    <row r="84" spans="1:1" ht="15.75" hidden="1" customHeight="1" x14ac:dyDescent="0.25">
      <c r="A84" s="98"/>
    </row>
    <row r="85" spans="1:1" ht="15.75" hidden="1" customHeight="1" x14ac:dyDescent="0.25">
      <c r="A85" s="98"/>
    </row>
    <row r="86" spans="1:1" ht="15.75" hidden="1" customHeight="1" x14ac:dyDescent="0.25">
      <c r="A86" s="98"/>
    </row>
    <row r="87" spans="1:1" ht="15.75" hidden="1" customHeight="1" x14ac:dyDescent="0.25">
      <c r="A87" s="98"/>
    </row>
    <row r="88" spans="1:1" ht="15.75" hidden="1" customHeight="1" x14ac:dyDescent="0.25">
      <c r="A88" s="98"/>
    </row>
    <row r="89" spans="1:1" ht="15.75" hidden="1" customHeight="1" x14ac:dyDescent="0.25">
      <c r="A89" s="98"/>
    </row>
    <row r="90" spans="1:1" ht="15.75" hidden="1" customHeight="1" x14ac:dyDescent="0.25">
      <c r="A90" s="98"/>
    </row>
    <row r="91" spans="1:1" ht="15.75" hidden="1" customHeight="1" x14ac:dyDescent="0.25">
      <c r="A91" s="98"/>
    </row>
    <row r="92" spans="1:1" ht="15.75" hidden="1" customHeight="1" x14ac:dyDescent="0.25">
      <c r="A92" s="98"/>
    </row>
    <row r="93" spans="1:1" ht="15.75" hidden="1" customHeight="1" x14ac:dyDescent="0.25">
      <c r="A93" s="98"/>
    </row>
    <row r="94" spans="1:1" ht="15.75" hidden="1" customHeight="1" x14ac:dyDescent="0.25">
      <c r="A94" s="98"/>
    </row>
    <row r="95" spans="1:1" ht="15.75" hidden="1" customHeight="1" x14ac:dyDescent="0.25">
      <c r="A95" s="98"/>
    </row>
    <row r="96" spans="1:1" ht="15.75" hidden="1" customHeight="1" x14ac:dyDescent="0.25">
      <c r="A96" s="98"/>
    </row>
    <row r="97" spans="1:1" ht="15.75" hidden="1" customHeight="1" x14ac:dyDescent="0.25">
      <c r="A97" s="98"/>
    </row>
    <row r="98" spans="1:1" ht="15.75" hidden="1" customHeight="1" x14ac:dyDescent="0.25">
      <c r="A98" s="98"/>
    </row>
    <row r="99" spans="1:1" ht="15.75" hidden="1" customHeight="1" x14ac:dyDescent="0.25">
      <c r="A99" s="98"/>
    </row>
    <row r="100" spans="1:1" ht="15.75" hidden="1" customHeight="1" x14ac:dyDescent="0.25">
      <c r="A100" s="98"/>
    </row>
    <row r="101" spans="1:1" ht="15.75" hidden="1" customHeight="1" x14ac:dyDescent="0.25">
      <c r="A101" s="98"/>
    </row>
    <row r="102" spans="1:1" ht="15.75" hidden="1" customHeight="1" x14ac:dyDescent="0.25">
      <c r="A102" s="98"/>
    </row>
    <row r="103" spans="1:1" ht="15.75" hidden="1" customHeight="1" x14ac:dyDescent="0.25">
      <c r="A103" s="98"/>
    </row>
    <row r="104" spans="1:1" ht="15.75" hidden="1" customHeight="1" x14ac:dyDescent="0.25">
      <c r="A104" s="98"/>
    </row>
    <row r="105" spans="1:1" ht="15.75" hidden="1" customHeight="1" x14ac:dyDescent="0.25">
      <c r="A105" s="98"/>
    </row>
    <row r="106" spans="1:1" ht="15.75" hidden="1" customHeight="1" x14ac:dyDescent="0.25">
      <c r="A106" s="98"/>
    </row>
    <row r="107" spans="1:1" ht="15.75" hidden="1" customHeight="1" x14ac:dyDescent="0.25">
      <c r="A107" s="98"/>
    </row>
    <row r="108" spans="1:1" ht="15.75" hidden="1" customHeight="1" x14ac:dyDescent="0.25">
      <c r="A108" s="98"/>
    </row>
    <row r="109" spans="1:1" ht="15.75" hidden="1" customHeight="1" x14ac:dyDescent="0.25">
      <c r="A109" s="98"/>
    </row>
    <row r="110" spans="1:1" ht="15.75" hidden="1" customHeight="1" x14ac:dyDescent="0.25">
      <c r="A110" s="98"/>
    </row>
    <row r="111" spans="1:1" ht="15.75" hidden="1" customHeight="1" x14ac:dyDescent="0.25">
      <c r="A111" s="98"/>
    </row>
    <row r="112" spans="1:1" ht="15.75" hidden="1" customHeight="1" x14ac:dyDescent="0.25">
      <c r="A112" s="98"/>
    </row>
    <row r="113" spans="1:1" ht="15.75" hidden="1" customHeight="1" x14ac:dyDescent="0.25">
      <c r="A113" s="98"/>
    </row>
    <row r="114" spans="1:1" ht="15.75" hidden="1" customHeight="1" x14ac:dyDescent="0.25">
      <c r="A114" s="98"/>
    </row>
    <row r="115" spans="1:1" ht="15.75" hidden="1" customHeight="1" x14ac:dyDescent="0.25">
      <c r="A115" s="98"/>
    </row>
    <row r="116" spans="1:1" ht="15.75" hidden="1" customHeight="1" x14ac:dyDescent="0.25">
      <c r="A116" s="98"/>
    </row>
    <row r="117" spans="1:1" ht="15.75" hidden="1" customHeight="1" x14ac:dyDescent="0.25">
      <c r="A117" s="98"/>
    </row>
    <row r="118" spans="1:1" ht="15.75" hidden="1" customHeight="1" x14ac:dyDescent="0.25">
      <c r="A118" s="98"/>
    </row>
    <row r="119" spans="1:1" ht="15.75" hidden="1" customHeight="1" x14ac:dyDescent="0.25">
      <c r="A119" s="98"/>
    </row>
    <row r="120" spans="1:1" ht="15.75" hidden="1" customHeight="1" x14ac:dyDescent="0.25">
      <c r="A120" s="98"/>
    </row>
    <row r="121" spans="1:1" ht="15.75" hidden="1" customHeight="1" x14ac:dyDescent="0.25">
      <c r="A121" s="98"/>
    </row>
    <row r="122" spans="1:1" ht="15.75" hidden="1" customHeight="1" x14ac:dyDescent="0.25">
      <c r="A122" s="98"/>
    </row>
    <row r="123" spans="1:1" ht="15.75" hidden="1" customHeight="1" x14ac:dyDescent="0.25">
      <c r="A123" s="98"/>
    </row>
    <row r="124" spans="1:1" ht="15.75" hidden="1" customHeight="1" x14ac:dyDescent="0.25">
      <c r="A124" s="98"/>
    </row>
    <row r="125" spans="1:1" ht="15.75" hidden="1" customHeight="1" x14ac:dyDescent="0.25">
      <c r="A125" s="98"/>
    </row>
    <row r="126" spans="1:1" ht="15.75" hidden="1" customHeight="1" x14ac:dyDescent="0.25">
      <c r="A126" s="98"/>
    </row>
    <row r="127" spans="1:1" ht="15.75" hidden="1" customHeight="1" x14ac:dyDescent="0.25">
      <c r="A127" s="98"/>
    </row>
    <row r="128" spans="1:1" ht="15.75" hidden="1" customHeight="1" x14ac:dyDescent="0.25">
      <c r="A128" s="98"/>
    </row>
    <row r="129" spans="1:1" ht="15.75" hidden="1" customHeight="1" x14ac:dyDescent="0.25">
      <c r="A129" s="98"/>
    </row>
    <row r="130" spans="1:1" ht="15.75" hidden="1" customHeight="1" x14ac:dyDescent="0.25">
      <c r="A130" s="98"/>
    </row>
    <row r="131" spans="1:1" ht="15.75" hidden="1" customHeight="1" x14ac:dyDescent="0.25">
      <c r="A131" s="98"/>
    </row>
    <row r="132" spans="1:1" ht="15.75" hidden="1" customHeight="1" x14ac:dyDescent="0.25">
      <c r="A132" s="98"/>
    </row>
    <row r="133" spans="1:1" ht="15.75" hidden="1" customHeight="1" x14ac:dyDescent="0.25">
      <c r="A133" s="98"/>
    </row>
    <row r="134" spans="1:1" ht="15.75" hidden="1" customHeight="1" x14ac:dyDescent="0.25">
      <c r="A134" s="98"/>
    </row>
    <row r="135" spans="1:1" ht="15.75" hidden="1" customHeight="1" x14ac:dyDescent="0.25">
      <c r="A135" s="98"/>
    </row>
    <row r="136" spans="1:1" ht="15.75" hidden="1" customHeight="1" x14ac:dyDescent="0.25">
      <c r="A136" s="98"/>
    </row>
    <row r="137" spans="1:1" ht="15.75" hidden="1" customHeight="1" x14ac:dyDescent="0.25">
      <c r="A137" s="98"/>
    </row>
    <row r="138" spans="1:1" ht="15.75" hidden="1" customHeight="1" x14ac:dyDescent="0.25">
      <c r="A138" s="98"/>
    </row>
    <row r="139" spans="1:1" ht="15.75" hidden="1" customHeight="1" x14ac:dyDescent="0.25">
      <c r="A139" s="98"/>
    </row>
    <row r="140" spans="1:1" ht="15.75" hidden="1" customHeight="1" x14ac:dyDescent="0.25">
      <c r="A140" s="98"/>
    </row>
    <row r="141" spans="1:1" ht="15.75" hidden="1" customHeight="1" x14ac:dyDescent="0.25">
      <c r="A141" s="98"/>
    </row>
    <row r="142" spans="1:1" ht="15.75" hidden="1" customHeight="1" x14ac:dyDescent="0.25">
      <c r="A142" s="98"/>
    </row>
    <row r="143" spans="1:1" ht="15.75" hidden="1" customHeight="1" x14ac:dyDescent="0.25">
      <c r="A143" s="98"/>
    </row>
    <row r="144" spans="1:1" ht="15.75" hidden="1" customHeight="1" x14ac:dyDescent="0.25">
      <c r="A144" s="98"/>
    </row>
    <row r="145" spans="1:1" ht="15.75" hidden="1" customHeight="1" x14ac:dyDescent="0.25">
      <c r="A145" s="98"/>
    </row>
    <row r="146" spans="1:1" ht="15.75" hidden="1" customHeight="1" x14ac:dyDescent="0.25">
      <c r="A146" s="98"/>
    </row>
    <row r="147" spans="1:1" ht="15.75" hidden="1" customHeight="1" x14ac:dyDescent="0.25">
      <c r="A147" s="98"/>
    </row>
    <row r="148" spans="1:1" ht="15.75" hidden="1" customHeight="1" x14ac:dyDescent="0.25">
      <c r="A148" s="99"/>
    </row>
    <row r="149" spans="1:1" ht="15.75" hidden="1" customHeight="1" x14ac:dyDescent="0.25">
      <c r="A149" s="99"/>
    </row>
    <row r="150" spans="1:1" ht="15.75" hidden="1" customHeight="1" x14ac:dyDescent="0.25">
      <c r="A150" s="99"/>
    </row>
    <row r="151" spans="1:1" ht="15.75" hidden="1" customHeight="1" x14ac:dyDescent="0.25">
      <c r="A151" s="99"/>
    </row>
    <row r="152" spans="1:1" ht="15.75" hidden="1" customHeight="1" x14ac:dyDescent="0.25">
      <c r="A152" s="99"/>
    </row>
    <row r="153" spans="1:1" ht="15.75" hidden="1" customHeight="1" x14ac:dyDescent="0.25">
      <c r="A153" s="99"/>
    </row>
    <row r="154" spans="1:1" ht="15.75" hidden="1" customHeight="1" x14ac:dyDescent="0.25">
      <c r="A154" s="99"/>
    </row>
    <row r="155" spans="1:1" ht="15.75" hidden="1" customHeight="1" x14ac:dyDescent="0.25">
      <c r="A155" s="99"/>
    </row>
    <row r="156" spans="1:1" ht="15.75" hidden="1" customHeight="1" x14ac:dyDescent="0.25">
      <c r="A156" s="99"/>
    </row>
    <row r="157" spans="1:1" ht="15.75" hidden="1" customHeight="1" x14ac:dyDescent="0.25">
      <c r="A157" s="99"/>
    </row>
    <row r="158" spans="1:1" ht="15.75" hidden="1" customHeight="1" x14ac:dyDescent="0.25">
      <c r="A158" s="99"/>
    </row>
    <row r="159" spans="1:1" ht="15.75" hidden="1" customHeight="1" x14ac:dyDescent="0.25">
      <c r="A159" s="99"/>
    </row>
    <row r="160" spans="1:1" ht="15.75" hidden="1" customHeight="1" x14ac:dyDescent="0.25">
      <c r="A160" s="99"/>
    </row>
    <row r="161" spans="1:1" ht="15.75" hidden="1" customHeight="1" x14ac:dyDescent="0.25">
      <c r="A161" s="99"/>
    </row>
    <row r="162" spans="1:1" ht="15.75" hidden="1" customHeight="1" x14ac:dyDescent="0.25">
      <c r="A162" s="99"/>
    </row>
    <row r="163" spans="1:1" ht="15.75" hidden="1" customHeight="1" x14ac:dyDescent="0.25">
      <c r="A163" s="99"/>
    </row>
    <row r="164" spans="1:1" ht="15.75" hidden="1" customHeight="1" x14ac:dyDescent="0.25">
      <c r="A164" s="99"/>
    </row>
    <row r="165" spans="1:1" ht="15.75" hidden="1" customHeight="1" x14ac:dyDescent="0.25">
      <c r="A165" s="99"/>
    </row>
    <row r="166" spans="1:1" ht="15.75" hidden="1" customHeight="1" x14ac:dyDescent="0.25">
      <c r="A166" s="99"/>
    </row>
    <row r="167" spans="1:1" ht="15.75" hidden="1" customHeight="1" x14ac:dyDescent="0.25">
      <c r="A167" s="99"/>
    </row>
    <row r="168" spans="1:1" ht="15.75" hidden="1" customHeight="1" x14ac:dyDescent="0.25">
      <c r="A168" s="99"/>
    </row>
    <row r="169" spans="1:1" ht="15.75" hidden="1" customHeight="1" x14ac:dyDescent="0.25">
      <c r="A169" s="99"/>
    </row>
    <row r="170" spans="1:1" ht="15.75" hidden="1" customHeight="1" x14ac:dyDescent="0.25">
      <c r="A170" s="99"/>
    </row>
    <row r="171" spans="1:1" ht="15.75" hidden="1" customHeight="1" x14ac:dyDescent="0.25">
      <c r="A171" s="99"/>
    </row>
    <row r="172" spans="1:1" ht="15.75" hidden="1" customHeight="1" x14ac:dyDescent="0.25">
      <c r="A172" s="99"/>
    </row>
    <row r="173" spans="1:1" ht="15.75" hidden="1" customHeight="1" x14ac:dyDescent="0.25">
      <c r="A173" s="99"/>
    </row>
    <row r="174" spans="1:1" ht="15.75" hidden="1" customHeight="1" x14ac:dyDescent="0.25">
      <c r="A174" s="99"/>
    </row>
    <row r="175" spans="1:1" ht="15.75" hidden="1" customHeight="1" x14ac:dyDescent="0.25">
      <c r="A175" s="99"/>
    </row>
    <row r="176" spans="1:1" ht="15.75" hidden="1" customHeight="1" x14ac:dyDescent="0.25">
      <c r="A176" s="99"/>
    </row>
    <row r="177" spans="1:1" ht="15.75" hidden="1" customHeight="1" x14ac:dyDescent="0.25">
      <c r="A177" s="99"/>
    </row>
    <row r="178" spans="1:1" ht="15.75" hidden="1" customHeight="1" x14ac:dyDescent="0.25">
      <c r="A178" s="99"/>
    </row>
    <row r="179" spans="1:1" ht="15.75" hidden="1" customHeight="1" x14ac:dyDescent="0.25">
      <c r="A179" s="99"/>
    </row>
    <row r="180" spans="1:1" ht="15.75" hidden="1" customHeight="1" x14ac:dyDescent="0.25">
      <c r="A180" s="99"/>
    </row>
    <row r="181" spans="1:1" ht="15.75" hidden="1" customHeight="1" x14ac:dyDescent="0.25">
      <c r="A181" s="99"/>
    </row>
    <row r="182" spans="1:1" ht="15.75" hidden="1" customHeight="1" x14ac:dyDescent="0.25">
      <c r="A182" s="99"/>
    </row>
    <row r="183" spans="1:1" ht="15.75" hidden="1" customHeight="1" x14ac:dyDescent="0.25">
      <c r="A183" s="99"/>
    </row>
    <row r="184" spans="1:1" ht="15.75" hidden="1" customHeight="1" x14ac:dyDescent="0.25">
      <c r="A184" s="99"/>
    </row>
    <row r="185" spans="1:1" ht="15.75" hidden="1" customHeight="1" x14ac:dyDescent="0.25">
      <c r="A185" s="99"/>
    </row>
    <row r="186" spans="1:1" ht="15.75" hidden="1" customHeight="1" x14ac:dyDescent="0.25">
      <c r="A186" s="99"/>
    </row>
    <row r="187" spans="1:1" ht="15.75" hidden="1" customHeight="1" x14ac:dyDescent="0.25">
      <c r="A187" s="99"/>
    </row>
    <row r="188" spans="1:1" ht="15.75" hidden="1" customHeight="1" x14ac:dyDescent="0.25">
      <c r="A188" s="99"/>
    </row>
    <row r="189" spans="1:1" ht="15.75" hidden="1" customHeight="1" x14ac:dyDescent="0.25">
      <c r="A189" s="99"/>
    </row>
    <row r="190" spans="1:1" ht="15.75" hidden="1" customHeight="1" x14ac:dyDescent="0.25">
      <c r="A190" s="99"/>
    </row>
    <row r="191" spans="1:1" ht="15.75" hidden="1" customHeight="1" x14ac:dyDescent="0.25">
      <c r="A191" s="99"/>
    </row>
    <row r="192" spans="1:1" ht="15.75" hidden="1" customHeight="1" x14ac:dyDescent="0.25">
      <c r="A192" s="99"/>
    </row>
    <row r="193" spans="1:1" ht="15.75" hidden="1" customHeight="1" x14ac:dyDescent="0.25">
      <c r="A193" s="99"/>
    </row>
    <row r="194" spans="1:1" ht="15.75" hidden="1" customHeight="1" x14ac:dyDescent="0.25">
      <c r="A194" s="99"/>
    </row>
    <row r="195" spans="1:1" ht="15.75" hidden="1" customHeight="1" x14ac:dyDescent="0.25">
      <c r="A195" s="99"/>
    </row>
    <row r="196" spans="1:1" ht="15.75" hidden="1" customHeight="1" x14ac:dyDescent="0.25">
      <c r="A196" s="99"/>
    </row>
    <row r="197" spans="1:1" ht="15.75" hidden="1" customHeight="1" x14ac:dyDescent="0.25">
      <c r="A197" s="99"/>
    </row>
    <row r="198" spans="1:1" ht="15.75" hidden="1" customHeight="1" x14ac:dyDescent="0.25">
      <c r="A198" s="99"/>
    </row>
    <row r="199" spans="1:1" ht="15.75" hidden="1" customHeight="1" x14ac:dyDescent="0.25">
      <c r="A199" s="99"/>
    </row>
    <row r="200" spans="1:1" ht="15.75" hidden="1" customHeight="1" x14ac:dyDescent="0.25">
      <c r="A200" s="99"/>
    </row>
    <row r="201" spans="1:1" ht="15.75" hidden="1" customHeight="1" x14ac:dyDescent="0.25">
      <c r="A201" s="99"/>
    </row>
    <row r="202" spans="1:1" ht="15.75" hidden="1" customHeight="1" x14ac:dyDescent="0.25">
      <c r="A202" s="99"/>
    </row>
    <row r="203" spans="1:1" ht="15.75" hidden="1" customHeight="1" x14ac:dyDescent="0.25">
      <c r="A203" s="99"/>
    </row>
    <row r="204" spans="1:1" ht="15.75" hidden="1" customHeight="1" x14ac:dyDescent="0.25">
      <c r="A204" s="99"/>
    </row>
    <row r="205" spans="1:1" ht="15.75" hidden="1" customHeight="1" x14ac:dyDescent="0.25">
      <c r="A205" s="99"/>
    </row>
    <row r="206" spans="1:1" ht="15.75" hidden="1" customHeight="1" x14ac:dyDescent="0.25">
      <c r="A206" s="99"/>
    </row>
    <row r="207" spans="1:1" ht="15.75" hidden="1" customHeight="1" x14ac:dyDescent="0.25">
      <c r="A207" s="99"/>
    </row>
    <row r="208" spans="1:1" ht="15.75" hidden="1" customHeight="1" x14ac:dyDescent="0.25">
      <c r="A208" s="99"/>
    </row>
    <row r="209" spans="1:1" ht="15.75" hidden="1" customHeight="1" x14ac:dyDescent="0.25">
      <c r="A209" s="99"/>
    </row>
    <row r="210" spans="1:1" ht="15.75" hidden="1" customHeight="1" x14ac:dyDescent="0.25">
      <c r="A210" s="99"/>
    </row>
    <row r="211" spans="1:1" ht="15.75" hidden="1" customHeight="1" x14ac:dyDescent="0.25">
      <c r="A211" s="99"/>
    </row>
    <row r="212" spans="1:1" ht="15.75" hidden="1" customHeight="1" x14ac:dyDescent="0.25">
      <c r="A212" s="99"/>
    </row>
    <row r="213" spans="1:1" ht="15.75" hidden="1" customHeight="1" x14ac:dyDescent="0.25">
      <c r="A213" s="99"/>
    </row>
    <row r="214" spans="1:1" ht="15.75" hidden="1" customHeight="1" x14ac:dyDescent="0.25">
      <c r="A214" s="99"/>
    </row>
    <row r="215" spans="1:1" ht="15.75" hidden="1" customHeight="1" x14ac:dyDescent="0.25">
      <c r="A215" s="99"/>
    </row>
    <row r="216" spans="1:1" ht="15.75" hidden="1" customHeight="1" x14ac:dyDescent="0.25">
      <c r="A216" s="99"/>
    </row>
    <row r="217" spans="1:1" ht="15.75" hidden="1" customHeight="1" x14ac:dyDescent="0.25">
      <c r="A217" s="99"/>
    </row>
    <row r="218" spans="1:1" ht="15.75" hidden="1" customHeight="1" x14ac:dyDescent="0.25">
      <c r="A218" s="99"/>
    </row>
    <row r="219" spans="1:1" ht="15.75" hidden="1" customHeight="1" x14ac:dyDescent="0.25">
      <c r="A219" s="99"/>
    </row>
    <row r="220" spans="1:1" ht="15.75" hidden="1" customHeight="1" x14ac:dyDescent="0.25">
      <c r="A220" s="99"/>
    </row>
    <row r="221" spans="1:1" ht="15.75" hidden="1" customHeight="1" x14ac:dyDescent="0.25">
      <c r="A221" s="99"/>
    </row>
    <row r="222" spans="1:1" ht="15.75" hidden="1" customHeight="1" x14ac:dyDescent="0.25">
      <c r="A222" s="99"/>
    </row>
    <row r="223" spans="1:1" ht="15.75" hidden="1" customHeight="1" x14ac:dyDescent="0.25">
      <c r="A223" s="99"/>
    </row>
    <row r="224" spans="1:1" ht="15.75" hidden="1" customHeight="1" x14ac:dyDescent="0.25">
      <c r="A224" s="99"/>
    </row>
    <row r="225" spans="1:1" ht="15.75" hidden="1" customHeight="1" x14ac:dyDescent="0.25">
      <c r="A225" s="99"/>
    </row>
    <row r="226" spans="1:1" ht="15.75" hidden="1" customHeight="1" x14ac:dyDescent="0.25">
      <c r="A226" s="99"/>
    </row>
    <row r="227" spans="1:1" ht="15.75" hidden="1" customHeight="1" x14ac:dyDescent="0.25">
      <c r="A227" s="99"/>
    </row>
    <row r="228" spans="1:1" ht="15.75" hidden="1" customHeight="1" x14ac:dyDescent="0.25">
      <c r="A228" s="99"/>
    </row>
    <row r="229" spans="1:1" ht="15.75" hidden="1" customHeight="1" x14ac:dyDescent="0.25">
      <c r="A229" s="99"/>
    </row>
    <row r="230" spans="1:1" ht="15.75" hidden="1" customHeight="1" x14ac:dyDescent="0.25">
      <c r="A230" s="99"/>
    </row>
    <row r="231" spans="1:1" ht="15.75" hidden="1" customHeight="1" x14ac:dyDescent="0.25">
      <c r="A231" s="99"/>
    </row>
    <row r="232" spans="1:1" ht="15.75" hidden="1" customHeight="1" x14ac:dyDescent="0.25">
      <c r="A232" s="99"/>
    </row>
    <row r="233" spans="1:1" ht="15.75" hidden="1" customHeight="1" x14ac:dyDescent="0.25">
      <c r="A233" s="99"/>
    </row>
    <row r="234" spans="1:1" ht="15.75" hidden="1" customHeight="1" x14ac:dyDescent="0.25">
      <c r="A234" s="99"/>
    </row>
    <row r="235" spans="1:1" ht="15.75" hidden="1" customHeight="1" x14ac:dyDescent="0.25">
      <c r="A235" s="99"/>
    </row>
    <row r="236" spans="1:1" ht="15.75" hidden="1" customHeight="1" x14ac:dyDescent="0.25">
      <c r="A236" s="99"/>
    </row>
    <row r="237" spans="1:1" ht="15.75" hidden="1" customHeight="1" x14ac:dyDescent="0.25">
      <c r="A237" s="99"/>
    </row>
    <row r="238" spans="1:1" ht="15.75" hidden="1" customHeight="1" x14ac:dyDescent="0.25">
      <c r="A238" s="99"/>
    </row>
    <row r="239" spans="1:1" ht="15.75" hidden="1" customHeight="1" x14ac:dyDescent="0.25">
      <c r="A239" s="99"/>
    </row>
    <row r="240" spans="1:1" ht="15.75" hidden="1" customHeight="1" x14ac:dyDescent="0.25">
      <c r="A240" s="99"/>
    </row>
    <row r="241" spans="1:1" ht="15.75" hidden="1" customHeight="1" x14ac:dyDescent="0.25">
      <c r="A241" s="99"/>
    </row>
    <row r="242" spans="1:1" ht="15.75" hidden="1" customHeight="1" x14ac:dyDescent="0.25">
      <c r="A242" s="99"/>
    </row>
    <row r="243" spans="1:1" ht="15.75" hidden="1" customHeight="1" x14ac:dyDescent="0.25">
      <c r="A243" s="99"/>
    </row>
    <row r="244" spans="1:1" ht="15.75" hidden="1" customHeight="1" x14ac:dyDescent="0.25">
      <c r="A244" s="99"/>
    </row>
    <row r="245" spans="1:1" ht="15.75" hidden="1" customHeight="1" x14ac:dyDescent="0.25">
      <c r="A245" s="99"/>
    </row>
    <row r="246" spans="1:1" ht="15.75" hidden="1" customHeight="1" x14ac:dyDescent="0.25">
      <c r="A246" s="99"/>
    </row>
    <row r="247" spans="1:1" ht="15.75" hidden="1" customHeight="1" x14ac:dyDescent="0.25">
      <c r="A247" s="99"/>
    </row>
    <row r="248" spans="1:1" ht="15.75" hidden="1" customHeight="1" x14ac:dyDescent="0.25">
      <c r="A248" s="99"/>
    </row>
    <row r="249" spans="1:1" ht="15.75" hidden="1" customHeight="1" x14ac:dyDescent="0.25">
      <c r="A249" s="99"/>
    </row>
    <row r="250" spans="1:1" ht="15.75" hidden="1" customHeight="1" x14ac:dyDescent="0.25">
      <c r="A250" s="99"/>
    </row>
    <row r="251" spans="1:1" ht="15.75" hidden="1" customHeight="1" x14ac:dyDescent="0.25">
      <c r="A251" s="99"/>
    </row>
    <row r="252" spans="1:1" ht="15.75" hidden="1" customHeight="1" x14ac:dyDescent="0.25">
      <c r="A252" s="99"/>
    </row>
    <row r="253" spans="1:1" ht="15.75" hidden="1" customHeight="1" x14ac:dyDescent="0.25">
      <c r="A253" s="99"/>
    </row>
    <row r="254" spans="1:1" ht="15.75" hidden="1" customHeight="1" x14ac:dyDescent="0.25">
      <c r="A254" s="99"/>
    </row>
    <row r="255" spans="1:1" ht="15.75" hidden="1" customHeight="1" x14ac:dyDescent="0.25">
      <c r="A255" s="99"/>
    </row>
    <row r="256" spans="1:1" ht="15.75" hidden="1" customHeight="1" x14ac:dyDescent="0.25">
      <c r="A256" s="99"/>
    </row>
    <row r="257" spans="1:1" ht="15.75" hidden="1" customHeight="1" x14ac:dyDescent="0.25">
      <c r="A257" s="99"/>
    </row>
    <row r="258" spans="1:1" ht="15.75" hidden="1" customHeight="1" x14ac:dyDescent="0.25">
      <c r="A258" s="99"/>
    </row>
    <row r="259" spans="1:1" ht="15.75" hidden="1" customHeight="1" x14ac:dyDescent="0.25">
      <c r="A259" s="99"/>
    </row>
    <row r="260" spans="1:1" ht="15.75" hidden="1" customHeight="1" x14ac:dyDescent="0.25">
      <c r="A260" s="99"/>
    </row>
    <row r="261" spans="1:1" ht="15.75" hidden="1" customHeight="1" x14ac:dyDescent="0.25">
      <c r="A261" s="99"/>
    </row>
    <row r="262" spans="1:1" ht="15.75" hidden="1" customHeight="1" x14ac:dyDescent="0.25">
      <c r="A262" s="99"/>
    </row>
    <row r="263" spans="1:1" ht="15.75" hidden="1" customHeight="1" x14ac:dyDescent="0.25">
      <c r="A263" s="99"/>
    </row>
    <row r="264" spans="1:1" ht="15.75" hidden="1" customHeight="1" x14ac:dyDescent="0.25">
      <c r="A264" s="99"/>
    </row>
    <row r="265" spans="1:1" ht="15.75" hidden="1" customHeight="1" x14ac:dyDescent="0.25">
      <c r="A265" s="99"/>
    </row>
    <row r="266" spans="1:1" ht="15.75" hidden="1" customHeight="1" x14ac:dyDescent="0.25">
      <c r="A266" s="99"/>
    </row>
    <row r="267" spans="1:1" ht="15.75" hidden="1" customHeight="1" x14ac:dyDescent="0.25">
      <c r="A267" s="99"/>
    </row>
    <row r="268" spans="1:1" ht="15.75" hidden="1" customHeight="1" x14ac:dyDescent="0.25">
      <c r="A268" s="99"/>
    </row>
    <row r="269" spans="1:1" ht="15.75" hidden="1" customHeight="1" x14ac:dyDescent="0.25">
      <c r="A269" s="99"/>
    </row>
    <row r="270" spans="1:1" ht="15.75" hidden="1" customHeight="1" x14ac:dyDescent="0.25">
      <c r="A270" s="99"/>
    </row>
    <row r="271" spans="1:1" ht="15.75" hidden="1" customHeight="1" x14ac:dyDescent="0.25">
      <c r="A271" s="99"/>
    </row>
    <row r="272" spans="1:1" ht="15.75" hidden="1" customHeight="1" x14ac:dyDescent="0.25">
      <c r="A272" s="99"/>
    </row>
    <row r="273" spans="1:1" ht="15.75" hidden="1" customHeight="1" x14ac:dyDescent="0.25">
      <c r="A273" s="99"/>
    </row>
    <row r="274" spans="1:1" ht="15.75" hidden="1" customHeight="1" x14ac:dyDescent="0.25">
      <c r="A274" s="99"/>
    </row>
    <row r="275" spans="1:1" ht="15.75" hidden="1" customHeight="1" x14ac:dyDescent="0.25">
      <c r="A275" s="99"/>
    </row>
    <row r="276" spans="1:1" ht="15.75" hidden="1" customHeight="1" x14ac:dyDescent="0.25">
      <c r="A276" s="99"/>
    </row>
    <row r="277" spans="1:1" ht="15.75" hidden="1" customHeight="1" x14ac:dyDescent="0.25">
      <c r="A277" s="99"/>
    </row>
    <row r="278" spans="1:1" ht="15.75" hidden="1" customHeight="1" x14ac:dyDescent="0.25">
      <c r="A278" s="99"/>
    </row>
    <row r="279" spans="1:1" ht="15.75" hidden="1" customHeight="1" x14ac:dyDescent="0.25">
      <c r="A279" s="99"/>
    </row>
    <row r="280" spans="1:1" ht="15.75" hidden="1" customHeight="1" x14ac:dyDescent="0.25">
      <c r="A280" s="99"/>
    </row>
    <row r="281" spans="1:1" ht="15.75" hidden="1" customHeight="1" x14ac:dyDescent="0.25">
      <c r="A281" s="99"/>
    </row>
    <row r="282" spans="1:1" ht="15.75" hidden="1" customHeight="1" x14ac:dyDescent="0.25">
      <c r="A282" s="99"/>
    </row>
    <row r="283" spans="1:1" ht="15.75" hidden="1" customHeight="1" x14ac:dyDescent="0.25">
      <c r="A283" s="99"/>
    </row>
    <row r="284" spans="1:1" ht="15.75" hidden="1" customHeight="1" x14ac:dyDescent="0.25">
      <c r="A284" s="99"/>
    </row>
    <row r="285" spans="1:1" ht="15.75" hidden="1" customHeight="1" x14ac:dyDescent="0.25">
      <c r="A285" s="99"/>
    </row>
    <row r="286" spans="1:1" ht="15.75" hidden="1" customHeight="1" x14ac:dyDescent="0.25">
      <c r="A286" s="99"/>
    </row>
    <row r="287" spans="1:1" ht="15.75" hidden="1" customHeight="1" x14ac:dyDescent="0.25">
      <c r="A287" s="99"/>
    </row>
    <row r="288" spans="1:1" ht="15.75" hidden="1" customHeight="1" x14ac:dyDescent="0.25">
      <c r="A288" s="99"/>
    </row>
    <row r="289" spans="1:1" ht="15.75" hidden="1" customHeight="1" x14ac:dyDescent="0.25">
      <c r="A289" s="99"/>
    </row>
    <row r="290" spans="1:1" ht="15.75" hidden="1" customHeight="1" x14ac:dyDescent="0.25">
      <c r="A290" s="99"/>
    </row>
    <row r="291" spans="1:1" ht="15.75" hidden="1" customHeight="1" x14ac:dyDescent="0.25">
      <c r="A291" s="99"/>
    </row>
    <row r="292" spans="1:1" ht="15.75" hidden="1" customHeight="1" x14ac:dyDescent="0.25">
      <c r="A292" s="99"/>
    </row>
    <row r="293" spans="1:1" ht="15.75" hidden="1" customHeight="1" x14ac:dyDescent="0.25">
      <c r="A293" s="99"/>
    </row>
    <row r="294" spans="1:1" ht="15.75" hidden="1" customHeight="1" x14ac:dyDescent="0.25">
      <c r="A294" s="99"/>
    </row>
    <row r="295" spans="1:1" ht="15.75" hidden="1" customHeight="1" x14ac:dyDescent="0.25">
      <c r="A295" s="99"/>
    </row>
    <row r="296" spans="1:1" ht="15.75" hidden="1" customHeight="1" x14ac:dyDescent="0.25">
      <c r="A296" s="99"/>
    </row>
    <row r="297" spans="1:1" ht="15.75" hidden="1" customHeight="1" x14ac:dyDescent="0.25">
      <c r="A297" s="99"/>
    </row>
    <row r="298" spans="1:1" ht="15.75" hidden="1" customHeight="1" x14ac:dyDescent="0.25">
      <c r="A298" s="99"/>
    </row>
    <row r="299" spans="1:1" ht="15.75" hidden="1" customHeight="1" x14ac:dyDescent="0.25">
      <c r="A299" s="99"/>
    </row>
    <row r="300" spans="1:1" ht="15.75" hidden="1" customHeight="1" x14ac:dyDescent="0.25">
      <c r="A300" s="99"/>
    </row>
    <row r="301" spans="1:1" ht="15.75" hidden="1" customHeight="1" x14ac:dyDescent="0.25">
      <c r="A301" s="99"/>
    </row>
    <row r="302" spans="1:1" ht="15.75" hidden="1" customHeight="1" x14ac:dyDescent="0.25">
      <c r="A302" s="99"/>
    </row>
    <row r="303" spans="1:1" ht="15.75" hidden="1" customHeight="1" x14ac:dyDescent="0.25">
      <c r="A303" s="99"/>
    </row>
    <row r="304" spans="1:1" ht="15.75" hidden="1" customHeight="1" x14ac:dyDescent="0.25">
      <c r="A304" s="99"/>
    </row>
    <row r="305" spans="1:1" ht="15.75" hidden="1" customHeight="1" x14ac:dyDescent="0.25">
      <c r="A305" s="99"/>
    </row>
    <row r="306" spans="1:1" ht="15.75" hidden="1" customHeight="1" x14ac:dyDescent="0.25">
      <c r="A306" s="99"/>
    </row>
    <row r="307" spans="1:1" ht="15.75" hidden="1" customHeight="1" x14ac:dyDescent="0.25">
      <c r="A307" s="99"/>
    </row>
    <row r="308" spans="1:1" ht="15.75" hidden="1" customHeight="1" x14ac:dyDescent="0.25">
      <c r="A308" s="99"/>
    </row>
    <row r="309" spans="1:1" ht="15.75" hidden="1" customHeight="1" x14ac:dyDescent="0.25">
      <c r="A309" s="99"/>
    </row>
    <row r="310" spans="1:1" ht="15.75" hidden="1" customHeight="1" x14ac:dyDescent="0.25">
      <c r="A310" s="99"/>
    </row>
    <row r="311" spans="1:1" ht="15.75" hidden="1" customHeight="1" x14ac:dyDescent="0.25">
      <c r="A311" s="99"/>
    </row>
    <row r="312" spans="1:1" ht="15.75" hidden="1" customHeight="1" x14ac:dyDescent="0.25">
      <c r="A312" s="99"/>
    </row>
    <row r="313" spans="1:1" ht="15.75" hidden="1" customHeight="1" x14ac:dyDescent="0.25">
      <c r="A313" s="99"/>
    </row>
    <row r="314" spans="1:1" ht="15.75" hidden="1" customHeight="1" x14ac:dyDescent="0.25">
      <c r="A314" s="99"/>
    </row>
    <row r="315" spans="1:1" ht="15.75" hidden="1" customHeight="1" x14ac:dyDescent="0.25">
      <c r="A315" s="99"/>
    </row>
    <row r="316" spans="1:1" ht="15.75" hidden="1" customHeight="1" x14ac:dyDescent="0.25">
      <c r="A316" s="99"/>
    </row>
    <row r="317" spans="1:1" ht="15.75" hidden="1" customHeight="1" x14ac:dyDescent="0.25">
      <c r="A317" s="99"/>
    </row>
    <row r="318" spans="1:1" ht="15.75" hidden="1" customHeight="1" x14ac:dyDescent="0.25">
      <c r="A318" s="99"/>
    </row>
    <row r="319" spans="1:1" ht="15.75" hidden="1" customHeight="1" x14ac:dyDescent="0.25">
      <c r="A319" s="99"/>
    </row>
    <row r="320" spans="1:1" ht="15.75" hidden="1" customHeight="1" x14ac:dyDescent="0.25">
      <c r="A320" s="99"/>
    </row>
    <row r="321" spans="1:1" ht="15.75" hidden="1" customHeight="1" x14ac:dyDescent="0.25">
      <c r="A321" s="99"/>
    </row>
    <row r="322" spans="1:1" ht="15.75" hidden="1" customHeight="1" x14ac:dyDescent="0.25">
      <c r="A322" s="99"/>
    </row>
    <row r="323" spans="1:1" ht="15.75" hidden="1" customHeight="1" x14ac:dyDescent="0.25">
      <c r="A323" s="99"/>
    </row>
    <row r="324" spans="1:1" ht="15.75" hidden="1" customHeight="1" x14ac:dyDescent="0.25">
      <c r="A324" s="99"/>
    </row>
    <row r="325" spans="1:1" ht="15.75" hidden="1" customHeight="1" x14ac:dyDescent="0.25">
      <c r="A325" s="99"/>
    </row>
    <row r="326" spans="1:1" ht="15.75" hidden="1" customHeight="1" x14ac:dyDescent="0.25">
      <c r="A326" s="99"/>
    </row>
    <row r="327" spans="1:1" ht="15.75" hidden="1" customHeight="1" x14ac:dyDescent="0.25">
      <c r="A327" s="99"/>
    </row>
    <row r="328" spans="1:1" ht="15.75" hidden="1" customHeight="1" x14ac:dyDescent="0.25">
      <c r="A328" s="99"/>
    </row>
    <row r="329" spans="1:1" ht="15.75" hidden="1" customHeight="1" x14ac:dyDescent="0.25">
      <c r="A329" s="99"/>
    </row>
    <row r="330" spans="1:1" ht="15.75" hidden="1" customHeight="1" x14ac:dyDescent="0.25">
      <c r="A330" s="99"/>
    </row>
    <row r="331" spans="1:1" ht="15.75" hidden="1" customHeight="1" x14ac:dyDescent="0.25">
      <c r="A331" s="99"/>
    </row>
    <row r="332" spans="1:1" ht="15.75" hidden="1" customHeight="1" x14ac:dyDescent="0.25">
      <c r="A332" s="99"/>
    </row>
    <row r="333" spans="1:1" ht="15.75" hidden="1" customHeight="1" x14ac:dyDescent="0.25">
      <c r="A333" s="99"/>
    </row>
    <row r="334" spans="1:1" ht="15.75" hidden="1" customHeight="1" x14ac:dyDescent="0.25">
      <c r="A334" s="99"/>
    </row>
    <row r="335" spans="1:1" ht="15.75" hidden="1" customHeight="1" x14ac:dyDescent="0.25">
      <c r="A335" s="99"/>
    </row>
    <row r="336" spans="1:1" ht="15.75" hidden="1" customHeight="1" x14ac:dyDescent="0.25">
      <c r="A336" s="99"/>
    </row>
    <row r="337" spans="1:1" ht="15.75" hidden="1" customHeight="1" x14ac:dyDescent="0.25">
      <c r="A337" s="99"/>
    </row>
    <row r="338" spans="1:1" ht="15.75" hidden="1" customHeight="1" x14ac:dyDescent="0.25">
      <c r="A338" s="99"/>
    </row>
    <row r="339" spans="1:1" ht="15.75" hidden="1" customHeight="1" x14ac:dyDescent="0.25">
      <c r="A339" s="99"/>
    </row>
    <row r="340" spans="1:1" ht="15.75" hidden="1" customHeight="1" x14ac:dyDescent="0.25">
      <c r="A340" s="99"/>
    </row>
    <row r="341" spans="1:1" ht="15.75" hidden="1" customHeight="1" x14ac:dyDescent="0.25">
      <c r="A341" s="99"/>
    </row>
    <row r="342" spans="1:1" ht="15.75" hidden="1" customHeight="1" x14ac:dyDescent="0.25">
      <c r="A342" s="99"/>
    </row>
    <row r="343" spans="1:1" ht="15.75" hidden="1" customHeight="1" x14ac:dyDescent="0.25">
      <c r="A343" s="99"/>
    </row>
    <row r="344" spans="1:1" ht="15.75" hidden="1" customHeight="1" x14ac:dyDescent="0.25">
      <c r="A344" s="99"/>
    </row>
    <row r="345" spans="1:1" ht="15.75" hidden="1" customHeight="1" x14ac:dyDescent="0.25">
      <c r="A345" s="99"/>
    </row>
    <row r="346" spans="1:1" ht="15.75" hidden="1" customHeight="1" x14ac:dyDescent="0.25">
      <c r="A346" s="99"/>
    </row>
    <row r="347" spans="1:1" ht="15.75" hidden="1" customHeight="1" x14ac:dyDescent="0.25">
      <c r="A347" s="99"/>
    </row>
    <row r="348" spans="1:1" ht="15.75" hidden="1" customHeight="1" x14ac:dyDescent="0.25">
      <c r="A348" s="99"/>
    </row>
    <row r="349" spans="1:1" ht="15.75" hidden="1" customHeight="1" x14ac:dyDescent="0.25">
      <c r="A349" s="99"/>
    </row>
    <row r="350" spans="1:1" ht="15.75" hidden="1" customHeight="1" x14ac:dyDescent="0.25">
      <c r="A350" s="99"/>
    </row>
    <row r="351" spans="1:1" ht="15.75" hidden="1" customHeight="1" x14ac:dyDescent="0.25">
      <c r="A351" s="99"/>
    </row>
    <row r="352" spans="1:1" ht="15.75" hidden="1" customHeight="1" x14ac:dyDescent="0.25">
      <c r="A352" s="99"/>
    </row>
    <row r="353" spans="1:1" ht="15.75" hidden="1" customHeight="1" x14ac:dyDescent="0.25">
      <c r="A353" s="99"/>
    </row>
    <row r="354" spans="1:1" ht="15.75" hidden="1" customHeight="1" x14ac:dyDescent="0.25">
      <c r="A354" s="99"/>
    </row>
    <row r="355" spans="1:1" ht="15.75" hidden="1" customHeight="1" x14ac:dyDescent="0.25">
      <c r="A355" s="99"/>
    </row>
    <row r="356" spans="1:1" ht="15.75" hidden="1" customHeight="1" x14ac:dyDescent="0.25">
      <c r="A356" s="99"/>
    </row>
    <row r="357" spans="1:1" ht="15.75" hidden="1" customHeight="1" x14ac:dyDescent="0.25">
      <c r="A357" s="99"/>
    </row>
    <row r="358" spans="1:1" ht="15.75" hidden="1" customHeight="1" x14ac:dyDescent="0.25">
      <c r="A358" s="99"/>
    </row>
    <row r="359" spans="1:1" ht="15.75" hidden="1" customHeight="1" x14ac:dyDescent="0.25">
      <c r="A359" s="99"/>
    </row>
    <row r="360" spans="1:1" ht="15.75" hidden="1" customHeight="1" x14ac:dyDescent="0.25">
      <c r="A360" s="99"/>
    </row>
    <row r="361" spans="1:1" ht="15.75" hidden="1" customHeight="1" x14ac:dyDescent="0.25">
      <c r="A361" s="99"/>
    </row>
    <row r="362" spans="1:1" ht="15.75" hidden="1" customHeight="1" x14ac:dyDescent="0.25">
      <c r="A362" s="99"/>
    </row>
    <row r="363" spans="1:1" ht="15.75" hidden="1" customHeight="1" x14ac:dyDescent="0.25">
      <c r="A363" s="99"/>
    </row>
    <row r="364" spans="1:1" ht="15.75" hidden="1" customHeight="1" x14ac:dyDescent="0.25">
      <c r="A364" s="99"/>
    </row>
    <row r="365" spans="1:1" ht="15.75" hidden="1" customHeight="1" x14ac:dyDescent="0.25">
      <c r="A365" s="99"/>
    </row>
    <row r="366" spans="1:1" ht="15.75" hidden="1" customHeight="1" x14ac:dyDescent="0.25">
      <c r="A366" s="99"/>
    </row>
    <row r="367" spans="1:1" ht="15.75" hidden="1" customHeight="1" x14ac:dyDescent="0.25">
      <c r="A367" s="99"/>
    </row>
    <row r="368" spans="1:1" ht="15.75" hidden="1" customHeight="1" x14ac:dyDescent="0.25">
      <c r="A368" s="99"/>
    </row>
    <row r="369" spans="1:1" ht="15.75" hidden="1" customHeight="1" x14ac:dyDescent="0.25">
      <c r="A369" s="99"/>
    </row>
    <row r="370" spans="1:1" ht="15.75" hidden="1" customHeight="1" x14ac:dyDescent="0.25">
      <c r="A370" s="99"/>
    </row>
    <row r="371" spans="1:1" ht="15.75" hidden="1" customHeight="1" x14ac:dyDescent="0.25">
      <c r="A371" s="99"/>
    </row>
    <row r="372" spans="1:1" ht="15.75" hidden="1" customHeight="1" x14ac:dyDescent="0.25">
      <c r="A372" s="99"/>
    </row>
    <row r="373" spans="1:1" ht="15.75" hidden="1" customHeight="1" x14ac:dyDescent="0.25">
      <c r="A373" s="99"/>
    </row>
    <row r="374" spans="1:1" ht="15.75" hidden="1" customHeight="1" x14ac:dyDescent="0.25">
      <c r="A374" s="99"/>
    </row>
    <row r="375" spans="1:1" ht="15.75" hidden="1" customHeight="1" x14ac:dyDescent="0.25">
      <c r="A375" s="99"/>
    </row>
    <row r="376" spans="1:1" ht="15.75" hidden="1" customHeight="1" x14ac:dyDescent="0.25">
      <c r="A376" s="99"/>
    </row>
    <row r="377" spans="1:1" ht="15.75" hidden="1" customHeight="1" x14ac:dyDescent="0.25">
      <c r="A377" s="99"/>
    </row>
    <row r="378" spans="1:1" ht="15.75" hidden="1" customHeight="1" x14ac:dyDescent="0.25">
      <c r="A378" s="99"/>
    </row>
    <row r="379" spans="1:1" ht="15.75" hidden="1" customHeight="1" x14ac:dyDescent="0.25">
      <c r="A379" s="99"/>
    </row>
    <row r="380" spans="1:1" ht="15.75" hidden="1" customHeight="1" x14ac:dyDescent="0.25">
      <c r="A380" s="99"/>
    </row>
    <row r="381" spans="1:1" ht="15.75" hidden="1" customHeight="1" x14ac:dyDescent="0.25">
      <c r="A381" s="99"/>
    </row>
    <row r="382" spans="1:1" ht="15.75" hidden="1" customHeight="1" x14ac:dyDescent="0.25">
      <c r="A382" s="99"/>
    </row>
    <row r="383" spans="1:1" ht="15.75" hidden="1" customHeight="1" x14ac:dyDescent="0.25">
      <c r="A383" s="99"/>
    </row>
    <row r="384" spans="1:1" ht="15.75" hidden="1" customHeight="1" x14ac:dyDescent="0.25">
      <c r="A384" s="99"/>
    </row>
    <row r="385" spans="1:1" ht="15.75" hidden="1" customHeight="1" x14ac:dyDescent="0.25">
      <c r="A385" s="99"/>
    </row>
    <row r="386" spans="1:1" ht="15.75" hidden="1" customHeight="1" x14ac:dyDescent="0.25">
      <c r="A386" s="99"/>
    </row>
    <row r="387" spans="1:1" ht="15.75" hidden="1" customHeight="1" x14ac:dyDescent="0.25">
      <c r="A387" s="99"/>
    </row>
    <row r="388" spans="1:1" ht="15.75" hidden="1" customHeight="1" x14ac:dyDescent="0.25">
      <c r="A388" s="99"/>
    </row>
    <row r="389" spans="1:1" ht="15.75" hidden="1" customHeight="1" x14ac:dyDescent="0.25">
      <c r="A389" s="99"/>
    </row>
    <row r="390" spans="1:1" ht="15.75" hidden="1" customHeight="1" x14ac:dyDescent="0.25">
      <c r="A390" s="99"/>
    </row>
    <row r="391" spans="1:1" ht="15.75" hidden="1" customHeight="1" x14ac:dyDescent="0.25">
      <c r="A391" s="99"/>
    </row>
    <row r="392" spans="1:1" ht="15.75" hidden="1" customHeight="1" x14ac:dyDescent="0.25">
      <c r="A392" s="99"/>
    </row>
    <row r="393" spans="1:1" ht="15.75" hidden="1" customHeight="1" x14ac:dyDescent="0.25">
      <c r="A393" s="99"/>
    </row>
    <row r="394" spans="1:1" ht="15.75" hidden="1" customHeight="1" x14ac:dyDescent="0.25">
      <c r="A394" s="99"/>
    </row>
    <row r="395" spans="1:1" ht="15.75" hidden="1" customHeight="1" x14ac:dyDescent="0.25">
      <c r="A395" s="99"/>
    </row>
    <row r="396" spans="1:1" ht="15.75" hidden="1" customHeight="1" x14ac:dyDescent="0.25">
      <c r="A396" s="99"/>
    </row>
    <row r="397" spans="1:1" ht="15.75" hidden="1" customHeight="1" x14ac:dyDescent="0.25">
      <c r="A397" s="99"/>
    </row>
    <row r="398" spans="1:1" ht="15.75" hidden="1" customHeight="1" x14ac:dyDescent="0.25">
      <c r="A398" s="99"/>
    </row>
    <row r="399" spans="1:1" ht="15.75" hidden="1" customHeight="1" x14ac:dyDescent="0.25">
      <c r="A399" s="99"/>
    </row>
    <row r="400" spans="1:1" ht="15.75" hidden="1" customHeight="1" x14ac:dyDescent="0.25">
      <c r="A400" s="99"/>
    </row>
    <row r="401" spans="1:1" ht="15.75" hidden="1" customHeight="1" x14ac:dyDescent="0.25">
      <c r="A401" s="99"/>
    </row>
    <row r="402" spans="1:1" ht="15.75" hidden="1" customHeight="1" x14ac:dyDescent="0.25">
      <c r="A402" s="99"/>
    </row>
    <row r="403" spans="1:1" ht="15.75" hidden="1" customHeight="1" x14ac:dyDescent="0.25">
      <c r="A403" s="99"/>
    </row>
    <row r="404" spans="1:1" ht="15.75" hidden="1" customHeight="1" x14ac:dyDescent="0.25">
      <c r="A404" s="99"/>
    </row>
    <row r="405" spans="1:1" ht="15.75" hidden="1" customHeight="1" x14ac:dyDescent="0.25">
      <c r="A405" s="99"/>
    </row>
    <row r="406" spans="1:1" ht="15.75" hidden="1" customHeight="1" x14ac:dyDescent="0.25">
      <c r="A406" s="99"/>
    </row>
    <row r="407" spans="1:1" ht="15.75" hidden="1" customHeight="1" x14ac:dyDescent="0.25">
      <c r="A407" s="99"/>
    </row>
    <row r="408" spans="1:1" ht="15.75" hidden="1" customHeight="1" x14ac:dyDescent="0.25">
      <c r="A408" s="99"/>
    </row>
    <row r="409" spans="1:1" ht="15.75" hidden="1" customHeight="1" x14ac:dyDescent="0.25">
      <c r="A409" s="99"/>
    </row>
    <row r="410" spans="1:1" ht="15.75" hidden="1" customHeight="1" x14ac:dyDescent="0.25">
      <c r="A410" s="99"/>
    </row>
    <row r="411" spans="1:1" ht="15.75" hidden="1" customHeight="1" x14ac:dyDescent="0.25">
      <c r="A411" s="99"/>
    </row>
    <row r="412" spans="1:1" ht="15.75" hidden="1" customHeight="1" x14ac:dyDescent="0.25">
      <c r="A412" s="99"/>
    </row>
    <row r="413" spans="1:1" ht="15.75" hidden="1" customHeight="1" x14ac:dyDescent="0.25">
      <c r="A413" s="99"/>
    </row>
    <row r="414" spans="1:1" ht="15.75" hidden="1" customHeight="1" x14ac:dyDescent="0.25">
      <c r="A414" s="99"/>
    </row>
    <row r="415" spans="1:1" ht="15.75" hidden="1" customHeight="1" x14ac:dyDescent="0.25">
      <c r="A415" s="99"/>
    </row>
    <row r="416" spans="1:1" ht="15.75" hidden="1" customHeight="1" x14ac:dyDescent="0.25">
      <c r="A416" s="99"/>
    </row>
    <row r="417" spans="1:1" ht="15.75" hidden="1" customHeight="1" x14ac:dyDescent="0.25">
      <c r="A417" s="99"/>
    </row>
    <row r="418" spans="1:1" ht="15.75" hidden="1" customHeight="1" x14ac:dyDescent="0.25">
      <c r="A418" s="99"/>
    </row>
    <row r="419" spans="1:1" ht="15.75" hidden="1" customHeight="1" x14ac:dyDescent="0.25">
      <c r="A419" s="99"/>
    </row>
    <row r="420" spans="1:1" ht="15.75" hidden="1" customHeight="1" x14ac:dyDescent="0.25">
      <c r="A420" s="99"/>
    </row>
    <row r="421" spans="1:1" ht="15.75" hidden="1" customHeight="1" x14ac:dyDescent="0.25">
      <c r="A421" s="99"/>
    </row>
    <row r="422" spans="1:1" ht="15.75" hidden="1" customHeight="1" x14ac:dyDescent="0.25">
      <c r="A422" s="99"/>
    </row>
    <row r="423" spans="1:1" ht="15.75" hidden="1" customHeight="1" x14ac:dyDescent="0.25">
      <c r="A423" s="99"/>
    </row>
    <row r="424" spans="1:1" ht="15.75" hidden="1" customHeight="1" x14ac:dyDescent="0.25">
      <c r="A424" s="99"/>
    </row>
    <row r="425" spans="1:1" ht="15.75" hidden="1" customHeight="1" x14ac:dyDescent="0.25">
      <c r="A425" s="99"/>
    </row>
    <row r="426" spans="1:1" ht="15.75" hidden="1" customHeight="1" x14ac:dyDescent="0.25">
      <c r="A426" s="99"/>
    </row>
    <row r="427" spans="1:1" ht="15.75" hidden="1" customHeight="1" x14ac:dyDescent="0.25">
      <c r="A427" s="99"/>
    </row>
    <row r="428" spans="1:1" ht="15.75" hidden="1" customHeight="1" x14ac:dyDescent="0.25">
      <c r="A428" s="99"/>
    </row>
    <row r="429" spans="1:1" ht="15.75" hidden="1" customHeight="1" x14ac:dyDescent="0.25">
      <c r="A429" s="99"/>
    </row>
    <row r="430" spans="1:1" ht="15.75" hidden="1" customHeight="1" x14ac:dyDescent="0.25">
      <c r="A430" s="99"/>
    </row>
    <row r="431" spans="1:1" ht="15.75" hidden="1" customHeight="1" x14ac:dyDescent="0.25">
      <c r="A431" s="99"/>
    </row>
    <row r="432" spans="1:1" ht="15.75" hidden="1" customHeight="1" x14ac:dyDescent="0.25">
      <c r="A432" s="99"/>
    </row>
    <row r="433" spans="1:1" ht="15.75" hidden="1" customHeight="1" x14ac:dyDescent="0.25">
      <c r="A433" s="99"/>
    </row>
    <row r="434" spans="1:1" ht="15.75" hidden="1" customHeight="1" x14ac:dyDescent="0.25">
      <c r="A434" s="99"/>
    </row>
    <row r="435" spans="1:1" ht="15.75" hidden="1" customHeight="1" x14ac:dyDescent="0.25">
      <c r="A435" s="99"/>
    </row>
    <row r="436" spans="1:1" ht="15.75" hidden="1" customHeight="1" x14ac:dyDescent="0.25">
      <c r="A436" s="99"/>
    </row>
    <row r="437" spans="1:1" ht="15.75" hidden="1" customHeight="1" x14ac:dyDescent="0.25">
      <c r="A437" s="99"/>
    </row>
    <row r="438" spans="1:1" ht="15.75" hidden="1" customHeight="1" x14ac:dyDescent="0.25">
      <c r="A438" s="99"/>
    </row>
    <row r="439" spans="1:1" ht="15.75" hidden="1" customHeight="1" x14ac:dyDescent="0.25">
      <c r="A439" s="99"/>
    </row>
    <row r="440" spans="1:1" ht="15.75" hidden="1" customHeight="1" x14ac:dyDescent="0.25">
      <c r="A440" s="99"/>
    </row>
    <row r="441" spans="1:1" ht="15.75" hidden="1" customHeight="1" x14ac:dyDescent="0.25">
      <c r="A441" s="99"/>
    </row>
    <row r="442" spans="1:1" ht="15.75" hidden="1" customHeight="1" x14ac:dyDescent="0.25">
      <c r="A442" s="99"/>
    </row>
    <row r="443" spans="1:1" ht="15.75" hidden="1" customHeight="1" x14ac:dyDescent="0.25">
      <c r="A443" s="99"/>
    </row>
    <row r="444" spans="1:1" ht="15.75" hidden="1" customHeight="1" x14ac:dyDescent="0.25">
      <c r="A444" s="99"/>
    </row>
    <row r="445" spans="1:1" ht="15.75" hidden="1" customHeight="1" x14ac:dyDescent="0.25">
      <c r="A445" s="99"/>
    </row>
    <row r="446" spans="1:1" ht="15.75" hidden="1" customHeight="1" x14ac:dyDescent="0.25">
      <c r="A446" s="99"/>
    </row>
    <row r="447" spans="1:1" ht="15.75" hidden="1" customHeight="1" x14ac:dyDescent="0.25">
      <c r="A447" s="99"/>
    </row>
    <row r="448" spans="1:1" ht="15.75" hidden="1" customHeight="1" x14ac:dyDescent="0.25">
      <c r="A448" s="99"/>
    </row>
    <row r="449" spans="1:1" ht="15.75" hidden="1" customHeight="1" x14ac:dyDescent="0.25">
      <c r="A449" s="99"/>
    </row>
    <row r="450" spans="1:1" ht="15.75" hidden="1" customHeight="1" x14ac:dyDescent="0.25">
      <c r="A450" s="99"/>
    </row>
    <row r="451" spans="1:1" ht="15.75" hidden="1" customHeight="1" x14ac:dyDescent="0.25">
      <c r="A451" s="99"/>
    </row>
    <row r="452" spans="1:1" ht="15.75" hidden="1" customHeight="1" x14ac:dyDescent="0.25">
      <c r="A452" s="99"/>
    </row>
    <row r="453" spans="1:1" ht="15.75" hidden="1" customHeight="1" x14ac:dyDescent="0.25">
      <c r="A453" s="99"/>
    </row>
    <row r="454" spans="1:1" ht="15.75" hidden="1" customHeight="1" x14ac:dyDescent="0.25">
      <c r="A454" s="99"/>
    </row>
    <row r="455" spans="1:1" ht="15.75" hidden="1" customHeight="1" x14ac:dyDescent="0.25">
      <c r="A455" s="99"/>
    </row>
    <row r="456" spans="1:1" ht="15.75" hidden="1" customHeight="1" x14ac:dyDescent="0.25">
      <c r="A456" s="99"/>
    </row>
    <row r="457" spans="1:1" ht="15.75" hidden="1" customHeight="1" x14ac:dyDescent="0.25">
      <c r="A457" s="99"/>
    </row>
    <row r="458" spans="1:1" ht="15.75" hidden="1" customHeight="1" x14ac:dyDescent="0.25">
      <c r="A458" s="99"/>
    </row>
    <row r="459" spans="1:1" ht="15.75" hidden="1" customHeight="1" x14ac:dyDescent="0.25">
      <c r="A459" s="99"/>
    </row>
    <row r="460" spans="1:1" ht="15.75" hidden="1" customHeight="1" x14ac:dyDescent="0.25">
      <c r="A460" s="99"/>
    </row>
    <row r="461" spans="1:1" ht="15.75" hidden="1" customHeight="1" x14ac:dyDescent="0.25">
      <c r="A461" s="99"/>
    </row>
    <row r="462" spans="1:1" ht="15.75" hidden="1" customHeight="1" x14ac:dyDescent="0.25">
      <c r="A462" s="99"/>
    </row>
    <row r="463" spans="1:1" ht="15.75" hidden="1" customHeight="1" x14ac:dyDescent="0.25">
      <c r="A463" s="99"/>
    </row>
    <row r="464" spans="1:1" ht="15.75" hidden="1" customHeight="1" x14ac:dyDescent="0.25">
      <c r="A464" s="99"/>
    </row>
    <row r="465" spans="1:1" ht="15.75" hidden="1" customHeight="1" x14ac:dyDescent="0.25">
      <c r="A465" s="99"/>
    </row>
    <row r="466" spans="1:1" ht="15.75" hidden="1" customHeight="1" x14ac:dyDescent="0.25">
      <c r="A466" s="99"/>
    </row>
    <row r="467" spans="1:1" ht="15.75" hidden="1" customHeight="1" x14ac:dyDescent="0.25">
      <c r="A467" s="99"/>
    </row>
    <row r="468" spans="1:1" ht="15.75" hidden="1" customHeight="1" x14ac:dyDescent="0.25">
      <c r="A468" s="99"/>
    </row>
    <row r="469" spans="1:1" ht="15.75" hidden="1" customHeight="1" x14ac:dyDescent="0.25">
      <c r="A469" s="99"/>
    </row>
    <row r="470" spans="1:1" ht="15.75" hidden="1" customHeight="1" x14ac:dyDescent="0.25">
      <c r="A470" s="99"/>
    </row>
    <row r="471" spans="1:1" ht="15.75" hidden="1" customHeight="1" x14ac:dyDescent="0.25">
      <c r="A471" s="99"/>
    </row>
    <row r="472" spans="1:1" ht="15.75" hidden="1" customHeight="1" x14ac:dyDescent="0.25">
      <c r="A472" s="99"/>
    </row>
    <row r="473" spans="1:1" ht="15.75" hidden="1" customHeight="1" x14ac:dyDescent="0.25">
      <c r="A473" s="99"/>
    </row>
    <row r="474" spans="1:1" ht="15.75" hidden="1" customHeight="1" x14ac:dyDescent="0.25">
      <c r="A474" s="99"/>
    </row>
    <row r="475" spans="1:1" ht="15.75" hidden="1" customHeight="1" x14ac:dyDescent="0.25">
      <c r="A475" s="99"/>
    </row>
    <row r="476" spans="1:1" ht="15.75" hidden="1" customHeight="1" x14ac:dyDescent="0.25">
      <c r="A476" s="99"/>
    </row>
    <row r="477" spans="1:1" ht="15.75" hidden="1" customHeight="1" x14ac:dyDescent="0.25">
      <c r="A477" s="99"/>
    </row>
    <row r="478" spans="1:1" ht="15.75" hidden="1" customHeight="1" x14ac:dyDescent="0.25">
      <c r="A478" s="99"/>
    </row>
    <row r="479" spans="1:1" ht="15.75" hidden="1" customHeight="1" x14ac:dyDescent="0.25">
      <c r="A479" s="99"/>
    </row>
    <row r="480" spans="1:1" ht="15.75" hidden="1" customHeight="1" x14ac:dyDescent="0.25">
      <c r="A480" s="99"/>
    </row>
    <row r="481" spans="1:1" ht="15.75" hidden="1" customHeight="1" x14ac:dyDescent="0.25">
      <c r="A481" s="99"/>
    </row>
    <row r="482" spans="1:1" ht="15.75" hidden="1" customHeight="1" x14ac:dyDescent="0.25">
      <c r="A482" s="99"/>
    </row>
    <row r="483" spans="1:1" ht="15.75" hidden="1" customHeight="1" x14ac:dyDescent="0.25">
      <c r="A483" s="99"/>
    </row>
    <row r="484" spans="1:1" ht="15.75" hidden="1" customHeight="1" x14ac:dyDescent="0.25">
      <c r="A484" s="99"/>
    </row>
    <row r="485" spans="1:1" ht="15.75" hidden="1" customHeight="1" x14ac:dyDescent="0.25">
      <c r="A485" s="99"/>
    </row>
    <row r="486" spans="1:1" ht="15.75" hidden="1" customHeight="1" x14ac:dyDescent="0.25">
      <c r="A486" s="99"/>
    </row>
    <row r="487" spans="1:1" ht="15.75" hidden="1" customHeight="1" x14ac:dyDescent="0.25">
      <c r="A487" s="99"/>
    </row>
    <row r="488" spans="1:1" ht="15.75" hidden="1" customHeight="1" x14ac:dyDescent="0.25">
      <c r="A488" s="99"/>
    </row>
    <row r="489" spans="1:1" ht="15.75" hidden="1" customHeight="1" x14ac:dyDescent="0.25">
      <c r="A489" s="99"/>
    </row>
    <row r="490" spans="1:1" ht="15.75" hidden="1" customHeight="1" x14ac:dyDescent="0.25">
      <c r="A490" s="99"/>
    </row>
    <row r="491" spans="1:1" ht="15.75" hidden="1" customHeight="1" x14ac:dyDescent="0.25">
      <c r="A491" s="99"/>
    </row>
    <row r="492" spans="1:1" ht="15.75" hidden="1" customHeight="1" x14ac:dyDescent="0.25">
      <c r="A492" s="99"/>
    </row>
    <row r="493" spans="1:1" ht="15.75" hidden="1" customHeight="1" x14ac:dyDescent="0.25">
      <c r="A493" s="99"/>
    </row>
    <row r="494" spans="1:1" ht="15.75" hidden="1" customHeight="1" x14ac:dyDescent="0.25">
      <c r="A494" s="99"/>
    </row>
    <row r="495" spans="1:1" ht="15.75" hidden="1" customHeight="1" x14ac:dyDescent="0.25">
      <c r="A495" s="99"/>
    </row>
    <row r="496" spans="1:1" ht="15.75" hidden="1" customHeight="1" x14ac:dyDescent="0.25">
      <c r="A496" s="99"/>
    </row>
    <row r="497" spans="1:1" ht="15.75" hidden="1" customHeight="1" x14ac:dyDescent="0.25">
      <c r="A497" s="99"/>
    </row>
    <row r="498" spans="1:1" ht="15.75" hidden="1" customHeight="1" x14ac:dyDescent="0.25">
      <c r="A498" s="99"/>
    </row>
    <row r="499" spans="1:1" ht="15.75" hidden="1" customHeight="1" x14ac:dyDescent="0.25">
      <c r="A499" s="99"/>
    </row>
    <row r="500" spans="1:1" ht="15.75" hidden="1" customHeight="1" x14ac:dyDescent="0.25">
      <c r="A500" s="99"/>
    </row>
    <row r="501" spans="1:1" ht="15.75" hidden="1" customHeight="1" x14ac:dyDescent="0.25">
      <c r="A501" s="99"/>
    </row>
    <row r="502" spans="1:1" ht="15.75" hidden="1" customHeight="1" x14ac:dyDescent="0.25">
      <c r="A502" s="99"/>
    </row>
    <row r="503" spans="1:1" ht="15.75" hidden="1" customHeight="1" x14ac:dyDescent="0.25">
      <c r="A503" s="99"/>
    </row>
    <row r="504" spans="1:1" ht="15.75" hidden="1" customHeight="1" x14ac:dyDescent="0.25">
      <c r="A504" s="99"/>
    </row>
    <row r="505" spans="1:1" ht="15.75" hidden="1" customHeight="1" x14ac:dyDescent="0.25">
      <c r="A505" s="99"/>
    </row>
    <row r="506" spans="1:1" ht="15.75" hidden="1" customHeight="1" x14ac:dyDescent="0.25">
      <c r="A506" s="99"/>
    </row>
    <row r="507" spans="1:1" ht="15.75" hidden="1" customHeight="1" x14ac:dyDescent="0.25">
      <c r="A507" s="99"/>
    </row>
    <row r="508" spans="1:1" ht="15.75" hidden="1" customHeight="1" x14ac:dyDescent="0.25">
      <c r="A508" s="99"/>
    </row>
    <row r="509" spans="1:1" ht="15.75" hidden="1" customHeight="1" x14ac:dyDescent="0.25">
      <c r="A509" s="99"/>
    </row>
    <row r="510" spans="1:1" ht="15.75" hidden="1" customHeight="1" x14ac:dyDescent="0.25">
      <c r="A510" s="99"/>
    </row>
    <row r="511" spans="1:1" ht="15.75" hidden="1" customHeight="1" x14ac:dyDescent="0.25">
      <c r="A511" s="99"/>
    </row>
    <row r="512" spans="1:1" ht="15.75" hidden="1" customHeight="1" x14ac:dyDescent="0.25">
      <c r="A512" s="99"/>
    </row>
    <row r="513" spans="1:1" ht="15.75" hidden="1" customHeight="1" x14ac:dyDescent="0.25">
      <c r="A513" s="99"/>
    </row>
    <row r="514" spans="1:1" ht="15.75" hidden="1" customHeight="1" x14ac:dyDescent="0.25">
      <c r="A514" s="99"/>
    </row>
    <row r="515" spans="1:1" ht="15.75" hidden="1" customHeight="1" x14ac:dyDescent="0.25">
      <c r="A515" s="99"/>
    </row>
    <row r="516" spans="1:1" ht="15.75" hidden="1" customHeight="1" x14ac:dyDescent="0.25">
      <c r="A516" s="99"/>
    </row>
    <row r="517" spans="1:1" ht="15.75" hidden="1" customHeight="1" x14ac:dyDescent="0.25">
      <c r="A517" s="99"/>
    </row>
    <row r="518" spans="1:1" ht="15.75" hidden="1" customHeight="1" x14ac:dyDescent="0.25">
      <c r="A518" s="99"/>
    </row>
    <row r="519" spans="1:1" ht="15.75" hidden="1" customHeight="1" x14ac:dyDescent="0.25">
      <c r="A519" s="99"/>
    </row>
    <row r="520" spans="1:1" ht="15.75" hidden="1" customHeight="1" x14ac:dyDescent="0.25">
      <c r="A520" s="99"/>
    </row>
    <row r="521" spans="1:1" ht="15.75" hidden="1" customHeight="1" x14ac:dyDescent="0.25">
      <c r="A521" s="99"/>
    </row>
    <row r="522" spans="1:1" ht="15.75" hidden="1" customHeight="1" x14ac:dyDescent="0.25">
      <c r="A522" s="99"/>
    </row>
    <row r="523" spans="1:1" ht="15.75" hidden="1" customHeight="1" x14ac:dyDescent="0.25">
      <c r="A523" s="99"/>
    </row>
    <row r="524" spans="1:1" ht="15.75" hidden="1" customHeight="1" x14ac:dyDescent="0.25">
      <c r="A524" s="99"/>
    </row>
    <row r="525" spans="1:1" ht="15.75" hidden="1" customHeight="1" x14ac:dyDescent="0.25">
      <c r="A525" s="99"/>
    </row>
    <row r="526" spans="1:1" ht="15.75" hidden="1" customHeight="1" x14ac:dyDescent="0.25">
      <c r="A526" s="99"/>
    </row>
    <row r="527" spans="1:1" ht="15.75" hidden="1" customHeight="1" x14ac:dyDescent="0.25">
      <c r="A527" s="99"/>
    </row>
    <row r="528" spans="1:1" ht="15.75" hidden="1" customHeight="1" x14ac:dyDescent="0.25">
      <c r="A528" s="99"/>
    </row>
    <row r="529" spans="1:1" ht="15.75" hidden="1" customHeight="1" x14ac:dyDescent="0.25">
      <c r="A529" s="99"/>
    </row>
    <row r="530" spans="1:1" ht="15.75" hidden="1" customHeight="1" x14ac:dyDescent="0.25">
      <c r="A530" s="99"/>
    </row>
    <row r="531" spans="1:1" ht="15.75" hidden="1" customHeight="1" x14ac:dyDescent="0.25">
      <c r="A531" s="99"/>
    </row>
    <row r="532" spans="1:1" ht="15.75" hidden="1" customHeight="1" x14ac:dyDescent="0.25">
      <c r="A532" s="99"/>
    </row>
    <row r="533" spans="1:1" ht="15.75" hidden="1" customHeight="1" x14ac:dyDescent="0.25">
      <c r="A533" s="99"/>
    </row>
    <row r="534" spans="1:1" ht="15.75" hidden="1" customHeight="1" x14ac:dyDescent="0.25">
      <c r="A534" s="99"/>
    </row>
    <row r="535" spans="1:1" ht="15.75" hidden="1" customHeight="1" x14ac:dyDescent="0.25">
      <c r="A535" s="99"/>
    </row>
    <row r="536" spans="1:1" ht="15.75" hidden="1" customHeight="1" x14ac:dyDescent="0.25">
      <c r="A536" s="99"/>
    </row>
    <row r="537" spans="1:1" ht="15.75" hidden="1" customHeight="1" x14ac:dyDescent="0.25">
      <c r="A537" s="99"/>
    </row>
    <row r="538" spans="1:1" ht="15.75" hidden="1" customHeight="1" x14ac:dyDescent="0.25">
      <c r="A538" s="99"/>
    </row>
    <row r="539" spans="1:1" ht="15.75" hidden="1" customHeight="1" x14ac:dyDescent="0.25">
      <c r="A539" s="99"/>
    </row>
    <row r="540" spans="1:1" ht="15.75" hidden="1" customHeight="1" x14ac:dyDescent="0.25">
      <c r="A540" s="99"/>
    </row>
    <row r="541" spans="1:1" ht="15.75" hidden="1" customHeight="1" x14ac:dyDescent="0.25">
      <c r="A541" s="99"/>
    </row>
    <row r="542" spans="1:1" ht="15.75" hidden="1" customHeight="1" x14ac:dyDescent="0.25">
      <c r="A542" s="99"/>
    </row>
    <row r="543" spans="1:1" ht="15.75" hidden="1" customHeight="1" x14ac:dyDescent="0.25">
      <c r="A543" s="99"/>
    </row>
    <row r="544" spans="1:1" ht="15.75" hidden="1" customHeight="1" x14ac:dyDescent="0.25">
      <c r="A544" s="99"/>
    </row>
    <row r="545" spans="1:1" ht="15.75" hidden="1" customHeight="1" x14ac:dyDescent="0.25">
      <c r="A545" s="99"/>
    </row>
    <row r="546" spans="1:1" ht="15.75" hidden="1" customHeight="1" x14ac:dyDescent="0.25">
      <c r="A546" s="99"/>
    </row>
    <row r="547" spans="1:1" ht="15.75" hidden="1" customHeight="1" x14ac:dyDescent="0.25">
      <c r="A547" s="99"/>
    </row>
    <row r="548" spans="1:1" ht="15.75" hidden="1" customHeight="1" x14ac:dyDescent="0.25">
      <c r="A548" s="99"/>
    </row>
    <row r="549" spans="1:1" ht="15.75" hidden="1" customHeight="1" x14ac:dyDescent="0.25">
      <c r="A549" s="99"/>
    </row>
    <row r="550" spans="1:1" ht="15.75" hidden="1" customHeight="1" x14ac:dyDescent="0.25">
      <c r="A550" s="99"/>
    </row>
    <row r="551" spans="1:1" ht="15.75" hidden="1" customHeight="1" x14ac:dyDescent="0.25">
      <c r="A551" s="99"/>
    </row>
    <row r="552" spans="1:1" ht="15.75" hidden="1" customHeight="1" x14ac:dyDescent="0.25">
      <c r="A552" s="99"/>
    </row>
    <row r="553" spans="1:1" ht="15.75" hidden="1" customHeight="1" x14ac:dyDescent="0.25">
      <c r="A553" s="99"/>
    </row>
    <row r="554" spans="1:1" ht="15.75" hidden="1" customHeight="1" x14ac:dyDescent="0.25">
      <c r="A554" s="99"/>
    </row>
    <row r="555" spans="1:1" ht="15.75" hidden="1" customHeight="1" x14ac:dyDescent="0.25">
      <c r="A555" s="99"/>
    </row>
    <row r="556" spans="1:1" ht="15.75" hidden="1" customHeight="1" x14ac:dyDescent="0.25">
      <c r="A556" s="99"/>
    </row>
    <row r="557" spans="1:1" ht="15.75" hidden="1" customHeight="1" x14ac:dyDescent="0.25">
      <c r="A557" s="99"/>
    </row>
    <row r="558" spans="1:1" ht="15.75" hidden="1" customHeight="1" x14ac:dyDescent="0.25">
      <c r="A558" s="99"/>
    </row>
    <row r="559" spans="1:1" ht="15.75" hidden="1" customHeight="1" x14ac:dyDescent="0.25">
      <c r="A559" s="99"/>
    </row>
    <row r="560" spans="1:1" ht="15.75" hidden="1" customHeight="1" x14ac:dyDescent="0.25">
      <c r="A560" s="99"/>
    </row>
    <row r="561" spans="1:1" ht="15.75" hidden="1" customHeight="1" x14ac:dyDescent="0.25">
      <c r="A561" s="99"/>
    </row>
    <row r="562" spans="1:1" ht="15.75" hidden="1" customHeight="1" x14ac:dyDescent="0.25">
      <c r="A562" s="99"/>
    </row>
    <row r="563" spans="1:1" ht="15.75" hidden="1" customHeight="1" x14ac:dyDescent="0.25">
      <c r="A563" s="99"/>
    </row>
    <row r="564" spans="1:1" ht="15.75" hidden="1" customHeight="1" x14ac:dyDescent="0.25">
      <c r="A564" s="99"/>
    </row>
    <row r="565" spans="1:1" ht="15.75" hidden="1" customHeight="1" x14ac:dyDescent="0.25">
      <c r="A565" s="99"/>
    </row>
    <row r="566" spans="1:1" ht="15.75" hidden="1" customHeight="1" x14ac:dyDescent="0.25">
      <c r="A566" s="99"/>
    </row>
    <row r="567" spans="1:1" ht="15.75" hidden="1" customHeight="1" x14ac:dyDescent="0.25">
      <c r="A567" s="99"/>
    </row>
    <row r="568" spans="1:1" ht="15.75" hidden="1" customHeight="1" x14ac:dyDescent="0.25">
      <c r="A568" s="99"/>
    </row>
    <row r="569" spans="1:1" ht="15.75" hidden="1" customHeight="1" x14ac:dyDescent="0.25">
      <c r="A569" s="99"/>
    </row>
    <row r="570" spans="1:1" ht="15.75" hidden="1" customHeight="1" x14ac:dyDescent="0.25">
      <c r="A570" s="99"/>
    </row>
    <row r="571" spans="1:1" ht="15.75" hidden="1" customHeight="1" x14ac:dyDescent="0.25">
      <c r="A571" s="99"/>
    </row>
    <row r="572" spans="1:1" ht="15.75" hidden="1" customHeight="1" x14ac:dyDescent="0.25">
      <c r="A572" s="99"/>
    </row>
    <row r="573" spans="1:1" ht="15.75" hidden="1" customHeight="1" x14ac:dyDescent="0.25">
      <c r="A573" s="99"/>
    </row>
    <row r="574" spans="1:1" ht="15.75" hidden="1" customHeight="1" x14ac:dyDescent="0.25">
      <c r="A574" s="99"/>
    </row>
    <row r="575" spans="1:1" ht="15.75" hidden="1" customHeight="1" x14ac:dyDescent="0.25">
      <c r="A575" s="99"/>
    </row>
    <row r="576" spans="1:1" ht="15.75" hidden="1" customHeight="1" x14ac:dyDescent="0.25">
      <c r="A576" s="99"/>
    </row>
    <row r="577" spans="1:1" ht="15.75" hidden="1" customHeight="1" x14ac:dyDescent="0.25">
      <c r="A577" s="99"/>
    </row>
    <row r="578" spans="1:1" ht="15.75" hidden="1" customHeight="1" x14ac:dyDescent="0.25">
      <c r="A578" s="99"/>
    </row>
    <row r="579" spans="1:1" ht="15.75" hidden="1" customHeight="1" x14ac:dyDescent="0.25">
      <c r="A579" s="99"/>
    </row>
    <row r="580" spans="1:1" ht="15.75" hidden="1" customHeight="1" x14ac:dyDescent="0.25">
      <c r="A580" s="99"/>
    </row>
    <row r="581" spans="1:1" ht="15.75" hidden="1" customHeight="1" x14ac:dyDescent="0.25">
      <c r="A581" s="99"/>
    </row>
    <row r="582" spans="1:1" ht="15.75" hidden="1" customHeight="1" x14ac:dyDescent="0.25">
      <c r="A582" s="99"/>
    </row>
    <row r="583" spans="1:1" ht="15.75" hidden="1" customHeight="1" x14ac:dyDescent="0.25">
      <c r="A583" s="99"/>
    </row>
    <row r="584" spans="1:1" ht="15.75" hidden="1" customHeight="1" x14ac:dyDescent="0.25">
      <c r="A584" s="99"/>
    </row>
    <row r="585" spans="1:1" ht="15.75" hidden="1" customHeight="1" x14ac:dyDescent="0.25">
      <c r="A585" s="99"/>
    </row>
    <row r="586" spans="1:1" ht="15.75" hidden="1" customHeight="1" x14ac:dyDescent="0.25">
      <c r="A586" s="99"/>
    </row>
    <row r="587" spans="1:1" ht="15.75" hidden="1" customHeight="1" x14ac:dyDescent="0.25">
      <c r="A587" s="99"/>
    </row>
    <row r="588" spans="1:1" ht="15.75" hidden="1" customHeight="1" x14ac:dyDescent="0.25">
      <c r="A588" s="99"/>
    </row>
    <row r="589" spans="1:1" ht="15.75" hidden="1" customHeight="1" x14ac:dyDescent="0.25">
      <c r="A589" s="99"/>
    </row>
    <row r="590" spans="1:1" ht="15.75" hidden="1" customHeight="1" x14ac:dyDescent="0.25">
      <c r="A590" s="99"/>
    </row>
    <row r="591" spans="1:1" ht="15.75" hidden="1" customHeight="1" x14ac:dyDescent="0.25">
      <c r="A591" s="99"/>
    </row>
    <row r="592" spans="1:1" ht="15.75" hidden="1" customHeight="1" x14ac:dyDescent="0.25">
      <c r="A592" s="99"/>
    </row>
    <row r="593" spans="1:1" ht="15.75" hidden="1" customHeight="1" x14ac:dyDescent="0.25">
      <c r="A593" s="99"/>
    </row>
    <row r="594" spans="1:1" ht="15.75" hidden="1" customHeight="1" x14ac:dyDescent="0.25">
      <c r="A594" s="99"/>
    </row>
    <row r="595" spans="1:1" ht="15.75" hidden="1" customHeight="1" x14ac:dyDescent="0.25">
      <c r="A595" s="99"/>
    </row>
    <row r="596" spans="1:1" ht="15.75" hidden="1" customHeight="1" x14ac:dyDescent="0.25">
      <c r="A596" s="99"/>
    </row>
    <row r="597" spans="1:1" ht="15.75" hidden="1" customHeight="1" x14ac:dyDescent="0.25">
      <c r="A597" s="99"/>
    </row>
    <row r="598" spans="1:1" ht="15.75" hidden="1" customHeight="1" x14ac:dyDescent="0.25">
      <c r="A598" s="99"/>
    </row>
    <row r="599" spans="1:1" ht="15.75" hidden="1" customHeight="1" x14ac:dyDescent="0.25">
      <c r="A599" s="99"/>
    </row>
    <row r="600" spans="1:1" ht="15.75" hidden="1" customHeight="1" x14ac:dyDescent="0.25">
      <c r="A600" s="99"/>
    </row>
    <row r="601" spans="1:1" ht="15.75" hidden="1" customHeight="1" x14ac:dyDescent="0.25">
      <c r="A601" s="99"/>
    </row>
    <row r="602" spans="1:1" ht="15.75" hidden="1" customHeight="1" x14ac:dyDescent="0.25">
      <c r="A602" s="99"/>
    </row>
    <row r="603" spans="1:1" ht="15.75" hidden="1" customHeight="1" x14ac:dyDescent="0.25">
      <c r="A603" s="99"/>
    </row>
    <row r="604" spans="1:1" ht="15.75" hidden="1" customHeight="1" x14ac:dyDescent="0.25">
      <c r="A604" s="99"/>
    </row>
    <row r="605" spans="1:1" ht="15.75" hidden="1" customHeight="1" x14ac:dyDescent="0.25">
      <c r="A605" s="99"/>
    </row>
    <row r="606" spans="1:1" ht="15.75" hidden="1" customHeight="1" x14ac:dyDescent="0.25">
      <c r="A606" s="99"/>
    </row>
    <row r="607" spans="1:1" ht="15.75" hidden="1" customHeight="1" x14ac:dyDescent="0.25">
      <c r="A607" s="99"/>
    </row>
    <row r="608" spans="1:1" ht="15.75" hidden="1" customHeight="1" x14ac:dyDescent="0.25">
      <c r="A608" s="99"/>
    </row>
    <row r="609" spans="1:1" ht="15.75" hidden="1" customHeight="1" x14ac:dyDescent="0.25">
      <c r="A609" s="99"/>
    </row>
    <row r="610" spans="1:1" ht="15.75" hidden="1" customHeight="1" x14ac:dyDescent="0.25">
      <c r="A610" s="99"/>
    </row>
    <row r="611" spans="1:1" ht="15.75" hidden="1" customHeight="1" x14ac:dyDescent="0.25">
      <c r="A611" s="99"/>
    </row>
    <row r="612" spans="1:1" ht="15.75" hidden="1" customHeight="1" x14ac:dyDescent="0.25">
      <c r="A612" s="99"/>
    </row>
    <row r="613" spans="1:1" ht="15.75" hidden="1" customHeight="1" x14ac:dyDescent="0.25">
      <c r="A613" s="99"/>
    </row>
    <row r="614" spans="1:1" ht="15.75" hidden="1" customHeight="1" x14ac:dyDescent="0.25">
      <c r="A614" s="99"/>
    </row>
    <row r="615" spans="1:1" ht="15.75" hidden="1" customHeight="1" x14ac:dyDescent="0.25">
      <c r="A615" s="99"/>
    </row>
    <row r="616" spans="1:1" ht="15.75" hidden="1" customHeight="1" x14ac:dyDescent="0.25">
      <c r="A616" s="99"/>
    </row>
    <row r="617" spans="1:1" ht="15.75" hidden="1" customHeight="1" x14ac:dyDescent="0.25">
      <c r="A617" s="99"/>
    </row>
    <row r="618" spans="1:1" ht="15.75" hidden="1" customHeight="1" x14ac:dyDescent="0.25">
      <c r="A618" s="99"/>
    </row>
    <row r="619" spans="1:1" ht="15.75" hidden="1" customHeight="1" x14ac:dyDescent="0.25">
      <c r="A619" s="99"/>
    </row>
    <row r="620" spans="1:1" ht="15.75" hidden="1" customHeight="1" x14ac:dyDescent="0.25">
      <c r="A620" s="99"/>
    </row>
    <row r="621" spans="1:1" ht="15.75" hidden="1" customHeight="1" x14ac:dyDescent="0.25">
      <c r="A621" s="99"/>
    </row>
    <row r="622" spans="1:1" ht="15.75" hidden="1" customHeight="1" x14ac:dyDescent="0.25">
      <c r="A622" s="99"/>
    </row>
    <row r="623" spans="1:1" ht="15.75" hidden="1" customHeight="1" x14ac:dyDescent="0.25">
      <c r="A623" s="99"/>
    </row>
    <row r="624" spans="1:1" ht="15.75" hidden="1" customHeight="1" x14ac:dyDescent="0.25">
      <c r="A624" s="99"/>
    </row>
    <row r="625" spans="1:1" ht="15.75" hidden="1" customHeight="1" x14ac:dyDescent="0.25">
      <c r="A625" s="99"/>
    </row>
    <row r="626" spans="1:1" ht="15.75" hidden="1" customHeight="1" x14ac:dyDescent="0.25">
      <c r="A626" s="99"/>
    </row>
    <row r="627" spans="1:1" ht="15.75" hidden="1" customHeight="1" x14ac:dyDescent="0.25">
      <c r="A627" s="99"/>
    </row>
    <row r="628" spans="1:1" ht="15.75" hidden="1" customHeight="1" x14ac:dyDescent="0.25">
      <c r="A628" s="99"/>
    </row>
    <row r="629" spans="1:1" ht="15.75" hidden="1" customHeight="1" x14ac:dyDescent="0.25">
      <c r="A629" s="99"/>
    </row>
    <row r="630" spans="1:1" ht="15.75" hidden="1" customHeight="1" x14ac:dyDescent="0.25">
      <c r="A630" s="99"/>
    </row>
    <row r="631" spans="1:1" ht="15.75" hidden="1" customHeight="1" x14ac:dyDescent="0.25">
      <c r="A631" s="99"/>
    </row>
    <row r="632" spans="1:1" ht="15.75" hidden="1" customHeight="1" x14ac:dyDescent="0.25">
      <c r="A632" s="99"/>
    </row>
    <row r="633" spans="1:1" ht="15.75" hidden="1" customHeight="1" x14ac:dyDescent="0.25">
      <c r="A633" s="99"/>
    </row>
    <row r="634" spans="1:1" ht="15.75" hidden="1" customHeight="1" x14ac:dyDescent="0.25">
      <c r="A634" s="99"/>
    </row>
    <row r="635" spans="1:1" ht="15.75" hidden="1" customHeight="1" x14ac:dyDescent="0.25">
      <c r="A635" s="99"/>
    </row>
    <row r="636" spans="1:1" ht="15.75" hidden="1" customHeight="1" x14ac:dyDescent="0.25">
      <c r="A636" s="99"/>
    </row>
    <row r="637" spans="1:1" ht="15.75" hidden="1" customHeight="1" x14ac:dyDescent="0.25">
      <c r="A637" s="99"/>
    </row>
    <row r="638" spans="1:1" ht="15.75" hidden="1" customHeight="1" x14ac:dyDescent="0.25">
      <c r="A638" s="99"/>
    </row>
    <row r="639" spans="1:1" ht="15.75" hidden="1" customHeight="1" x14ac:dyDescent="0.25">
      <c r="A639" s="99"/>
    </row>
    <row r="640" spans="1:1" ht="15.75" hidden="1" customHeight="1" x14ac:dyDescent="0.25">
      <c r="A640" s="99"/>
    </row>
    <row r="641" spans="1:1" ht="15.75" hidden="1" customHeight="1" x14ac:dyDescent="0.25">
      <c r="A641" s="99"/>
    </row>
    <row r="642" spans="1:1" ht="15.75" hidden="1" customHeight="1" x14ac:dyDescent="0.25">
      <c r="A642" s="99"/>
    </row>
    <row r="643" spans="1:1" ht="15.75" hidden="1" customHeight="1" x14ac:dyDescent="0.25">
      <c r="A643" s="99"/>
    </row>
    <row r="644" spans="1:1" ht="15.75" hidden="1" customHeight="1" x14ac:dyDescent="0.25">
      <c r="A644" s="99"/>
    </row>
    <row r="645" spans="1:1" ht="15.75" hidden="1" customHeight="1" x14ac:dyDescent="0.25">
      <c r="A645" s="99"/>
    </row>
    <row r="646" spans="1:1" ht="15.75" hidden="1" customHeight="1" x14ac:dyDescent="0.25">
      <c r="A646" s="99"/>
    </row>
    <row r="647" spans="1:1" ht="15.75" hidden="1" customHeight="1" x14ac:dyDescent="0.25">
      <c r="A647" s="99"/>
    </row>
    <row r="648" spans="1:1" ht="15.75" hidden="1" customHeight="1" x14ac:dyDescent="0.25">
      <c r="A648" s="99"/>
    </row>
    <row r="649" spans="1:1" ht="15.75" hidden="1" customHeight="1" x14ac:dyDescent="0.25">
      <c r="A649" s="99"/>
    </row>
    <row r="650" spans="1:1" ht="15.75" hidden="1" customHeight="1" x14ac:dyDescent="0.25">
      <c r="A650" s="99"/>
    </row>
    <row r="651" spans="1:1" ht="15.75" hidden="1" customHeight="1" x14ac:dyDescent="0.25">
      <c r="A651" s="99"/>
    </row>
    <row r="652" spans="1:1" ht="15.75" hidden="1" customHeight="1" x14ac:dyDescent="0.25">
      <c r="A652" s="99"/>
    </row>
    <row r="653" spans="1:1" ht="15.75" hidden="1" customHeight="1" x14ac:dyDescent="0.25">
      <c r="A653" s="99"/>
    </row>
    <row r="654" spans="1:1" ht="15.75" hidden="1" customHeight="1" x14ac:dyDescent="0.25">
      <c r="A654" s="99"/>
    </row>
    <row r="655" spans="1:1" ht="15.75" hidden="1" customHeight="1" x14ac:dyDescent="0.25">
      <c r="A655" s="99"/>
    </row>
    <row r="656" spans="1:1" ht="15.75" hidden="1" customHeight="1" x14ac:dyDescent="0.25">
      <c r="A656" s="99"/>
    </row>
    <row r="657" spans="1:1" ht="15.75" hidden="1" customHeight="1" x14ac:dyDescent="0.25">
      <c r="A657" s="99"/>
    </row>
    <row r="658" spans="1:1" ht="15.75" hidden="1" customHeight="1" x14ac:dyDescent="0.25">
      <c r="A658" s="99"/>
    </row>
    <row r="659" spans="1:1" ht="15.75" hidden="1" customHeight="1" x14ac:dyDescent="0.25">
      <c r="A659" s="99"/>
    </row>
    <row r="660" spans="1:1" ht="15.75" hidden="1" customHeight="1" x14ac:dyDescent="0.25">
      <c r="A660" s="99"/>
    </row>
    <row r="661" spans="1:1" ht="15.75" hidden="1" customHeight="1" x14ac:dyDescent="0.25">
      <c r="A661" s="99"/>
    </row>
    <row r="662" spans="1:1" ht="15.75" hidden="1" customHeight="1" x14ac:dyDescent="0.25">
      <c r="A662" s="99"/>
    </row>
    <row r="663" spans="1:1" ht="15.75" hidden="1" customHeight="1" x14ac:dyDescent="0.25">
      <c r="A663" s="99"/>
    </row>
    <row r="664" spans="1:1" ht="15.75" hidden="1" customHeight="1" x14ac:dyDescent="0.25">
      <c r="A664" s="99"/>
    </row>
    <row r="665" spans="1:1" ht="15.75" hidden="1" customHeight="1" x14ac:dyDescent="0.25">
      <c r="A665" s="99"/>
    </row>
    <row r="666" spans="1:1" ht="15.75" hidden="1" customHeight="1" x14ac:dyDescent="0.25">
      <c r="A666" s="99"/>
    </row>
    <row r="667" spans="1:1" ht="15.75" hidden="1" customHeight="1" x14ac:dyDescent="0.25">
      <c r="A667" s="99"/>
    </row>
    <row r="668" spans="1:1" ht="15.75" hidden="1" customHeight="1" x14ac:dyDescent="0.25">
      <c r="A668" s="99"/>
    </row>
    <row r="669" spans="1:1" ht="15.75" hidden="1" customHeight="1" x14ac:dyDescent="0.25">
      <c r="A669" s="99"/>
    </row>
    <row r="670" spans="1:1" ht="15.75" hidden="1" customHeight="1" x14ac:dyDescent="0.25">
      <c r="A670" s="99"/>
    </row>
    <row r="671" spans="1:1" ht="15.75" hidden="1" customHeight="1" x14ac:dyDescent="0.25">
      <c r="A671" s="99"/>
    </row>
    <row r="672" spans="1:1" ht="15.75" hidden="1" customHeight="1" x14ac:dyDescent="0.25">
      <c r="A672" s="99"/>
    </row>
    <row r="673" spans="1:1" ht="15.75" hidden="1" customHeight="1" x14ac:dyDescent="0.25">
      <c r="A673" s="99"/>
    </row>
    <row r="674" spans="1:1" ht="15.75" hidden="1" customHeight="1" x14ac:dyDescent="0.25">
      <c r="A674" s="99"/>
    </row>
    <row r="675" spans="1:1" ht="15.75" hidden="1" customHeight="1" x14ac:dyDescent="0.25">
      <c r="A675" s="99"/>
    </row>
    <row r="676" spans="1:1" ht="15.75" hidden="1" customHeight="1" x14ac:dyDescent="0.25">
      <c r="A676" s="99"/>
    </row>
    <row r="677" spans="1:1" ht="15.75" hidden="1" customHeight="1" x14ac:dyDescent="0.25">
      <c r="A677" s="99"/>
    </row>
    <row r="678" spans="1:1" ht="15.75" hidden="1" customHeight="1" x14ac:dyDescent="0.25">
      <c r="A678" s="99"/>
    </row>
    <row r="679" spans="1:1" ht="15.75" hidden="1" customHeight="1" x14ac:dyDescent="0.25">
      <c r="A679" s="99"/>
    </row>
    <row r="680" spans="1:1" ht="15.75" hidden="1" customHeight="1" x14ac:dyDescent="0.25">
      <c r="A680" s="99"/>
    </row>
    <row r="681" spans="1:1" ht="15.75" hidden="1" customHeight="1" x14ac:dyDescent="0.25">
      <c r="A681" s="99"/>
    </row>
    <row r="682" spans="1:1" ht="15.75" hidden="1" customHeight="1" x14ac:dyDescent="0.25">
      <c r="A682" s="99"/>
    </row>
    <row r="683" spans="1:1" ht="15.75" hidden="1" customHeight="1" x14ac:dyDescent="0.25">
      <c r="A683" s="99"/>
    </row>
    <row r="684" spans="1:1" ht="15.75" hidden="1" customHeight="1" x14ac:dyDescent="0.25">
      <c r="A684" s="99"/>
    </row>
    <row r="685" spans="1:1" ht="15.75" hidden="1" customHeight="1" x14ac:dyDescent="0.25">
      <c r="A685" s="99"/>
    </row>
    <row r="686" spans="1:1" ht="15.75" hidden="1" customHeight="1" x14ac:dyDescent="0.25">
      <c r="A686" s="99"/>
    </row>
    <row r="687" spans="1:1" ht="15.75" hidden="1" customHeight="1" x14ac:dyDescent="0.25">
      <c r="A687" s="99"/>
    </row>
    <row r="688" spans="1:1" ht="15.75" hidden="1" customHeight="1" x14ac:dyDescent="0.25">
      <c r="A688" s="99"/>
    </row>
    <row r="689" spans="1:1" ht="15.75" hidden="1" customHeight="1" x14ac:dyDescent="0.25">
      <c r="A689" s="99"/>
    </row>
    <row r="690" spans="1:1" ht="15.75" hidden="1" customHeight="1" x14ac:dyDescent="0.25">
      <c r="A690" s="99"/>
    </row>
    <row r="691" spans="1:1" ht="15.75" hidden="1" customHeight="1" x14ac:dyDescent="0.25">
      <c r="A691" s="99"/>
    </row>
    <row r="692" spans="1:1" ht="15.75" hidden="1" customHeight="1" x14ac:dyDescent="0.25">
      <c r="A692" s="99"/>
    </row>
    <row r="693" spans="1:1" ht="15.75" hidden="1" customHeight="1" x14ac:dyDescent="0.25">
      <c r="A693" s="99"/>
    </row>
    <row r="694" spans="1:1" ht="15.75" hidden="1" customHeight="1" x14ac:dyDescent="0.25">
      <c r="A694" s="99"/>
    </row>
    <row r="695" spans="1:1" ht="15.75" hidden="1" customHeight="1" x14ac:dyDescent="0.25">
      <c r="A695" s="99"/>
    </row>
    <row r="696" spans="1:1" ht="15.75" hidden="1" customHeight="1" x14ac:dyDescent="0.25">
      <c r="A696" s="99"/>
    </row>
    <row r="697" spans="1:1" ht="15.75" hidden="1" customHeight="1" x14ac:dyDescent="0.25">
      <c r="A697" s="99"/>
    </row>
    <row r="698" spans="1:1" ht="15.75" hidden="1" customHeight="1" x14ac:dyDescent="0.25">
      <c r="A698" s="99"/>
    </row>
    <row r="699" spans="1:1" ht="15.75" hidden="1" customHeight="1" x14ac:dyDescent="0.25">
      <c r="A699" s="99"/>
    </row>
    <row r="700" spans="1:1" ht="15.75" hidden="1" customHeight="1" x14ac:dyDescent="0.25">
      <c r="A700" s="99"/>
    </row>
    <row r="701" spans="1:1" ht="15.75" hidden="1" customHeight="1" x14ac:dyDescent="0.25">
      <c r="A701" s="99"/>
    </row>
    <row r="702" spans="1:1" ht="15.75" hidden="1" customHeight="1" x14ac:dyDescent="0.25">
      <c r="A702" s="99"/>
    </row>
    <row r="703" spans="1:1" ht="15.75" hidden="1" customHeight="1" x14ac:dyDescent="0.25">
      <c r="A703" s="99"/>
    </row>
    <row r="704" spans="1:1" ht="15.75" hidden="1" customHeight="1" x14ac:dyDescent="0.25">
      <c r="A704" s="99"/>
    </row>
    <row r="705" spans="1:1" ht="15.75" hidden="1" customHeight="1" x14ac:dyDescent="0.25">
      <c r="A705" s="99"/>
    </row>
    <row r="706" spans="1:1" ht="15.75" hidden="1" customHeight="1" x14ac:dyDescent="0.25">
      <c r="A706" s="99"/>
    </row>
    <row r="707" spans="1:1" ht="15.75" hidden="1" customHeight="1" x14ac:dyDescent="0.25">
      <c r="A707" s="99"/>
    </row>
    <row r="708" spans="1:1" ht="15.75" hidden="1" customHeight="1" x14ac:dyDescent="0.25">
      <c r="A708" s="99"/>
    </row>
    <row r="709" spans="1:1" ht="15.75" hidden="1" customHeight="1" x14ac:dyDescent="0.25">
      <c r="A709" s="99"/>
    </row>
    <row r="710" spans="1:1" ht="15.75" hidden="1" customHeight="1" x14ac:dyDescent="0.25">
      <c r="A710" s="99"/>
    </row>
    <row r="711" spans="1:1" ht="15.75" hidden="1" customHeight="1" x14ac:dyDescent="0.25">
      <c r="A711" s="99"/>
    </row>
    <row r="712" spans="1:1" ht="15.75" hidden="1" customHeight="1" x14ac:dyDescent="0.25">
      <c r="A712" s="99"/>
    </row>
    <row r="713" spans="1:1" ht="15.75" hidden="1" customHeight="1" x14ac:dyDescent="0.25">
      <c r="A713" s="99"/>
    </row>
    <row r="714" spans="1:1" ht="15.75" hidden="1" customHeight="1" x14ac:dyDescent="0.25">
      <c r="A714" s="99"/>
    </row>
    <row r="715" spans="1:1" ht="15.75" hidden="1" customHeight="1" x14ac:dyDescent="0.25">
      <c r="A715" s="99"/>
    </row>
    <row r="716" spans="1:1" ht="15.75" hidden="1" customHeight="1" x14ac:dyDescent="0.25">
      <c r="A716" s="99"/>
    </row>
    <row r="717" spans="1:1" ht="15.75" hidden="1" customHeight="1" x14ac:dyDescent="0.25">
      <c r="A717" s="99"/>
    </row>
    <row r="718" spans="1:1" ht="15.75" hidden="1" customHeight="1" x14ac:dyDescent="0.25">
      <c r="A718" s="99"/>
    </row>
    <row r="719" spans="1:1" ht="15.75" hidden="1" customHeight="1" x14ac:dyDescent="0.25">
      <c r="A719" s="99"/>
    </row>
    <row r="720" spans="1:1" ht="15.75" hidden="1" customHeight="1" x14ac:dyDescent="0.25">
      <c r="A720" s="99"/>
    </row>
    <row r="721" spans="1:1" ht="15.75" hidden="1" customHeight="1" x14ac:dyDescent="0.25">
      <c r="A721" s="99"/>
    </row>
    <row r="722" spans="1:1" ht="15.75" hidden="1" customHeight="1" x14ac:dyDescent="0.25">
      <c r="A722" s="99"/>
    </row>
    <row r="723" spans="1:1" ht="15.75" hidden="1" customHeight="1" x14ac:dyDescent="0.25">
      <c r="A723" s="99"/>
    </row>
    <row r="724" spans="1:1" ht="15.75" hidden="1" customHeight="1" x14ac:dyDescent="0.25">
      <c r="A724" s="99"/>
    </row>
    <row r="725" spans="1:1" ht="15.75" hidden="1" customHeight="1" x14ac:dyDescent="0.25">
      <c r="A725" s="99"/>
    </row>
    <row r="726" spans="1:1" ht="15.75" hidden="1" customHeight="1" x14ac:dyDescent="0.25">
      <c r="A726" s="99"/>
    </row>
    <row r="727" spans="1:1" ht="15.75" hidden="1" customHeight="1" x14ac:dyDescent="0.25">
      <c r="A727" s="99"/>
    </row>
    <row r="728" spans="1:1" ht="15.75" hidden="1" customHeight="1" x14ac:dyDescent="0.25">
      <c r="A728" s="99"/>
    </row>
    <row r="729" spans="1:1" ht="15.75" hidden="1" customHeight="1" x14ac:dyDescent="0.25">
      <c r="A729" s="99"/>
    </row>
    <row r="730" spans="1:1" ht="15.75" hidden="1" customHeight="1" x14ac:dyDescent="0.25">
      <c r="A730" s="99"/>
    </row>
    <row r="731" spans="1:1" ht="15.75" hidden="1" customHeight="1" x14ac:dyDescent="0.25">
      <c r="A731" s="99"/>
    </row>
    <row r="732" spans="1:1" ht="15.75" hidden="1" customHeight="1" x14ac:dyDescent="0.25">
      <c r="A732" s="99"/>
    </row>
    <row r="733" spans="1:1" ht="15.75" hidden="1" customHeight="1" x14ac:dyDescent="0.25">
      <c r="A733" s="99"/>
    </row>
    <row r="734" spans="1:1" ht="15.75" hidden="1" customHeight="1" x14ac:dyDescent="0.25">
      <c r="A734" s="99"/>
    </row>
    <row r="735" spans="1:1" ht="15.75" hidden="1" customHeight="1" x14ac:dyDescent="0.25">
      <c r="A735" s="99"/>
    </row>
    <row r="736" spans="1:1" ht="15.75" hidden="1" customHeight="1" x14ac:dyDescent="0.25">
      <c r="A736" s="99"/>
    </row>
    <row r="737" spans="1:1" ht="15.75" hidden="1" customHeight="1" x14ac:dyDescent="0.25">
      <c r="A737" s="99"/>
    </row>
    <row r="738" spans="1:1" ht="15.75" hidden="1" customHeight="1" x14ac:dyDescent="0.25">
      <c r="A738" s="99"/>
    </row>
    <row r="739" spans="1:1" ht="15.75" hidden="1" customHeight="1" x14ac:dyDescent="0.25">
      <c r="A739" s="99"/>
    </row>
    <row r="740" spans="1:1" ht="15.75" hidden="1" customHeight="1" x14ac:dyDescent="0.25">
      <c r="A740" s="99"/>
    </row>
    <row r="741" spans="1:1" ht="15.75" hidden="1" customHeight="1" x14ac:dyDescent="0.25">
      <c r="A741" s="99"/>
    </row>
    <row r="742" spans="1:1" ht="15.75" hidden="1" customHeight="1" x14ac:dyDescent="0.25">
      <c r="A742" s="99"/>
    </row>
    <row r="743" spans="1:1" ht="15.75" hidden="1" customHeight="1" x14ac:dyDescent="0.25">
      <c r="A743" s="99"/>
    </row>
    <row r="744" spans="1:1" ht="15.75" hidden="1" customHeight="1" x14ac:dyDescent="0.25">
      <c r="A744" s="99"/>
    </row>
    <row r="745" spans="1:1" ht="15.75" hidden="1" customHeight="1" x14ac:dyDescent="0.25">
      <c r="A745" s="99"/>
    </row>
    <row r="746" spans="1:1" ht="15.75" hidden="1" customHeight="1" x14ac:dyDescent="0.25">
      <c r="A746" s="99"/>
    </row>
    <row r="747" spans="1:1" ht="15.75" hidden="1" customHeight="1" x14ac:dyDescent="0.25">
      <c r="A747" s="99"/>
    </row>
    <row r="748" spans="1:1" ht="15.75" hidden="1" customHeight="1" x14ac:dyDescent="0.25">
      <c r="A748" s="99"/>
    </row>
    <row r="749" spans="1:1" ht="15.75" hidden="1" customHeight="1" x14ac:dyDescent="0.25">
      <c r="A749" s="99"/>
    </row>
    <row r="750" spans="1:1" ht="15.75" hidden="1" customHeight="1" x14ac:dyDescent="0.25">
      <c r="A750" s="99"/>
    </row>
    <row r="751" spans="1:1" ht="15.75" hidden="1" customHeight="1" x14ac:dyDescent="0.25">
      <c r="A751" s="99"/>
    </row>
    <row r="752" spans="1:1" ht="15.75" hidden="1" customHeight="1" x14ac:dyDescent="0.25">
      <c r="A752" s="99"/>
    </row>
    <row r="753" spans="1:1" ht="15.75" hidden="1" customHeight="1" x14ac:dyDescent="0.25">
      <c r="A753" s="99"/>
    </row>
    <row r="754" spans="1:1" ht="15.75" hidden="1" customHeight="1" x14ac:dyDescent="0.25">
      <c r="A754" s="99"/>
    </row>
    <row r="755" spans="1:1" ht="15.75" hidden="1" customHeight="1" x14ac:dyDescent="0.25">
      <c r="A755" s="99"/>
    </row>
    <row r="756" spans="1:1" ht="15.75" hidden="1" customHeight="1" x14ac:dyDescent="0.25">
      <c r="A756" s="99"/>
    </row>
    <row r="757" spans="1:1" ht="15.75" hidden="1" customHeight="1" x14ac:dyDescent="0.25">
      <c r="A757" s="99"/>
    </row>
    <row r="758" spans="1:1" ht="15.75" hidden="1" customHeight="1" x14ac:dyDescent="0.25">
      <c r="A758" s="99"/>
    </row>
    <row r="759" spans="1:1" ht="15.75" hidden="1" customHeight="1" x14ac:dyDescent="0.25">
      <c r="A759" s="99"/>
    </row>
    <row r="760" spans="1:1" ht="15.75" hidden="1" customHeight="1" x14ac:dyDescent="0.25">
      <c r="A760" s="99"/>
    </row>
    <row r="761" spans="1:1" ht="15.75" hidden="1" customHeight="1" x14ac:dyDescent="0.25">
      <c r="A761" s="99"/>
    </row>
    <row r="762" spans="1:1" ht="15.75" hidden="1" customHeight="1" x14ac:dyDescent="0.25">
      <c r="A762" s="99"/>
    </row>
    <row r="763" spans="1:1" ht="15.75" hidden="1" customHeight="1" x14ac:dyDescent="0.25">
      <c r="A763" s="99"/>
    </row>
    <row r="764" spans="1:1" ht="15.75" hidden="1" customHeight="1" x14ac:dyDescent="0.25">
      <c r="A764" s="99"/>
    </row>
    <row r="765" spans="1:1" ht="15.75" hidden="1" customHeight="1" x14ac:dyDescent="0.25">
      <c r="A765" s="99"/>
    </row>
    <row r="766" spans="1:1" ht="15.75" hidden="1" customHeight="1" x14ac:dyDescent="0.25">
      <c r="A766" s="99"/>
    </row>
    <row r="767" spans="1:1" ht="15.75" hidden="1" customHeight="1" x14ac:dyDescent="0.25">
      <c r="A767" s="99"/>
    </row>
    <row r="768" spans="1:1" ht="15.75" hidden="1" customHeight="1" x14ac:dyDescent="0.25">
      <c r="A768" s="99"/>
    </row>
    <row r="769" spans="1:1" ht="15.75" hidden="1" customHeight="1" x14ac:dyDescent="0.25">
      <c r="A769" s="99"/>
    </row>
    <row r="770" spans="1:1" ht="15.75" hidden="1" customHeight="1" x14ac:dyDescent="0.25">
      <c r="A770" s="99"/>
    </row>
    <row r="771" spans="1:1" ht="15.75" hidden="1" customHeight="1" x14ac:dyDescent="0.25">
      <c r="A771" s="99"/>
    </row>
    <row r="772" spans="1:1" ht="15.75" hidden="1" customHeight="1" x14ac:dyDescent="0.25">
      <c r="A772" s="99"/>
    </row>
    <row r="773" spans="1:1" ht="15.75" hidden="1" customHeight="1" x14ac:dyDescent="0.25">
      <c r="A773" s="99"/>
    </row>
    <row r="774" spans="1:1" ht="15.75" hidden="1" customHeight="1" x14ac:dyDescent="0.25">
      <c r="A774" s="99"/>
    </row>
    <row r="775" spans="1:1" ht="15.75" hidden="1" customHeight="1" x14ac:dyDescent="0.25">
      <c r="A775" s="99"/>
    </row>
    <row r="776" spans="1:1" ht="15.75" hidden="1" customHeight="1" x14ac:dyDescent="0.25">
      <c r="A776" s="99"/>
    </row>
    <row r="777" spans="1:1" ht="15.75" hidden="1" customHeight="1" x14ac:dyDescent="0.25">
      <c r="A777" s="99"/>
    </row>
    <row r="778" spans="1:1" ht="15.75" hidden="1" customHeight="1" x14ac:dyDescent="0.25">
      <c r="A778" s="99"/>
    </row>
    <row r="779" spans="1:1" ht="15.75" hidden="1" customHeight="1" x14ac:dyDescent="0.25">
      <c r="A779" s="99"/>
    </row>
    <row r="780" spans="1:1" ht="15.75" hidden="1" customHeight="1" x14ac:dyDescent="0.25">
      <c r="A780" s="99"/>
    </row>
    <row r="781" spans="1:1" ht="15.75" hidden="1" customHeight="1" x14ac:dyDescent="0.25">
      <c r="A781" s="99"/>
    </row>
    <row r="782" spans="1:1" ht="15.75" hidden="1" customHeight="1" x14ac:dyDescent="0.25">
      <c r="A782" s="99"/>
    </row>
    <row r="783" spans="1:1" ht="15.75" hidden="1" customHeight="1" x14ac:dyDescent="0.25">
      <c r="A783" s="99"/>
    </row>
    <row r="784" spans="1:1" ht="15.75" hidden="1" customHeight="1" x14ac:dyDescent="0.25">
      <c r="A784" s="99"/>
    </row>
    <row r="785" spans="1:1" ht="15.75" hidden="1" customHeight="1" x14ac:dyDescent="0.25">
      <c r="A785" s="99"/>
    </row>
    <row r="786" spans="1:1" ht="15.75" hidden="1" customHeight="1" x14ac:dyDescent="0.25">
      <c r="A786" s="99"/>
    </row>
    <row r="787" spans="1:1" ht="15.75" hidden="1" customHeight="1" x14ac:dyDescent="0.25">
      <c r="A787" s="99"/>
    </row>
    <row r="788" spans="1:1" ht="15.75" hidden="1" customHeight="1" x14ac:dyDescent="0.25">
      <c r="A788" s="99"/>
    </row>
    <row r="789" spans="1:1" ht="15.75" hidden="1" customHeight="1" x14ac:dyDescent="0.25">
      <c r="A789" s="99"/>
    </row>
    <row r="790" spans="1:1" ht="15.75" hidden="1" customHeight="1" x14ac:dyDescent="0.25">
      <c r="A790" s="99"/>
    </row>
    <row r="791" spans="1:1" ht="15.75" hidden="1" customHeight="1" x14ac:dyDescent="0.25">
      <c r="A791" s="99"/>
    </row>
    <row r="792" spans="1:1" ht="15.75" hidden="1" customHeight="1" x14ac:dyDescent="0.25">
      <c r="A792" s="99"/>
    </row>
    <row r="793" spans="1:1" ht="15.75" hidden="1" customHeight="1" x14ac:dyDescent="0.25">
      <c r="A793" s="99"/>
    </row>
    <row r="794" spans="1:1" ht="15.75" hidden="1" customHeight="1" x14ac:dyDescent="0.25">
      <c r="A794" s="99"/>
    </row>
    <row r="795" spans="1:1" ht="15.75" hidden="1" customHeight="1" x14ac:dyDescent="0.25">
      <c r="A795" s="99"/>
    </row>
    <row r="796" spans="1:1" ht="15.75" hidden="1" customHeight="1" x14ac:dyDescent="0.25">
      <c r="A796" s="99"/>
    </row>
    <row r="797" spans="1:1" ht="15.75" hidden="1" customHeight="1" x14ac:dyDescent="0.25">
      <c r="A797" s="99"/>
    </row>
    <row r="798" spans="1:1" ht="15.75" hidden="1" customHeight="1" x14ac:dyDescent="0.25">
      <c r="A798" s="99"/>
    </row>
    <row r="799" spans="1:1" ht="15.75" hidden="1" customHeight="1" x14ac:dyDescent="0.25">
      <c r="A799" s="99"/>
    </row>
    <row r="800" spans="1:1" ht="15.75" hidden="1" customHeight="1" x14ac:dyDescent="0.25">
      <c r="A800" s="99"/>
    </row>
    <row r="801" spans="1:1" ht="15.75" hidden="1" customHeight="1" x14ac:dyDescent="0.25">
      <c r="A801" s="99"/>
    </row>
    <row r="802" spans="1:1" ht="15.75" hidden="1" customHeight="1" x14ac:dyDescent="0.25">
      <c r="A802" s="99"/>
    </row>
    <row r="803" spans="1:1" ht="15.75" hidden="1" customHeight="1" x14ac:dyDescent="0.25">
      <c r="A803" s="99"/>
    </row>
    <row r="804" spans="1:1" ht="15.75" hidden="1" customHeight="1" x14ac:dyDescent="0.25">
      <c r="A804" s="99"/>
    </row>
    <row r="805" spans="1:1" ht="15.75" hidden="1" customHeight="1" x14ac:dyDescent="0.25">
      <c r="A805" s="99"/>
    </row>
    <row r="806" spans="1:1" ht="15.75" hidden="1" customHeight="1" x14ac:dyDescent="0.25">
      <c r="A806" s="99"/>
    </row>
    <row r="807" spans="1:1" ht="15.75" hidden="1" customHeight="1" x14ac:dyDescent="0.25">
      <c r="A807" s="99"/>
    </row>
    <row r="808" spans="1:1" ht="15.75" hidden="1" customHeight="1" x14ac:dyDescent="0.25">
      <c r="A808" s="99"/>
    </row>
    <row r="809" spans="1:1" ht="15.75" hidden="1" customHeight="1" x14ac:dyDescent="0.25">
      <c r="A809" s="99"/>
    </row>
    <row r="810" spans="1:1" ht="15.75" hidden="1" customHeight="1" x14ac:dyDescent="0.25">
      <c r="A810" s="99"/>
    </row>
    <row r="811" spans="1:1" ht="15.75" hidden="1" customHeight="1" x14ac:dyDescent="0.25">
      <c r="A811" s="99"/>
    </row>
    <row r="812" spans="1:1" ht="15.75" hidden="1" customHeight="1" x14ac:dyDescent="0.25">
      <c r="A812" s="99"/>
    </row>
    <row r="813" spans="1:1" ht="15.75" hidden="1" customHeight="1" x14ac:dyDescent="0.25">
      <c r="A813" s="99"/>
    </row>
    <row r="814" spans="1:1" ht="15.75" hidden="1" customHeight="1" x14ac:dyDescent="0.25">
      <c r="A814" s="99"/>
    </row>
    <row r="815" spans="1:1" ht="15.75" hidden="1" customHeight="1" x14ac:dyDescent="0.25">
      <c r="A815" s="99"/>
    </row>
    <row r="816" spans="1:1" ht="15.75" hidden="1" customHeight="1" x14ac:dyDescent="0.25">
      <c r="A816" s="99"/>
    </row>
    <row r="817" spans="1:1" ht="15.75" hidden="1" customHeight="1" x14ac:dyDescent="0.25">
      <c r="A817" s="99"/>
    </row>
    <row r="818" spans="1:1" ht="15.75" hidden="1" customHeight="1" x14ac:dyDescent="0.25">
      <c r="A818" s="99"/>
    </row>
    <row r="819" spans="1:1" ht="15.75" hidden="1" customHeight="1" x14ac:dyDescent="0.25">
      <c r="A819" s="99"/>
    </row>
    <row r="820" spans="1:1" ht="15.75" hidden="1" customHeight="1" x14ac:dyDescent="0.25">
      <c r="A820" s="99"/>
    </row>
    <row r="821" spans="1:1" ht="15.75" hidden="1" customHeight="1" x14ac:dyDescent="0.25">
      <c r="A821" s="99"/>
    </row>
    <row r="822" spans="1:1" ht="15.75" hidden="1" customHeight="1" x14ac:dyDescent="0.25">
      <c r="A822" s="99"/>
    </row>
    <row r="823" spans="1:1" ht="15.75" hidden="1" customHeight="1" x14ac:dyDescent="0.25">
      <c r="A823" s="99"/>
    </row>
    <row r="824" spans="1:1" ht="15.75" hidden="1" customHeight="1" x14ac:dyDescent="0.25">
      <c r="A824" s="99"/>
    </row>
    <row r="825" spans="1:1" ht="15.75" hidden="1" customHeight="1" x14ac:dyDescent="0.25">
      <c r="A825" s="99"/>
    </row>
    <row r="826" spans="1:1" ht="15.75" hidden="1" customHeight="1" x14ac:dyDescent="0.25">
      <c r="A826" s="99"/>
    </row>
    <row r="827" spans="1:1" ht="15.75" hidden="1" customHeight="1" x14ac:dyDescent="0.25">
      <c r="A827" s="99"/>
    </row>
    <row r="828" spans="1:1" ht="15.75" hidden="1" customHeight="1" x14ac:dyDescent="0.25">
      <c r="A828" s="99"/>
    </row>
    <row r="829" spans="1:1" ht="15.75" hidden="1" customHeight="1" x14ac:dyDescent="0.25">
      <c r="A829" s="99"/>
    </row>
    <row r="830" spans="1:1" ht="15.75" hidden="1" customHeight="1" x14ac:dyDescent="0.25">
      <c r="A830" s="99"/>
    </row>
    <row r="831" spans="1:1" ht="15.75" hidden="1" customHeight="1" x14ac:dyDescent="0.25">
      <c r="A831" s="99"/>
    </row>
    <row r="832" spans="1:1" ht="15.75" hidden="1" customHeight="1" x14ac:dyDescent="0.25">
      <c r="A832" s="99"/>
    </row>
    <row r="833" spans="1:1" ht="15.75" hidden="1" customHeight="1" x14ac:dyDescent="0.25">
      <c r="A833" s="99"/>
    </row>
    <row r="834" spans="1:1" ht="15.75" hidden="1" customHeight="1" x14ac:dyDescent="0.25">
      <c r="A834" s="99"/>
    </row>
    <row r="835" spans="1:1" ht="15.75" hidden="1" customHeight="1" x14ac:dyDescent="0.25">
      <c r="A835" s="99"/>
    </row>
    <row r="836" spans="1:1" ht="15.75" hidden="1" customHeight="1" x14ac:dyDescent="0.25">
      <c r="A836" s="99"/>
    </row>
    <row r="837" spans="1:1" ht="15.75" hidden="1" customHeight="1" x14ac:dyDescent="0.25">
      <c r="A837" s="99"/>
    </row>
    <row r="838" spans="1:1" ht="15.75" hidden="1" customHeight="1" x14ac:dyDescent="0.25">
      <c r="A838" s="99"/>
    </row>
    <row r="839" spans="1:1" ht="15.75" hidden="1" customHeight="1" x14ac:dyDescent="0.25">
      <c r="A839" s="99"/>
    </row>
    <row r="840" spans="1:1" ht="15.75" hidden="1" customHeight="1" x14ac:dyDescent="0.25">
      <c r="A840" s="99"/>
    </row>
    <row r="841" spans="1:1" ht="15.75" hidden="1" customHeight="1" x14ac:dyDescent="0.25">
      <c r="A841" s="99"/>
    </row>
    <row r="842" spans="1:1" ht="15.75" hidden="1" customHeight="1" x14ac:dyDescent="0.25">
      <c r="A842" s="99"/>
    </row>
    <row r="843" spans="1:1" ht="15.75" hidden="1" customHeight="1" x14ac:dyDescent="0.25">
      <c r="A843" s="99"/>
    </row>
    <row r="844" spans="1:1" ht="15.75" hidden="1" customHeight="1" x14ac:dyDescent="0.25">
      <c r="A844" s="99"/>
    </row>
    <row r="845" spans="1:1" ht="15.75" hidden="1" customHeight="1" x14ac:dyDescent="0.25">
      <c r="A845" s="99"/>
    </row>
    <row r="846" spans="1:1" ht="15.75" hidden="1" customHeight="1" x14ac:dyDescent="0.25">
      <c r="A846" s="99"/>
    </row>
    <row r="847" spans="1:1" ht="15.75" hidden="1" customHeight="1" x14ac:dyDescent="0.25">
      <c r="A847" s="99"/>
    </row>
    <row r="848" spans="1:1" ht="15.75" hidden="1" customHeight="1" x14ac:dyDescent="0.25">
      <c r="A848" s="99"/>
    </row>
    <row r="849" spans="1:1" ht="15.75" hidden="1" customHeight="1" x14ac:dyDescent="0.25">
      <c r="A849" s="99"/>
    </row>
    <row r="850" spans="1:1" ht="15.75" hidden="1" customHeight="1" x14ac:dyDescent="0.25">
      <c r="A850" s="99"/>
    </row>
    <row r="851" spans="1:1" ht="15.75" hidden="1" customHeight="1" x14ac:dyDescent="0.25">
      <c r="A851" s="99"/>
    </row>
    <row r="852" spans="1:1" ht="15.75" hidden="1" customHeight="1" x14ac:dyDescent="0.25">
      <c r="A852" s="99"/>
    </row>
    <row r="853" spans="1:1" ht="15.75" hidden="1" customHeight="1" x14ac:dyDescent="0.25">
      <c r="A853" s="99"/>
    </row>
    <row r="854" spans="1:1" ht="15.75" hidden="1" customHeight="1" x14ac:dyDescent="0.25">
      <c r="A854" s="99"/>
    </row>
    <row r="855" spans="1:1" ht="15.75" hidden="1" customHeight="1" x14ac:dyDescent="0.25">
      <c r="A855" s="99"/>
    </row>
    <row r="856" spans="1:1" ht="15.75" hidden="1" customHeight="1" x14ac:dyDescent="0.25">
      <c r="A856" s="99"/>
    </row>
    <row r="857" spans="1:1" ht="15.75" hidden="1" customHeight="1" x14ac:dyDescent="0.25">
      <c r="A857" s="99"/>
    </row>
    <row r="858" spans="1:1" ht="15.75" hidden="1" customHeight="1" x14ac:dyDescent="0.25">
      <c r="A858" s="99"/>
    </row>
    <row r="859" spans="1:1" ht="15.75" hidden="1" customHeight="1" x14ac:dyDescent="0.25">
      <c r="A859" s="99"/>
    </row>
    <row r="860" spans="1:1" ht="15.75" hidden="1" customHeight="1" x14ac:dyDescent="0.25">
      <c r="A860" s="99"/>
    </row>
    <row r="861" spans="1:1" ht="15.75" hidden="1" customHeight="1" x14ac:dyDescent="0.25">
      <c r="A861" s="99"/>
    </row>
    <row r="862" spans="1:1" ht="15.75" hidden="1" customHeight="1" x14ac:dyDescent="0.25">
      <c r="A862" s="99"/>
    </row>
    <row r="863" spans="1:1" ht="15.75" hidden="1" customHeight="1" x14ac:dyDescent="0.25">
      <c r="A863" s="99"/>
    </row>
    <row r="864" spans="1:1" ht="15.75" hidden="1" customHeight="1" x14ac:dyDescent="0.25">
      <c r="A864" s="99"/>
    </row>
    <row r="865" spans="1:1" ht="15.75" hidden="1" customHeight="1" x14ac:dyDescent="0.25">
      <c r="A865" s="99"/>
    </row>
    <row r="866" spans="1:1" ht="15.75" hidden="1" customHeight="1" x14ac:dyDescent="0.25">
      <c r="A866" s="99"/>
    </row>
    <row r="867" spans="1:1" ht="15.75" hidden="1" customHeight="1" x14ac:dyDescent="0.25">
      <c r="A867" s="99"/>
    </row>
    <row r="868" spans="1:1" ht="15.75" hidden="1" customHeight="1" x14ac:dyDescent="0.25">
      <c r="A868" s="99"/>
    </row>
    <row r="869" spans="1:1" ht="15.75" hidden="1" customHeight="1" x14ac:dyDescent="0.25">
      <c r="A869" s="99"/>
    </row>
    <row r="870" spans="1:1" ht="15.75" hidden="1" customHeight="1" x14ac:dyDescent="0.25">
      <c r="A870" s="99"/>
    </row>
    <row r="871" spans="1:1" ht="15.75" hidden="1" customHeight="1" x14ac:dyDescent="0.25">
      <c r="A871" s="99"/>
    </row>
    <row r="872" spans="1:1" ht="15.75" hidden="1" customHeight="1" x14ac:dyDescent="0.25">
      <c r="A872" s="99"/>
    </row>
    <row r="873" spans="1:1" ht="15.75" hidden="1" customHeight="1" x14ac:dyDescent="0.25">
      <c r="A873" s="99"/>
    </row>
    <row r="874" spans="1:1" ht="15.75" hidden="1" customHeight="1" x14ac:dyDescent="0.25">
      <c r="A874" s="99"/>
    </row>
    <row r="875" spans="1:1" ht="15.75" hidden="1" customHeight="1" x14ac:dyDescent="0.25">
      <c r="A875" s="99"/>
    </row>
    <row r="876" spans="1:1" ht="15.75" hidden="1" customHeight="1" x14ac:dyDescent="0.25">
      <c r="A876" s="99"/>
    </row>
    <row r="877" spans="1:1" ht="15.75" hidden="1" customHeight="1" x14ac:dyDescent="0.25">
      <c r="A877" s="99"/>
    </row>
    <row r="878" spans="1:1" ht="15.75" hidden="1" customHeight="1" x14ac:dyDescent="0.25">
      <c r="A878" s="99"/>
    </row>
    <row r="879" spans="1:1" ht="15.75" hidden="1" customHeight="1" x14ac:dyDescent="0.25">
      <c r="A879" s="99"/>
    </row>
    <row r="880" spans="1:1" ht="15.75" hidden="1" customHeight="1" x14ac:dyDescent="0.25">
      <c r="A880" s="99"/>
    </row>
    <row r="881" spans="1:1" ht="15.75" hidden="1" customHeight="1" x14ac:dyDescent="0.25">
      <c r="A881" s="99"/>
    </row>
    <row r="882" spans="1:1" ht="15.75" hidden="1" customHeight="1" x14ac:dyDescent="0.25">
      <c r="A882" s="99"/>
    </row>
    <row r="883" spans="1:1" ht="15.75" hidden="1" customHeight="1" x14ac:dyDescent="0.25">
      <c r="A883" s="99"/>
    </row>
    <row r="884" spans="1:1" ht="15.75" hidden="1" customHeight="1" x14ac:dyDescent="0.25">
      <c r="A884" s="99"/>
    </row>
    <row r="885" spans="1:1" ht="15.75" hidden="1" customHeight="1" x14ac:dyDescent="0.25">
      <c r="A885" s="99"/>
    </row>
    <row r="886" spans="1:1" ht="15.75" hidden="1" customHeight="1" x14ac:dyDescent="0.25">
      <c r="A886" s="99"/>
    </row>
    <row r="887" spans="1:1" ht="15.75" hidden="1" customHeight="1" x14ac:dyDescent="0.25">
      <c r="A887" s="99"/>
    </row>
    <row r="888" spans="1:1" ht="15.75" hidden="1" customHeight="1" x14ac:dyDescent="0.25">
      <c r="A888" s="99"/>
    </row>
    <row r="889" spans="1:1" ht="15.75" hidden="1" customHeight="1" x14ac:dyDescent="0.25">
      <c r="A889" s="99"/>
    </row>
    <row r="890" spans="1:1" ht="15.75" hidden="1" customHeight="1" x14ac:dyDescent="0.25">
      <c r="A890" s="99"/>
    </row>
    <row r="891" spans="1:1" ht="15.75" hidden="1" customHeight="1" x14ac:dyDescent="0.25">
      <c r="A891" s="99"/>
    </row>
    <row r="892" spans="1:1" ht="15.75" hidden="1" customHeight="1" x14ac:dyDescent="0.25">
      <c r="A892" s="99"/>
    </row>
    <row r="893" spans="1:1" ht="15.75" hidden="1" customHeight="1" x14ac:dyDescent="0.25">
      <c r="A893" s="99"/>
    </row>
    <row r="894" spans="1:1" ht="15.75" hidden="1" customHeight="1" x14ac:dyDescent="0.25">
      <c r="A894" s="99"/>
    </row>
    <row r="895" spans="1:1" ht="15.75" hidden="1" customHeight="1" x14ac:dyDescent="0.25">
      <c r="A895" s="99"/>
    </row>
    <row r="896" spans="1:1" ht="15.75" hidden="1" customHeight="1" x14ac:dyDescent="0.25">
      <c r="A896" s="99"/>
    </row>
    <row r="897" spans="1:1" ht="15.75" hidden="1" customHeight="1" x14ac:dyDescent="0.25">
      <c r="A897" s="99"/>
    </row>
    <row r="898" spans="1:1" ht="15.75" hidden="1" customHeight="1" x14ac:dyDescent="0.25">
      <c r="A898" s="99"/>
    </row>
    <row r="899" spans="1:1" ht="15.75" hidden="1" customHeight="1" x14ac:dyDescent="0.25">
      <c r="A899" s="99"/>
    </row>
    <row r="900" spans="1:1" ht="15.75" hidden="1" customHeight="1" x14ac:dyDescent="0.25">
      <c r="A900" s="99"/>
    </row>
    <row r="901" spans="1:1" ht="15.75" hidden="1" customHeight="1" x14ac:dyDescent="0.25">
      <c r="A901" s="99"/>
    </row>
    <row r="902" spans="1:1" ht="15.75" hidden="1" customHeight="1" x14ac:dyDescent="0.25">
      <c r="A902" s="99"/>
    </row>
    <row r="903" spans="1:1" ht="15.75" hidden="1" customHeight="1" x14ac:dyDescent="0.25">
      <c r="A903" s="99"/>
    </row>
    <row r="904" spans="1:1" ht="15.75" hidden="1" customHeight="1" x14ac:dyDescent="0.25">
      <c r="A904" s="99"/>
    </row>
    <row r="905" spans="1:1" ht="15.75" hidden="1" customHeight="1" x14ac:dyDescent="0.25">
      <c r="A905" s="99"/>
    </row>
    <row r="906" spans="1:1" ht="15.75" hidden="1" customHeight="1" x14ac:dyDescent="0.25">
      <c r="A906" s="99"/>
    </row>
    <row r="907" spans="1:1" ht="15.75" hidden="1" customHeight="1" x14ac:dyDescent="0.25">
      <c r="A907" s="99"/>
    </row>
    <row r="908" spans="1:1" ht="15.75" hidden="1" customHeight="1" x14ac:dyDescent="0.25">
      <c r="A908" s="99"/>
    </row>
    <row r="909" spans="1:1" ht="15.75" hidden="1" customHeight="1" x14ac:dyDescent="0.25">
      <c r="A909" s="99"/>
    </row>
    <row r="910" spans="1:1" ht="15.75" hidden="1" customHeight="1" x14ac:dyDescent="0.25">
      <c r="A910" s="99"/>
    </row>
    <row r="911" spans="1:1" ht="15.75" hidden="1" customHeight="1" x14ac:dyDescent="0.25">
      <c r="A911" s="99"/>
    </row>
    <row r="912" spans="1:1" ht="15.75" hidden="1" customHeight="1" x14ac:dyDescent="0.25">
      <c r="A912" s="99"/>
    </row>
    <row r="913" spans="1:1" ht="15.75" hidden="1" customHeight="1" x14ac:dyDescent="0.25">
      <c r="A913" s="99"/>
    </row>
    <row r="914" spans="1:1" ht="15.75" hidden="1" customHeight="1" x14ac:dyDescent="0.25">
      <c r="A914" s="99"/>
    </row>
    <row r="915" spans="1:1" ht="15.75" hidden="1" customHeight="1" x14ac:dyDescent="0.25">
      <c r="A915" s="99"/>
    </row>
    <row r="916" spans="1:1" ht="15.75" hidden="1" customHeight="1" x14ac:dyDescent="0.25">
      <c r="A916" s="99"/>
    </row>
    <row r="917" spans="1:1" ht="15.75" hidden="1" customHeight="1" x14ac:dyDescent="0.25">
      <c r="A917" s="99"/>
    </row>
    <row r="918" spans="1:1" ht="15.75" hidden="1" customHeight="1" x14ac:dyDescent="0.25">
      <c r="A918" s="99"/>
    </row>
    <row r="919" spans="1:1" ht="15.75" hidden="1" customHeight="1" x14ac:dyDescent="0.25">
      <c r="A919" s="99"/>
    </row>
    <row r="920" spans="1:1" ht="15.75" hidden="1" customHeight="1" x14ac:dyDescent="0.25">
      <c r="A920" s="99"/>
    </row>
    <row r="921" spans="1:1" ht="15.75" hidden="1" customHeight="1" x14ac:dyDescent="0.25">
      <c r="A921" s="99"/>
    </row>
    <row r="922" spans="1:1" ht="15.75" hidden="1" customHeight="1" x14ac:dyDescent="0.25">
      <c r="A922" s="99"/>
    </row>
    <row r="923" spans="1:1" ht="15.75" hidden="1" customHeight="1" x14ac:dyDescent="0.25">
      <c r="A923" s="99"/>
    </row>
    <row r="924" spans="1:1" ht="15.75" hidden="1" customHeight="1" x14ac:dyDescent="0.25">
      <c r="A924" s="99"/>
    </row>
    <row r="925" spans="1:1" ht="15.75" hidden="1" customHeight="1" x14ac:dyDescent="0.25">
      <c r="A925" s="99"/>
    </row>
    <row r="926" spans="1:1" ht="15.75" hidden="1" customHeight="1" x14ac:dyDescent="0.25">
      <c r="A926" s="99"/>
    </row>
    <row r="927" spans="1:1" ht="15.75" hidden="1" customHeight="1" x14ac:dyDescent="0.25">
      <c r="A927" s="99"/>
    </row>
    <row r="928" spans="1:1" ht="15.75" hidden="1" customHeight="1" x14ac:dyDescent="0.25">
      <c r="A928" s="99"/>
    </row>
    <row r="929" spans="1:1" ht="15.75" hidden="1" customHeight="1" x14ac:dyDescent="0.25">
      <c r="A929" s="99"/>
    </row>
    <row r="930" spans="1:1" ht="15.75" hidden="1" customHeight="1" x14ac:dyDescent="0.25">
      <c r="A930" s="99"/>
    </row>
    <row r="931" spans="1:1" ht="15.75" hidden="1" customHeight="1" x14ac:dyDescent="0.25">
      <c r="A931" s="99"/>
    </row>
    <row r="932" spans="1:1" ht="15.75" hidden="1" customHeight="1" x14ac:dyDescent="0.25">
      <c r="A932" s="99"/>
    </row>
    <row r="933" spans="1:1" ht="15.75" hidden="1" customHeight="1" x14ac:dyDescent="0.25">
      <c r="A933" s="99"/>
    </row>
    <row r="934" spans="1:1" ht="15.75" hidden="1" customHeight="1" x14ac:dyDescent="0.25">
      <c r="A934" s="99"/>
    </row>
    <row r="935" spans="1:1" ht="15.75" hidden="1" customHeight="1" x14ac:dyDescent="0.25">
      <c r="A935" s="99"/>
    </row>
    <row r="936" spans="1:1" ht="15.75" hidden="1" customHeight="1" x14ac:dyDescent="0.25">
      <c r="A936" s="99"/>
    </row>
    <row r="937" spans="1:1" ht="15.75" hidden="1" customHeight="1" x14ac:dyDescent="0.25">
      <c r="A937" s="99"/>
    </row>
    <row r="938" spans="1:1" ht="15.75" hidden="1" customHeight="1" x14ac:dyDescent="0.25">
      <c r="A938" s="99"/>
    </row>
    <row r="939" spans="1:1" ht="15.75" hidden="1" customHeight="1" x14ac:dyDescent="0.25">
      <c r="A939" s="99"/>
    </row>
    <row r="940" spans="1:1" ht="15.75" hidden="1" customHeight="1" x14ac:dyDescent="0.25">
      <c r="A940" s="99"/>
    </row>
    <row r="941" spans="1:1" ht="15.75" hidden="1" customHeight="1" x14ac:dyDescent="0.25">
      <c r="A941" s="99"/>
    </row>
    <row r="942" spans="1:1" ht="15.75" hidden="1" customHeight="1" x14ac:dyDescent="0.25">
      <c r="A942" s="99"/>
    </row>
    <row r="943" spans="1:1" ht="15.75" hidden="1" customHeight="1" x14ac:dyDescent="0.25">
      <c r="A943" s="99"/>
    </row>
    <row r="944" spans="1:1" ht="15.75" hidden="1" customHeight="1" x14ac:dyDescent="0.25">
      <c r="A944" s="99"/>
    </row>
    <row r="945" spans="1:1" ht="15.75" hidden="1" customHeight="1" x14ac:dyDescent="0.25">
      <c r="A945" s="99"/>
    </row>
    <row r="946" spans="1:1" ht="15.75" hidden="1" customHeight="1" x14ac:dyDescent="0.25">
      <c r="A946" s="99"/>
    </row>
    <row r="947" spans="1:1" ht="15.75" hidden="1" customHeight="1" x14ac:dyDescent="0.25">
      <c r="A947" s="99"/>
    </row>
    <row r="948" spans="1:1" ht="15.75" hidden="1" customHeight="1" x14ac:dyDescent="0.25">
      <c r="A948" s="99"/>
    </row>
    <row r="949" spans="1:1" ht="15.75" hidden="1" customHeight="1" x14ac:dyDescent="0.25">
      <c r="A949" s="99"/>
    </row>
    <row r="950" spans="1:1" ht="15.75" hidden="1" customHeight="1" x14ac:dyDescent="0.25">
      <c r="A950" s="99"/>
    </row>
    <row r="951" spans="1:1" ht="15.75" hidden="1" customHeight="1" x14ac:dyDescent="0.25">
      <c r="A951" s="99"/>
    </row>
    <row r="952" spans="1:1" ht="15.75" hidden="1" customHeight="1" x14ac:dyDescent="0.25">
      <c r="A952" s="99"/>
    </row>
    <row r="953" spans="1:1" ht="15.75" hidden="1" customHeight="1" x14ac:dyDescent="0.25">
      <c r="A953" s="99"/>
    </row>
    <row r="954" spans="1:1" ht="15.75" hidden="1" customHeight="1" x14ac:dyDescent="0.25">
      <c r="A954" s="99"/>
    </row>
    <row r="955" spans="1:1" ht="15.75" hidden="1" customHeight="1" x14ac:dyDescent="0.25">
      <c r="A955" s="99"/>
    </row>
    <row r="956" spans="1:1" ht="15.75" hidden="1" customHeight="1" x14ac:dyDescent="0.25">
      <c r="A956" s="99"/>
    </row>
    <row r="957" spans="1:1" ht="15.75" hidden="1" customHeight="1" x14ac:dyDescent="0.25">
      <c r="A957" s="99"/>
    </row>
    <row r="958" spans="1:1" ht="15.75" hidden="1" customHeight="1" x14ac:dyDescent="0.25">
      <c r="A958" s="99"/>
    </row>
    <row r="959" spans="1:1" ht="15.75" hidden="1" customHeight="1" x14ac:dyDescent="0.25">
      <c r="A959" s="99"/>
    </row>
    <row r="960" spans="1:1" ht="15.75" hidden="1" customHeight="1" x14ac:dyDescent="0.25">
      <c r="A960" s="99"/>
    </row>
    <row r="961" spans="1:1" ht="15.75" hidden="1" customHeight="1" x14ac:dyDescent="0.25">
      <c r="A961" s="99"/>
    </row>
    <row r="962" spans="1:1" ht="15.75" hidden="1" customHeight="1" x14ac:dyDescent="0.25">
      <c r="A962" s="99"/>
    </row>
    <row r="963" spans="1:1" ht="15.75" hidden="1" customHeight="1" x14ac:dyDescent="0.25">
      <c r="A963" s="99"/>
    </row>
    <row r="964" spans="1:1" ht="15.75" hidden="1" customHeight="1" x14ac:dyDescent="0.25">
      <c r="A964" s="99"/>
    </row>
    <row r="965" spans="1:1" ht="15.75" hidden="1" customHeight="1" x14ac:dyDescent="0.25">
      <c r="A965" s="99"/>
    </row>
    <row r="966" spans="1:1" ht="15.75" hidden="1" customHeight="1" x14ac:dyDescent="0.25">
      <c r="A966" s="99"/>
    </row>
    <row r="967" spans="1:1" ht="15.75" hidden="1" customHeight="1" x14ac:dyDescent="0.25">
      <c r="A967" s="99"/>
    </row>
    <row r="968" spans="1:1" ht="15.75" hidden="1" customHeight="1" x14ac:dyDescent="0.25">
      <c r="A968" s="99"/>
    </row>
    <row r="969" spans="1:1" ht="15.75" hidden="1" customHeight="1" x14ac:dyDescent="0.25">
      <c r="A969" s="99"/>
    </row>
    <row r="970" spans="1:1" ht="15.75" hidden="1" customHeight="1" x14ac:dyDescent="0.25">
      <c r="A970" s="99"/>
    </row>
    <row r="971" spans="1:1" ht="15.75" hidden="1" customHeight="1" x14ac:dyDescent="0.25">
      <c r="A971" s="99"/>
    </row>
    <row r="972" spans="1:1" ht="15.75" hidden="1" customHeight="1" x14ac:dyDescent="0.25">
      <c r="A972" s="99"/>
    </row>
    <row r="973" spans="1:1" ht="15.75" hidden="1" customHeight="1" x14ac:dyDescent="0.25">
      <c r="A973" s="99"/>
    </row>
    <row r="974" spans="1:1" ht="15.75" hidden="1" customHeight="1" x14ac:dyDescent="0.25">
      <c r="A974" s="99"/>
    </row>
    <row r="975" spans="1:1" ht="15.75" hidden="1" customHeight="1" x14ac:dyDescent="0.25">
      <c r="A975" s="99"/>
    </row>
    <row r="976" spans="1:1" ht="15.75" hidden="1" customHeight="1" x14ac:dyDescent="0.25">
      <c r="A976" s="99"/>
    </row>
    <row r="977" spans="1:1" ht="15.75" hidden="1" customHeight="1" x14ac:dyDescent="0.25">
      <c r="A977" s="99"/>
    </row>
    <row r="978" spans="1:1" ht="15.75" hidden="1" customHeight="1" x14ac:dyDescent="0.25">
      <c r="A978" s="99"/>
    </row>
    <row r="979" spans="1:1" ht="15.75" hidden="1" customHeight="1" x14ac:dyDescent="0.25">
      <c r="A979" s="99"/>
    </row>
    <row r="980" spans="1:1" ht="15.75" hidden="1" customHeight="1" x14ac:dyDescent="0.25">
      <c r="A980" s="99"/>
    </row>
    <row r="981" spans="1:1" ht="15.75" hidden="1" customHeight="1" x14ac:dyDescent="0.25">
      <c r="A981" s="99"/>
    </row>
    <row r="982" spans="1:1" ht="15.75" hidden="1" customHeight="1" x14ac:dyDescent="0.25">
      <c r="A982" s="99"/>
    </row>
    <row r="983" spans="1:1" ht="15.75" hidden="1" customHeight="1" x14ac:dyDescent="0.25">
      <c r="A983" s="99"/>
    </row>
    <row r="984" spans="1:1" ht="15.75" hidden="1" customHeight="1" x14ac:dyDescent="0.25">
      <c r="A984" s="99"/>
    </row>
    <row r="985" spans="1:1" ht="15.75" hidden="1" customHeight="1" x14ac:dyDescent="0.25">
      <c r="A985" s="99"/>
    </row>
    <row r="986" spans="1:1" ht="15.75" hidden="1" customHeight="1" x14ac:dyDescent="0.25">
      <c r="A986" s="99"/>
    </row>
    <row r="987" spans="1:1" ht="15.75" hidden="1" customHeight="1" x14ac:dyDescent="0.25">
      <c r="A987" s="99"/>
    </row>
    <row r="988" spans="1:1" ht="15.75" hidden="1" customHeight="1" x14ac:dyDescent="0.25">
      <c r="A988" s="99"/>
    </row>
    <row r="989" spans="1:1" ht="15.75" hidden="1" customHeight="1" x14ac:dyDescent="0.25">
      <c r="A989" s="99"/>
    </row>
    <row r="990" spans="1:1" ht="15.75" hidden="1" customHeight="1" x14ac:dyDescent="0.25">
      <c r="A990" s="99"/>
    </row>
    <row r="991" spans="1:1" ht="15.75" hidden="1" customHeight="1" x14ac:dyDescent="0.25">
      <c r="A991" s="99"/>
    </row>
    <row r="992" spans="1:1" ht="15.75" hidden="1" customHeight="1" x14ac:dyDescent="0.25">
      <c r="A992" s="99"/>
    </row>
    <row r="993" spans="1:1" ht="15.75" hidden="1" customHeight="1" x14ac:dyDescent="0.25">
      <c r="A993" s="99"/>
    </row>
    <row r="994" spans="1:1" ht="15.75" hidden="1" customHeight="1" x14ac:dyDescent="0.25">
      <c r="A994" s="99"/>
    </row>
    <row r="995" spans="1:1" ht="15.75" hidden="1" customHeight="1" x14ac:dyDescent="0.25">
      <c r="A995" s="99"/>
    </row>
    <row r="996" spans="1:1" ht="15.75" hidden="1" customHeight="1" x14ac:dyDescent="0.25">
      <c r="A996" s="99"/>
    </row>
    <row r="997" spans="1:1" ht="15.75" hidden="1" customHeight="1" x14ac:dyDescent="0.25">
      <c r="A997" s="99"/>
    </row>
    <row r="998" spans="1:1" ht="15.75" hidden="1" customHeight="1" x14ac:dyDescent="0.25">
      <c r="A998" s="99"/>
    </row>
    <row r="999" spans="1:1" ht="15.75" hidden="1" customHeight="1" x14ac:dyDescent="0.25">
      <c r="A999" s="99"/>
    </row>
    <row r="1000" spans="1:1" ht="15.75" hidden="1" customHeight="1" x14ac:dyDescent="0.25">
      <c r="A1000" s="99"/>
    </row>
  </sheetData>
  <autoFilter ref="A1:Z70" xr:uid="{00000000-0009-0000-0000-000008000000}"/>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tabColor theme="1"/>
  </sheetPr>
  <dimension ref="A1:AL1000"/>
  <sheetViews>
    <sheetView showGridLines="0" zoomScale="120" zoomScaleNormal="120" workbookViewId="0">
      <pane ySplit="1" topLeftCell="A9" activePane="bottomLeft" state="frozen"/>
      <selection pane="bottomLeft" activeCell="G16" sqref="G16"/>
    </sheetView>
  </sheetViews>
  <sheetFormatPr baseColWidth="10" defaultColWidth="14.42578125" defaultRowHeight="15" customHeight="1" zeroHeight="1" x14ac:dyDescent="0.25"/>
  <cols>
    <col min="1" max="1" width="14.7109375" style="73" customWidth="1"/>
    <col min="2" max="2" width="22.42578125" style="73" customWidth="1"/>
    <col min="3" max="6" width="10.7109375" style="73" customWidth="1"/>
    <col min="7" max="7" width="15.140625" style="73" customWidth="1"/>
    <col min="8" max="20" width="10.7109375" style="73" customWidth="1"/>
    <col min="21" max="21" width="9.7109375" style="73" customWidth="1"/>
    <col min="22" max="22" width="16.28515625" style="73" customWidth="1"/>
    <col min="23" max="23" width="22.5703125" style="73" customWidth="1"/>
    <col min="24" max="30" width="10.7109375" style="73" customWidth="1"/>
    <col min="31" max="31" width="12" style="73" customWidth="1"/>
    <col min="32" max="32" width="25.5703125" style="73" customWidth="1"/>
    <col min="33" max="33" width="19.42578125" style="73" customWidth="1"/>
    <col min="34" max="34" width="11.85546875" style="73" customWidth="1"/>
    <col min="35" max="35" width="12.42578125" style="73" customWidth="1"/>
    <col min="36" max="38" width="12.140625" style="73" customWidth="1"/>
    <col min="39" max="16384" width="14.42578125" style="73"/>
  </cols>
  <sheetData>
    <row r="1" spans="1:38" ht="94.5" customHeight="1" x14ac:dyDescent="0.25">
      <c r="A1" s="71" t="s">
        <v>12</v>
      </c>
      <c r="B1" s="71" t="s">
        <v>2249</v>
      </c>
      <c r="C1" s="100" t="s">
        <v>2250</v>
      </c>
      <c r="D1" s="71" t="s">
        <v>2251</v>
      </c>
      <c r="E1" s="71" t="s">
        <v>2252</v>
      </c>
      <c r="F1" s="71" t="s">
        <v>2253</v>
      </c>
      <c r="G1" s="71" t="s">
        <v>2254</v>
      </c>
      <c r="H1" s="100" t="s">
        <v>2255</v>
      </c>
      <c r="I1" s="71" t="s">
        <v>2256</v>
      </c>
      <c r="J1" s="71" t="s">
        <v>2257</v>
      </c>
      <c r="K1" s="71" t="s">
        <v>2258</v>
      </c>
      <c r="L1" s="71" t="s">
        <v>2259</v>
      </c>
      <c r="M1" s="100" t="s">
        <v>2260</v>
      </c>
      <c r="N1" s="71" t="s">
        <v>2261</v>
      </c>
      <c r="O1" s="71" t="s">
        <v>2262</v>
      </c>
      <c r="P1" s="71" t="s">
        <v>2263</v>
      </c>
      <c r="Q1" s="71" t="s">
        <v>2264</v>
      </c>
      <c r="R1" s="100" t="s">
        <v>2265</v>
      </c>
      <c r="S1" s="71" t="s">
        <v>2266</v>
      </c>
      <c r="T1" s="71" t="s">
        <v>2267</v>
      </c>
      <c r="U1" s="71" t="s">
        <v>2268</v>
      </c>
      <c r="V1" s="71" t="s">
        <v>2269</v>
      </c>
      <c r="W1" s="100" t="s">
        <v>2270</v>
      </c>
      <c r="X1" s="71" t="s">
        <v>2271</v>
      </c>
      <c r="Y1" s="71" t="s">
        <v>2272</v>
      </c>
      <c r="Z1" s="71" t="s">
        <v>2273</v>
      </c>
      <c r="AA1" s="71" t="s">
        <v>2274</v>
      </c>
      <c r="AB1" s="100" t="s">
        <v>2275</v>
      </c>
      <c r="AC1" s="71" t="s">
        <v>2276</v>
      </c>
      <c r="AD1" s="71" t="s">
        <v>2277</v>
      </c>
      <c r="AE1" s="71" t="s">
        <v>2278</v>
      </c>
      <c r="AF1" s="71" t="s">
        <v>2279</v>
      </c>
      <c r="AG1" s="100" t="s">
        <v>2280</v>
      </c>
      <c r="AH1" s="71" t="s">
        <v>2281</v>
      </c>
      <c r="AI1" s="71" t="s">
        <v>2282</v>
      </c>
      <c r="AJ1" s="71" t="s">
        <v>2283</v>
      </c>
      <c r="AK1" s="71" t="s">
        <v>2284</v>
      </c>
      <c r="AL1" s="71" t="s">
        <v>2285</v>
      </c>
    </row>
    <row r="2" spans="1:38" x14ac:dyDescent="0.25">
      <c r="A2" s="76">
        <f>[1]Presupuesto!A2</f>
        <v>1</v>
      </c>
      <c r="B2" s="101">
        <v>47.18</v>
      </c>
      <c r="C2" s="102">
        <v>50</v>
      </c>
      <c r="D2" s="79"/>
      <c r="E2" s="79"/>
      <c r="F2" s="79"/>
      <c r="G2" s="101">
        <v>0</v>
      </c>
      <c r="H2" s="102">
        <v>0</v>
      </c>
      <c r="I2" s="79"/>
      <c r="J2" s="79"/>
      <c r="K2" s="79"/>
      <c r="L2" s="79"/>
      <c r="M2" s="79"/>
      <c r="N2" s="79"/>
      <c r="O2" s="79"/>
      <c r="P2" s="79"/>
      <c r="Q2" s="79"/>
      <c r="R2" s="79"/>
      <c r="S2" s="79"/>
      <c r="T2" s="79"/>
      <c r="U2" s="79"/>
      <c r="V2" s="76">
        <v>0</v>
      </c>
      <c r="W2" s="76">
        <v>0</v>
      </c>
      <c r="X2" s="79"/>
      <c r="Y2" s="79"/>
      <c r="Z2" s="79"/>
      <c r="AA2" s="79"/>
      <c r="AB2" s="79"/>
      <c r="AC2" s="79"/>
      <c r="AD2" s="79"/>
      <c r="AE2" s="79"/>
      <c r="AF2" s="101">
        <v>47.18</v>
      </c>
      <c r="AG2" s="102">
        <v>97.18</v>
      </c>
      <c r="AH2" s="79"/>
      <c r="AI2" s="79"/>
      <c r="AJ2" s="79"/>
      <c r="AK2" s="74">
        <v>0.50947625840635824</v>
      </c>
      <c r="AL2" s="74">
        <v>0.35792722451384795</v>
      </c>
    </row>
    <row r="3" spans="1:38" x14ac:dyDescent="0.25">
      <c r="A3" s="76">
        <f>[1]Presupuesto!A3</f>
        <v>2</v>
      </c>
      <c r="B3" s="103">
        <v>9.6199999999999992</v>
      </c>
      <c r="C3" s="102">
        <v>12</v>
      </c>
      <c r="D3" s="79"/>
      <c r="E3" s="79"/>
      <c r="F3" s="79"/>
      <c r="G3" s="103">
        <v>0</v>
      </c>
      <c r="H3" s="102">
        <v>0</v>
      </c>
      <c r="I3" s="79"/>
      <c r="J3" s="79"/>
      <c r="K3" s="79"/>
      <c r="L3" s="79"/>
      <c r="M3" s="79"/>
      <c r="N3" s="79"/>
      <c r="O3" s="79"/>
      <c r="P3" s="79"/>
      <c r="Q3" s="79"/>
      <c r="R3" s="79"/>
      <c r="S3" s="79"/>
      <c r="T3" s="79"/>
      <c r="U3" s="79"/>
      <c r="V3" s="76">
        <v>0</v>
      </c>
      <c r="W3" s="76">
        <v>0</v>
      </c>
      <c r="X3" s="79"/>
      <c r="Y3" s="79"/>
      <c r="Z3" s="79"/>
      <c r="AA3" s="79"/>
      <c r="AB3" s="79"/>
      <c r="AC3" s="79"/>
      <c r="AD3" s="79"/>
      <c r="AE3" s="79"/>
      <c r="AF3" s="103">
        <v>9.6199999999999992</v>
      </c>
      <c r="AG3" s="102">
        <v>21.62</v>
      </c>
      <c r="AH3" s="79"/>
      <c r="AI3" s="79"/>
      <c r="AJ3" s="79"/>
      <c r="AK3" s="74">
        <v>0.59940059940059942</v>
      </c>
      <c r="AL3" s="74">
        <v>0.39046415026187464</v>
      </c>
    </row>
    <row r="4" spans="1:38" x14ac:dyDescent="0.25">
      <c r="A4" s="76">
        <f>[1]Presupuesto!A4</f>
        <v>4</v>
      </c>
      <c r="B4" s="101">
        <v>35.020000000000003</v>
      </c>
      <c r="C4" s="102">
        <v>40</v>
      </c>
      <c r="D4" s="79"/>
      <c r="E4" s="79"/>
      <c r="F4" s="79"/>
      <c r="G4" s="101"/>
      <c r="H4" s="102">
        <v>0</v>
      </c>
      <c r="I4" s="79"/>
      <c r="J4" s="79"/>
      <c r="K4" s="79"/>
      <c r="L4" s="79"/>
      <c r="M4" s="79"/>
      <c r="N4" s="79"/>
      <c r="O4" s="79"/>
      <c r="P4" s="79"/>
      <c r="Q4" s="79"/>
      <c r="R4" s="79"/>
      <c r="S4" s="79"/>
      <c r="T4" s="79"/>
      <c r="U4" s="79"/>
      <c r="V4" s="76"/>
      <c r="W4" s="76">
        <v>0</v>
      </c>
      <c r="X4" s="79"/>
      <c r="Y4" s="79"/>
      <c r="Z4" s="79"/>
      <c r="AA4" s="79"/>
      <c r="AB4" s="79"/>
      <c r="AC4" s="79"/>
      <c r="AD4" s="79"/>
      <c r="AE4" s="79"/>
      <c r="AF4" s="101">
        <v>35.020000000000003</v>
      </c>
      <c r="AG4" s="102">
        <v>75.02</v>
      </c>
      <c r="AH4" s="79"/>
      <c r="AI4" s="79"/>
      <c r="AJ4" s="79"/>
      <c r="AK4" s="74">
        <v>0.54914881933003845</v>
      </c>
      <c r="AL4" s="74">
        <v>0.37228921641605883</v>
      </c>
    </row>
    <row r="5" spans="1:38" x14ac:dyDescent="0.25">
      <c r="A5" s="76">
        <f>[1]Presupuesto!A5</f>
        <v>5</v>
      </c>
      <c r="B5" s="101">
        <v>0</v>
      </c>
      <c r="C5" s="101">
        <v>0</v>
      </c>
      <c r="D5" s="79"/>
      <c r="E5" s="79"/>
      <c r="F5" s="79"/>
      <c r="G5" s="101">
        <v>0</v>
      </c>
      <c r="H5" s="101">
        <v>0</v>
      </c>
      <c r="I5" s="79"/>
      <c r="J5" s="79"/>
      <c r="K5" s="79"/>
      <c r="L5" s="79"/>
      <c r="M5" s="79"/>
      <c r="N5" s="79"/>
      <c r="O5" s="79"/>
      <c r="P5" s="79"/>
      <c r="Q5" s="79"/>
      <c r="R5" s="79"/>
      <c r="S5" s="79"/>
      <c r="T5" s="79"/>
      <c r="U5" s="79"/>
      <c r="V5" s="76">
        <v>0</v>
      </c>
      <c r="W5" s="76">
        <v>0</v>
      </c>
      <c r="X5" s="79"/>
      <c r="Y5" s="79"/>
      <c r="Z5" s="79"/>
      <c r="AA5" s="79"/>
      <c r="AB5" s="79"/>
      <c r="AC5" s="79"/>
      <c r="AD5" s="79"/>
      <c r="AE5" s="79"/>
      <c r="AF5" s="101">
        <v>0</v>
      </c>
      <c r="AG5" s="101">
        <v>0</v>
      </c>
      <c r="AH5" s="79"/>
      <c r="AI5" s="79"/>
      <c r="AJ5" s="79"/>
      <c r="AK5" s="74">
        <v>0</v>
      </c>
      <c r="AL5" s="74">
        <v>0</v>
      </c>
    </row>
    <row r="6" spans="1:38" x14ac:dyDescent="0.25">
      <c r="A6" s="76">
        <f>[1]Presupuesto!A6</f>
        <v>6</v>
      </c>
      <c r="B6" s="101">
        <v>31.24</v>
      </c>
      <c r="C6" s="102">
        <v>35</v>
      </c>
      <c r="D6" s="79"/>
      <c r="E6" s="79"/>
      <c r="F6" s="79"/>
      <c r="G6" s="101">
        <v>0</v>
      </c>
      <c r="H6" s="102">
        <v>0</v>
      </c>
      <c r="I6" s="79"/>
      <c r="J6" s="79"/>
      <c r="K6" s="79"/>
      <c r="L6" s="79"/>
      <c r="M6" s="79"/>
      <c r="N6" s="79"/>
      <c r="O6" s="79"/>
      <c r="P6" s="79"/>
      <c r="Q6" s="79"/>
      <c r="R6" s="79"/>
      <c r="S6" s="79"/>
      <c r="T6" s="79"/>
      <c r="U6" s="79"/>
      <c r="V6" s="76">
        <v>0</v>
      </c>
      <c r="W6" s="76">
        <v>0</v>
      </c>
      <c r="X6" s="79"/>
      <c r="Y6" s="79"/>
      <c r="Z6" s="79"/>
      <c r="AA6" s="79"/>
      <c r="AB6" s="79"/>
      <c r="AC6" s="79"/>
      <c r="AD6" s="79"/>
      <c r="AE6" s="79"/>
      <c r="AF6" s="101">
        <v>31.24</v>
      </c>
      <c r="AG6" s="102">
        <v>66.239999999999995</v>
      </c>
      <c r="AH6" s="79"/>
      <c r="AI6" s="79"/>
      <c r="AJ6" s="79"/>
      <c r="AK6" s="74">
        <v>0.53862726992920895</v>
      </c>
      <c r="AL6" s="74">
        <v>0.36845032817888529</v>
      </c>
    </row>
    <row r="7" spans="1:38" x14ac:dyDescent="0.25">
      <c r="A7" s="76">
        <f>[1]Presupuesto!A7</f>
        <v>7</v>
      </c>
      <c r="B7" s="101">
        <v>35.44</v>
      </c>
      <c r="C7" s="102">
        <v>35</v>
      </c>
      <c r="D7" s="79"/>
      <c r="E7" s="79"/>
      <c r="F7" s="79"/>
      <c r="G7" s="101">
        <v>0</v>
      </c>
      <c r="H7" s="102">
        <v>0</v>
      </c>
      <c r="I7" s="79"/>
      <c r="J7" s="79"/>
      <c r="K7" s="79"/>
      <c r="L7" s="79"/>
      <c r="M7" s="79"/>
      <c r="N7" s="79"/>
      <c r="O7" s="79"/>
      <c r="P7" s="79"/>
      <c r="Q7" s="79"/>
      <c r="R7" s="79"/>
      <c r="S7" s="79"/>
      <c r="T7" s="79"/>
      <c r="U7" s="79"/>
      <c r="V7" s="76">
        <v>0</v>
      </c>
      <c r="W7" s="76">
        <v>0</v>
      </c>
      <c r="X7" s="79"/>
      <c r="Y7" s="79"/>
      <c r="Z7" s="79"/>
      <c r="AA7" s="79"/>
      <c r="AB7" s="79"/>
      <c r="AC7" s="79"/>
      <c r="AD7" s="79"/>
      <c r="AE7" s="79"/>
      <c r="AF7" s="101">
        <v>35.44</v>
      </c>
      <c r="AG7" s="102">
        <v>70.44</v>
      </c>
      <c r="AH7" s="79"/>
      <c r="AI7" s="79"/>
      <c r="AJ7" s="79"/>
      <c r="AK7" s="74">
        <v>0.47483380816714155</v>
      </c>
      <c r="AL7" s="74">
        <v>0.34539570461900559</v>
      </c>
    </row>
    <row r="8" spans="1:38" x14ac:dyDescent="0.25">
      <c r="A8" s="76">
        <f>[1]Presupuesto!A8</f>
        <v>8</v>
      </c>
      <c r="B8" s="101">
        <v>12.69</v>
      </c>
      <c r="C8" s="102">
        <v>13</v>
      </c>
      <c r="D8" s="79"/>
      <c r="E8" s="79"/>
      <c r="F8" s="79"/>
      <c r="G8" s="101">
        <v>6.72</v>
      </c>
      <c r="H8" s="102">
        <v>29</v>
      </c>
      <c r="I8" s="79"/>
      <c r="J8" s="79"/>
      <c r="K8" s="79"/>
      <c r="L8" s="79"/>
      <c r="M8" s="79"/>
      <c r="N8" s="79"/>
      <c r="O8" s="79"/>
      <c r="P8" s="79"/>
      <c r="Q8" s="79"/>
      <c r="R8" s="79"/>
      <c r="S8" s="79"/>
      <c r="T8" s="79"/>
      <c r="U8" s="79"/>
      <c r="V8" s="76">
        <v>0</v>
      </c>
      <c r="W8" s="76">
        <v>0</v>
      </c>
      <c r="X8" s="79"/>
      <c r="Y8" s="79"/>
      <c r="Z8" s="79"/>
      <c r="AA8" s="79"/>
      <c r="AB8" s="79"/>
      <c r="AC8" s="79"/>
      <c r="AD8" s="79"/>
      <c r="AE8" s="79"/>
      <c r="AF8" s="101">
        <v>19.41</v>
      </c>
      <c r="AG8" s="102">
        <v>61.41</v>
      </c>
      <c r="AH8" s="79"/>
      <c r="AI8" s="79"/>
      <c r="AJ8" s="79"/>
      <c r="AK8" s="74">
        <v>0.53503184713375795</v>
      </c>
      <c r="AL8" s="74">
        <v>0.48354330708661414</v>
      </c>
    </row>
    <row r="9" spans="1:38" x14ac:dyDescent="0.25">
      <c r="A9" s="76">
        <f>[1]Presupuesto!A9</f>
        <v>38</v>
      </c>
      <c r="B9" s="101"/>
      <c r="C9" s="102">
        <v>11.02</v>
      </c>
      <c r="D9" s="79"/>
      <c r="E9" s="79"/>
      <c r="F9" s="79"/>
      <c r="G9" s="101"/>
      <c r="H9" s="102"/>
      <c r="I9" s="79"/>
      <c r="J9" s="79"/>
      <c r="K9" s="79"/>
      <c r="L9" s="79"/>
      <c r="M9" s="79"/>
      <c r="N9" s="79"/>
      <c r="O9" s="79"/>
      <c r="P9" s="79"/>
      <c r="Q9" s="79"/>
      <c r="R9" s="79"/>
      <c r="S9" s="79"/>
      <c r="T9" s="79"/>
      <c r="U9" s="79"/>
      <c r="V9" s="76"/>
      <c r="W9" s="76"/>
      <c r="X9" s="79"/>
      <c r="Y9" s="79"/>
      <c r="Z9" s="79"/>
      <c r="AA9" s="79"/>
      <c r="AB9" s="79"/>
      <c r="AC9" s="79"/>
      <c r="AD9" s="79"/>
      <c r="AE9" s="79"/>
      <c r="AF9" s="101">
        <v>0</v>
      </c>
      <c r="AG9" s="102">
        <v>11.02</v>
      </c>
      <c r="AH9" s="79"/>
      <c r="AI9" s="79"/>
      <c r="AJ9" s="79"/>
      <c r="AK9" s="74">
        <v>0.21468640436306971</v>
      </c>
      <c r="AL9" s="74">
        <v>6.2839224629418475E-2</v>
      </c>
    </row>
    <row r="10" spans="1:38" x14ac:dyDescent="0.25">
      <c r="A10" s="76">
        <f>[1]Presupuesto!A10</f>
        <v>10</v>
      </c>
      <c r="B10" s="101">
        <v>0</v>
      </c>
      <c r="C10" s="102"/>
      <c r="D10" s="79"/>
      <c r="E10" s="79"/>
      <c r="F10" s="79"/>
      <c r="G10" s="101">
        <v>0</v>
      </c>
      <c r="H10" s="102">
        <v>8.01</v>
      </c>
      <c r="I10" s="79"/>
      <c r="J10" s="79"/>
      <c r="K10" s="79"/>
      <c r="L10" s="79"/>
      <c r="M10" s="79"/>
      <c r="N10" s="79"/>
      <c r="O10" s="79"/>
      <c r="P10" s="79"/>
      <c r="Q10" s="79"/>
      <c r="R10" s="79"/>
      <c r="S10" s="79"/>
      <c r="T10" s="79"/>
      <c r="U10" s="79"/>
      <c r="V10" s="76">
        <v>0</v>
      </c>
      <c r="W10" s="76"/>
      <c r="X10" s="79"/>
      <c r="Y10" s="79"/>
      <c r="Z10" s="79"/>
      <c r="AA10" s="79"/>
      <c r="AB10" s="79"/>
      <c r="AC10" s="79"/>
      <c r="AD10" s="79"/>
      <c r="AE10" s="79"/>
      <c r="AF10" s="101">
        <v>0</v>
      </c>
      <c r="AG10" s="102">
        <v>8.01</v>
      </c>
      <c r="AH10" s="79"/>
      <c r="AI10" s="79"/>
      <c r="AJ10" s="79"/>
      <c r="AK10" s="74">
        <v>8.598110777157579E-2</v>
      </c>
      <c r="AL10" s="74">
        <v>3.9487305891052503E-2</v>
      </c>
    </row>
    <row r="11" spans="1:38" x14ac:dyDescent="0.25">
      <c r="A11" s="76">
        <f>[1]Presupuesto!A11</f>
        <v>11</v>
      </c>
      <c r="B11" s="101">
        <v>7.24</v>
      </c>
      <c r="C11" s="102">
        <v>23.08</v>
      </c>
      <c r="D11" s="79"/>
      <c r="E11" s="79"/>
      <c r="F11" s="79"/>
      <c r="G11" s="101">
        <v>1.07</v>
      </c>
      <c r="H11" s="102">
        <v>4.0599999999999996</v>
      </c>
      <c r="I11" s="79"/>
      <c r="J11" s="79"/>
      <c r="K11" s="79"/>
      <c r="L11" s="79"/>
      <c r="M11" s="79"/>
      <c r="N11" s="79"/>
      <c r="O11" s="79"/>
      <c r="P11" s="79"/>
      <c r="Q11" s="79"/>
      <c r="R11" s="79"/>
      <c r="S11" s="79"/>
      <c r="T11" s="79"/>
      <c r="U11" s="79"/>
      <c r="V11" s="76">
        <v>13</v>
      </c>
      <c r="W11" s="76">
        <v>52.54</v>
      </c>
      <c r="X11" s="79"/>
      <c r="Y11" s="79"/>
      <c r="Z11" s="79"/>
      <c r="AA11" s="79"/>
      <c r="AB11" s="79"/>
      <c r="AC11" s="79"/>
      <c r="AD11" s="79"/>
      <c r="AE11" s="79"/>
      <c r="AF11" s="101">
        <v>21.31</v>
      </c>
      <c r="AG11" s="102">
        <v>100.99</v>
      </c>
      <c r="AH11" s="79"/>
      <c r="AI11" s="79"/>
      <c r="AJ11" s="79"/>
      <c r="AK11" s="74">
        <v>0.52044415414761591</v>
      </c>
      <c r="AL11" s="74">
        <v>0.2062704248366013</v>
      </c>
    </row>
    <row r="12" spans="1:38" x14ac:dyDescent="0.25">
      <c r="A12" s="76">
        <f>[1]Presupuesto!A12</f>
        <v>12</v>
      </c>
      <c r="B12" s="101">
        <v>8.5500000000000007</v>
      </c>
      <c r="C12" s="102">
        <v>27.9</v>
      </c>
      <c r="D12" s="79"/>
      <c r="E12" s="79"/>
      <c r="F12" s="79"/>
      <c r="G12" s="101">
        <v>0</v>
      </c>
      <c r="H12" s="102"/>
      <c r="I12" s="79"/>
      <c r="J12" s="79"/>
      <c r="K12" s="79"/>
      <c r="L12" s="79"/>
      <c r="M12" s="79"/>
      <c r="N12" s="79"/>
      <c r="O12" s="79"/>
      <c r="P12" s="79"/>
      <c r="Q12" s="79"/>
      <c r="R12" s="79"/>
      <c r="S12" s="79"/>
      <c r="T12" s="79"/>
      <c r="U12" s="79"/>
      <c r="V12" s="76">
        <v>12.29</v>
      </c>
      <c r="W12" s="76">
        <v>78.3</v>
      </c>
      <c r="X12" s="79"/>
      <c r="Y12" s="79"/>
      <c r="Z12" s="79"/>
      <c r="AA12" s="79"/>
      <c r="AB12" s="79"/>
      <c r="AC12" s="79"/>
      <c r="AD12" s="79"/>
      <c r="AE12" s="79"/>
      <c r="AF12" s="101">
        <v>20.84</v>
      </c>
      <c r="AG12" s="102">
        <v>127.04</v>
      </c>
      <c r="AH12" s="79"/>
      <c r="AI12" s="79"/>
      <c r="AJ12" s="79"/>
      <c r="AK12" s="74">
        <v>0.50910834132310634</v>
      </c>
      <c r="AL12" s="74">
        <v>0.2426743075453677</v>
      </c>
    </row>
    <row r="13" spans="1:38" x14ac:dyDescent="0.25">
      <c r="A13" s="76">
        <f>[1]Presupuesto!A13</f>
        <v>13</v>
      </c>
      <c r="B13" s="101">
        <v>21.5</v>
      </c>
      <c r="C13" s="102">
        <v>25</v>
      </c>
      <c r="D13" s="79"/>
      <c r="E13" s="79"/>
      <c r="F13" s="79"/>
      <c r="G13" s="101">
        <v>0</v>
      </c>
      <c r="H13" s="102">
        <v>0</v>
      </c>
      <c r="I13" s="79"/>
      <c r="J13" s="79"/>
      <c r="K13" s="79"/>
      <c r="L13" s="79"/>
      <c r="M13" s="79"/>
      <c r="N13" s="79"/>
      <c r="O13" s="79"/>
      <c r="P13" s="79"/>
      <c r="Q13" s="79"/>
      <c r="R13" s="79"/>
      <c r="S13" s="79"/>
      <c r="T13" s="79"/>
      <c r="U13" s="79"/>
      <c r="V13" s="76">
        <v>0</v>
      </c>
      <c r="W13" s="76">
        <v>0</v>
      </c>
      <c r="X13" s="79"/>
      <c r="Y13" s="79"/>
      <c r="Z13" s="79"/>
      <c r="AA13" s="79"/>
      <c r="AB13" s="79"/>
      <c r="AC13" s="79"/>
      <c r="AD13" s="79"/>
      <c r="AE13" s="79"/>
      <c r="AF13" s="101">
        <v>21.5</v>
      </c>
      <c r="AG13" s="102">
        <v>46.5</v>
      </c>
      <c r="AH13" s="79"/>
      <c r="AI13" s="79"/>
      <c r="AJ13" s="79"/>
      <c r="AK13" s="74">
        <v>0.5580357142857143</v>
      </c>
      <c r="AL13" s="74">
        <v>0.37530266343825663</v>
      </c>
    </row>
    <row r="14" spans="1:38" x14ac:dyDescent="0.25">
      <c r="A14" s="76">
        <f>[1]Presupuesto!A14</f>
        <v>14</v>
      </c>
      <c r="B14" s="101">
        <v>26</v>
      </c>
      <c r="C14" s="102">
        <v>48.1</v>
      </c>
      <c r="D14" s="79"/>
      <c r="E14" s="79"/>
      <c r="F14" s="79"/>
      <c r="G14" s="101">
        <v>152</v>
      </c>
      <c r="H14" s="102">
        <v>0</v>
      </c>
      <c r="I14" s="79"/>
      <c r="J14" s="79"/>
      <c r="K14" s="79"/>
      <c r="L14" s="79"/>
      <c r="M14" s="79"/>
      <c r="N14" s="79"/>
      <c r="O14" s="79"/>
      <c r="P14" s="79"/>
      <c r="Q14" s="79"/>
      <c r="R14" s="79"/>
      <c r="S14" s="79"/>
      <c r="T14" s="79"/>
      <c r="U14" s="79"/>
      <c r="V14" s="76"/>
      <c r="W14" s="76">
        <v>0</v>
      </c>
      <c r="X14" s="79"/>
      <c r="Y14" s="79"/>
      <c r="Z14" s="79"/>
      <c r="AA14" s="79"/>
      <c r="AB14" s="79"/>
      <c r="AC14" s="79"/>
      <c r="AD14" s="79"/>
      <c r="AE14" s="79"/>
      <c r="AF14" s="101">
        <v>178</v>
      </c>
      <c r="AG14" s="102">
        <v>226.1</v>
      </c>
      <c r="AH14" s="79"/>
      <c r="AI14" s="79"/>
      <c r="AJ14" s="79"/>
      <c r="AK14" s="74">
        <v>4.1988564445026411E-2</v>
      </c>
      <c r="AL14" s="74">
        <v>9.2538779519502304E-2</v>
      </c>
    </row>
    <row r="15" spans="1:38" x14ac:dyDescent="0.25">
      <c r="A15" s="76">
        <f>[1]Presupuesto!A15</f>
        <v>15</v>
      </c>
      <c r="B15" s="101">
        <v>2.92</v>
      </c>
      <c r="C15" s="104">
        <v>24.28</v>
      </c>
      <c r="D15" s="79"/>
      <c r="E15" s="79"/>
      <c r="F15" s="79"/>
      <c r="G15" s="101"/>
      <c r="H15" s="104">
        <v>0</v>
      </c>
      <c r="I15" s="79"/>
      <c r="J15" s="79"/>
      <c r="K15" s="79"/>
      <c r="L15" s="79"/>
      <c r="M15" s="79"/>
      <c r="N15" s="79"/>
      <c r="O15" s="79"/>
      <c r="P15" s="79"/>
      <c r="Q15" s="79"/>
      <c r="R15" s="79"/>
      <c r="S15" s="79"/>
      <c r="T15" s="79"/>
      <c r="U15" s="79"/>
      <c r="V15" s="76"/>
      <c r="W15" s="76">
        <v>0</v>
      </c>
      <c r="X15" s="79"/>
      <c r="Y15" s="79"/>
      <c r="Z15" s="79"/>
      <c r="AA15" s="79"/>
      <c r="AB15" s="79"/>
      <c r="AC15" s="79"/>
      <c r="AD15" s="79"/>
      <c r="AE15" s="79"/>
      <c r="AF15" s="101">
        <v>2.92</v>
      </c>
      <c r="AG15" s="104">
        <v>27.200000000000003</v>
      </c>
      <c r="AH15" s="79"/>
      <c r="AI15" s="79"/>
      <c r="AJ15" s="79"/>
      <c r="AK15" s="74">
        <v>0.54027592345349362</v>
      </c>
      <c r="AL15" s="74">
        <v>0.33025740650801366</v>
      </c>
    </row>
    <row r="16" spans="1:38" x14ac:dyDescent="0.25">
      <c r="A16" s="76">
        <f>[1]Presupuesto!A16</f>
        <v>16</v>
      </c>
      <c r="B16" s="101">
        <v>8.3000000000000007</v>
      </c>
      <c r="C16" s="102">
        <v>8.5</v>
      </c>
      <c r="D16" s="79"/>
      <c r="E16" s="79"/>
      <c r="F16" s="79"/>
      <c r="G16" s="101">
        <v>0</v>
      </c>
      <c r="H16" s="102">
        <v>2</v>
      </c>
      <c r="I16" s="79"/>
      <c r="J16" s="79"/>
      <c r="K16" s="79"/>
      <c r="L16" s="79"/>
      <c r="M16" s="79"/>
      <c r="N16" s="79"/>
      <c r="O16" s="79"/>
      <c r="P16" s="79"/>
      <c r="Q16" s="79"/>
      <c r="R16" s="79"/>
      <c r="S16" s="79"/>
      <c r="T16" s="79"/>
      <c r="U16" s="79"/>
      <c r="V16" s="76">
        <v>0</v>
      </c>
      <c r="W16" s="76">
        <v>25</v>
      </c>
      <c r="X16" s="79"/>
      <c r="Y16" s="79"/>
      <c r="Z16" s="79"/>
      <c r="AA16" s="79"/>
      <c r="AB16" s="79"/>
      <c r="AC16" s="79"/>
      <c r="AD16" s="79"/>
      <c r="AE16" s="79"/>
      <c r="AF16" s="101">
        <v>8.3000000000000007</v>
      </c>
      <c r="AG16" s="102">
        <v>43.8</v>
      </c>
      <c r="AH16" s="79"/>
      <c r="AI16" s="79"/>
      <c r="AJ16" s="79"/>
      <c r="AK16" s="74">
        <v>0.5360108712064019</v>
      </c>
      <c r="AL16" s="74">
        <v>0.27621870467301507</v>
      </c>
    </row>
    <row r="17" spans="1:38" x14ac:dyDescent="0.25">
      <c r="A17" s="76">
        <f>[1]Presupuesto!A17</f>
        <v>17</v>
      </c>
      <c r="B17" s="101">
        <v>0</v>
      </c>
      <c r="C17" s="102">
        <v>34.42</v>
      </c>
      <c r="D17" s="79"/>
      <c r="E17" s="79"/>
      <c r="F17" s="79"/>
      <c r="G17" s="101">
        <v>0</v>
      </c>
      <c r="H17" s="102"/>
      <c r="I17" s="79"/>
      <c r="J17" s="79"/>
      <c r="K17" s="79"/>
      <c r="L17" s="79"/>
      <c r="M17" s="79"/>
      <c r="N17" s="79"/>
      <c r="O17" s="79"/>
      <c r="P17" s="79"/>
      <c r="Q17" s="79"/>
      <c r="R17" s="79"/>
      <c r="S17" s="79"/>
      <c r="T17" s="79"/>
      <c r="U17" s="79"/>
      <c r="V17" s="76">
        <v>0</v>
      </c>
      <c r="W17" s="76"/>
      <c r="X17" s="79"/>
      <c r="Y17" s="79"/>
      <c r="Z17" s="79"/>
      <c r="AA17" s="79"/>
      <c r="AB17" s="79"/>
      <c r="AC17" s="79"/>
      <c r="AD17" s="79"/>
      <c r="AE17" s="79"/>
      <c r="AF17" s="101">
        <v>0</v>
      </c>
      <c r="AG17" s="102">
        <v>53.58</v>
      </c>
      <c r="AH17" s="79"/>
      <c r="AI17" s="79"/>
      <c r="AJ17" s="79"/>
      <c r="AK17" s="74">
        <v>0.49997251997095138</v>
      </c>
      <c r="AL17" s="74">
        <v>0.29540276751750372</v>
      </c>
    </row>
    <row r="18" spans="1:38" x14ac:dyDescent="0.25">
      <c r="A18" s="76">
        <f>[1]Presupuesto!A18</f>
        <v>18</v>
      </c>
      <c r="B18" s="101">
        <v>7.54</v>
      </c>
      <c r="C18" s="105">
        <v>19.27</v>
      </c>
      <c r="D18" s="79"/>
      <c r="E18" s="79"/>
      <c r="F18" s="79"/>
      <c r="G18" s="101"/>
      <c r="H18" s="105">
        <v>43.15</v>
      </c>
      <c r="I18" s="79"/>
      <c r="J18" s="79"/>
      <c r="K18" s="79"/>
      <c r="L18" s="79"/>
      <c r="M18" s="79"/>
      <c r="N18" s="79"/>
      <c r="O18" s="79"/>
      <c r="P18" s="79"/>
      <c r="Q18" s="79"/>
      <c r="R18" s="79"/>
      <c r="S18" s="79"/>
      <c r="T18" s="79"/>
      <c r="U18" s="79"/>
      <c r="V18" s="76"/>
      <c r="W18" s="76">
        <v>0</v>
      </c>
      <c r="X18" s="79"/>
      <c r="Y18" s="79"/>
      <c r="Z18" s="79"/>
      <c r="AA18" s="79"/>
      <c r="AB18" s="79"/>
      <c r="AC18" s="79"/>
      <c r="AD18" s="79"/>
      <c r="AE18" s="79"/>
      <c r="AF18" s="101">
        <v>7.54</v>
      </c>
      <c r="AG18" s="105">
        <v>69.960000000000008</v>
      </c>
      <c r="AH18" s="79"/>
      <c r="AI18" s="79"/>
      <c r="AJ18" s="79"/>
      <c r="AK18" s="74">
        <v>0.3018083357508945</v>
      </c>
      <c r="AL18" s="74">
        <v>0.24039584908253733</v>
      </c>
    </row>
    <row r="19" spans="1:38" x14ac:dyDescent="0.25">
      <c r="A19" s="76">
        <f>[1]Presupuesto!A19</f>
        <v>19</v>
      </c>
      <c r="B19" s="101">
        <v>395</v>
      </c>
      <c r="C19" s="105">
        <v>665</v>
      </c>
      <c r="D19" s="79"/>
      <c r="E19" s="79"/>
      <c r="F19" s="79"/>
      <c r="G19" s="101">
        <v>23.43</v>
      </c>
      <c r="H19" s="105">
        <v>38.72</v>
      </c>
      <c r="I19" s="79"/>
      <c r="J19" s="79"/>
      <c r="K19" s="79"/>
      <c r="L19" s="79"/>
      <c r="M19" s="79"/>
      <c r="N19" s="79"/>
      <c r="O19" s="79"/>
      <c r="P19" s="79"/>
      <c r="Q19" s="79"/>
      <c r="R19" s="79"/>
      <c r="S19" s="79"/>
      <c r="T19" s="79"/>
      <c r="U19" s="79"/>
      <c r="V19" s="76">
        <v>0</v>
      </c>
      <c r="W19" s="76"/>
      <c r="X19" s="79"/>
      <c r="Y19" s="79"/>
      <c r="Z19" s="79"/>
      <c r="AA19" s="79"/>
      <c r="AB19" s="79"/>
      <c r="AC19" s="79"/>
      <c r="AD19" s="79"/>
      <c r="AE19" s="79"/>
      <c r="AF19" s="101">
        <v>418.43</v>
      </c>
      <c r="AG19" s="105">
        <v>1122.1500000000001</v>
      </c>
      <c r="AH19" s="79"/>
      <c r="AI19" s="79"/>
      <c r="AJ19" s="79"/>
      <c r="AK19" s="74">
        <v>0.42859840064315341</v>
      </c>
      <c r="AL19" s="74">
        <v>0.28002225904336026</v>
      </c>
    </row>
    <row r="20" spans="1:38" x14ac:dyDescent="0.25">
      <c r="A20" s="76">
        <f>[1]Presupuesto!A20</f>
        <v>20</v>
      </c>
      <c r="B20" s="101">
        <v>9.69</v>
      </c>
      <c r="C20" s="105">
        <v>49.07</v>
      </c>
      <c r="D20" s="79"/>
      <c r="E20" s="79"/>
      <c r="F20" s="79"/>
      <c r="G20" s="101">
        <v>3.24</v>
      </c>
      <c r="H20" s="105">
        <v>36.770000000000003</v>
      </c>
      <c r="I20" s="79"/>
      <c r="J20" s="79"/>
      <c r="K20" s="79"/>
      <c r="L20" s="79"/>
      <c r="M20" s="79"/>
      <c r="N20" s="79"/>
      <c r="O20" s="79"/>
      <c r="P20" s="79"/>
      <c r="Q20" s="79"/>
      <c r="R20" s="79"/>
      <c r="S20" s="79"/>
      <c r="T20" s="79"/>
      <c r="U20" s="79"/>
      <c r="V20" s="76">
        <v>0</v>
      </c>
      <c r="W20" s="76"/>
      <c r="X20" s="79"/>
      <c r="Y20" s="79"/>
      <c r="Z20" s="79"/>
      <c r="AA20" s="79"/>
      <c r="AB20" s="79"/>
      <c r="AC20" s="79"/>
      <c r="AD20" s="79"/>
      <c r="AE20" s="79"/>
      <c r="AF20" s="101">
        <v>12.93</v>
      </c>
      <c r="AG20" s="105">
        <v>98.77000000000001</v>
      </c>
      <c r="AH20" s="79"/>
      <c r="AI20" s="79"/>
      <c r="AJ20" s="79"/>
      <c r="AK20" s="74">
        <v>0.2823498454049076</v>
      </c>
      <c r="AL20" s="74">
        <v>0.18861475002864458</v>
      </c>
    </row>
    <row r="21" spans="1:38" ht="15.75" customHeight="1" x14ac:dyDescent="0.25">
      <c r="A21" s="76">
        <f>[1]Presupuesto!A21</f>
        <v>23</v>
      </c>
      <c r="B21" s="101">
        <v>0</v>
      </c>
      <c r="C21" s="102"/>
      <c r="D21" s="79"/>
      <c r="E21" s="79"/>
      <c r="F21" s="79"/>
      <c r="G21" s="101">
        <v>8</v>
      </c>
      <c r="H21" s="102">
        <v>8</v>
      </c>
      <c r="I21" s="79"/>
      <c r="J21" s="79"/>
      <c r="K21" s="79"/>
      <c r="L21" s="79"/>
      <c r="M21" s="79"/>
      <c r="N21" s="79"/>
      <c r="O21" s="79"/>
      <c r="P21" s="79"/>
      <c r="Q21" s="79"/>
      <c r="R21" s="79"/>
      <c r="S21" s="79"/>
      <c r="T21" s="79"/>
      <c r="U21" s="79"/>
      <c r="V21" s="76"/>
      <c r="W21" s="76"/>
      <c r="X21" s="79"/>
      <c r="Y21" s="79"/>
      <c r="Z21" s="79"/>
      <c r="AA21" s="79"/>
      <c r="AB21" s="79"/>
      <c r="AC21" s="79"/>
      <c r="AD21" s="79"/>
      <c r="AE21" s="79"/>
      <c r="AF21" s="101">
        <v>8</v>
      </c>
      <c r="AG21" s="102">
        <v>16</v>
      </c>
      <c r="AH21" s="79"/>
      <c r="AI21" s="79"/>
      <c r="AJ21" s="79"/>
      <c r="AK21" s="74">
        <v>0.17391304347826086</v>
      </c>
      <c r="AL21" s="74">
        <v>0.16161616161616163</v>
      </c>
    </row>
    <row r="22" spans="1:38" ht="15.75" customHeight="1" x14ac:dyDescent="0.25">
      <c r="A22" s="76">
        <f>[1]Presupuesto!A22</f>
        <v>24</v>
      </c>
      <c r="B22" s="101">
        <v>783.58</v>
      </c>
      <c r="C22" s="102">
        <v>1486.08</v>
      </c>
      <c r="D22" s="79"/>
      <c r="E22" s="79"/>
      <c r="F22" s="79"/>
      <c r="G22" s="101"/>
      <c r="H22" s="102">
        <v>2</v>
      </c>
      <c r="I22" s="79"/>
      <c r="J22" s="79"/>
      <c r="K22" s="79"/>
      <c r="L22" s="79"/>
      <c r="M22" s="79"/>
      <c r="N22" s="79"/>
      <c r="O22" s="79"/>
      <c r="P22" s="79"/>
      <c r="Q22" s="79"/>
      <c r="R22" s="79"/>
      <c r="S22" s="79"/>
      <c r="T22" s="79"/>
      <c r="U22" s="79"/>
      <c r="V22" s="76">
        <v>759.79</v>
      </c>
      <c r="W22" s="76">
        <v>602.77</v>
      </c>
      <c r="X22" s="79"/>
      <c r="Y22" s="79"/>
      <c r="Z22" s="79"/>
      <c r="AA22" s="79"/>
      <c r="AB22" s="79"/>
      <c r="AC22" s="79"/>
      <c r="AD22" s="79"/>
      <c r="AE22" s="79"/>
      <c r="AF22" s="101">
        <v>1543.38</v>
      </c>
      <c r="AG22" s="102">
        <v>3634.23</v>
      </c>
      <c r="AH22" s="79"/>
      <c r="AI22" s="79"/>
      <c r="AJ22" s="79"/>
      <c r="AK22" s="74">
        <v>0.39526218349345338</v>
      </c>
      <c r="AL22" s="74">
        <v>0.2868916547728062</v>
      </c>
    </row>
    <row r="23" spans="1:38" ht="15.75" customHeight="1" x14ac:dyDescent="0.25">
      <c r="A23" s="76">
        <f>[1]Presupuesto!A23</f>
        <v>25</v>
      </c>
      <c r="B23" s="103"/>
      <c r="C23" s="105">
        <v>66</v>
      </c>
      <c r="D23" s="79"/>
      <c r="E23" s="79"/>
      <c r="F23" s="79"/>
      <c r="G23" s="103">
        <v>0</v>
      </c>
      <c r="H23" s="105">
        <v>0</v>
      </c>
      <c r="I23" s="79"/>
      <c r="J23" s="79"/>
      <c r="K23" s="79"/>
      <c r="L23" s="79"/>
      <c r="M23" s="79"/>
      <c r="N23" s="79"/>
      <c r="O23" s="79"/>
      <c r="P23" s="79"/>
      <c r="Q23" s="79"/>
      <c r="R23" s="79"/>
      <c r="S23" s="79"/>
      <c r="T23" s="79"/>
      <c r="U23" s="79"/>
      <c r="V23" s="76">
        <v>0</v>
      </c>
      <c r="W23" s="76">
        <v>0</v>
      </c>
      <c r="X23" s="79"/>
      <c r="Y23" s="79"/>
      <c r="Z23" s="79"/>
      <c r="AA23" s="79"/>
      <c r="AB23" s="79"/>
      <c r="AC23" s="79"/>
      <c r="AD23" s="79"/>
      <c r="AE23" s="79"/>
      <c r="AF23" s="103">
        <v>0</v>
      </c>
      <c r="AG23" s="105">
        <v>66</v>
      </c>
      <c r="AH23" s="79"/>
      <c r="AI23" s="79"/>
      <c r="AJ23" s="79"/>
      <c r="AK23" s="74">
        <v>0.50003788165770136</v>
      </c>
      <c r="AL23" s="74">
        <v>0.2536315425409269</v>
      </c>
    </row>
    <row r="24" spans="1:38" ht="15.75" customHeight="1" x14ac:dyDescent="0.25">
      <c r="A24" s="76">
        <f>[1]Presupuesto!A24</f>
        <v>27</v>
      </c>
      <c r="B24" s="103">
        <v>244.41</v>
      </c>
      <c r="C24" s="102">
        <v>293.3</v>
      </c>
      <c r="D24" s="79"/>
      <c r="E24" s="79"/>
      <c r="F24" s="79"/>
      <c r="G24" s="103">
        <v>0</v>
      </c>
      <c r="H24" s="102"/>
      <c r="I24" s="79"/>
      <c r="J24" s="79"/>
      <c r="K24" s="79"/>
      <c r="L24" s="79"/>
      <c r="M24" s="79"/>
      <c r="N24" s="79"/>
      <c r="O24" s="79"/>
      <c r="P24" s="79"/>
      <c r="Q24" s="79"/>
      <c r="R24" s="79"/>
      <c r="S24" s="79"/>
      <c r="T24" s="79"/>
      <c r="U24" s="79"/>
      <c r="V24" s="76">
        <v>0</v>
      </c>
      <c r="W24" s="76"/>
      <c r="X24" s="79"/>
      <c r="Y24" s="79"/>
      <c r="Z24" s="79"/>
      <c r="AA24" s="79"/>
      <c r="AB24" s="79"/>
      <c r="AC24" s="79"/>
      <c r="AD24" s="79"/>
      <c r="AE24" s="79"/>
      <c r="AF24" s="103">
        <v>244.41</v>
      </c>
      <c r="AG24" s="102">
        <v>537.71</v>
      </c>
      <c r="AH24" s="79"/>
      <c r="AI24" s="79"/>
      <c r="AJ24" s="79"/>
      <c r="AK24" s="74">
        <v>0.50000852384118377</v>
      </c>
      <c r="AL24" s="74">
        <v>0.34375379579729326</v>
      </c>
    </row>
    <row r="25" spans="1:38" ht="15.75" customHeight="1" x14ac:dyDescent="0.25">
      <c r="A25" s="76">
        <f>[1]Presupuesto!A25</f>
        <v>28</v>
      </c>
      <c r="B25" s="103">
        <v>222.7</v>
      </c>
      <c r="C25" s="102">
        <v>243.5</v>
      </c>
      <c r="D25" s="79"/>
      <c r="E25" s="79"/>
      <c r="F25" s="79"/>
      <c r="G25" s="103"/>
      <c r="H25" s="102"/>
      <c r="I25" s="79"/>
      <c r="J25" s="79"/>
      <c r="K25" s="79"/>
      <c r="L25" s="79"/>
      <c r="M25" s="79"/>
      <c r="N25" s="79"/>
      <c r="O25" s="79"/>
      <c r="P25" s="79"/>
      <c r="Q25" s="79"/>
      <c r="R25" s="79"/>
      <c r="S25" s="79"/>
      <c r="T25" s="79"/>
      <c r="U25" s="79"/>
      <c r="V25" s="76"/>
      <c r="W25" s="76"/>
      <c r="X25" s="79"/>
      <c r="Y25" s="79"/>
      <c r="Z25" s="79"/>
      <c r="AA25" s="79"/>
      <c r="AB25" s="79"/>
      <c r="AC25" s="79"/>
      <c r="AD25" s="79"/>
      <c r="AE25" s="79"/>
      <c r="AF25" s="103">
        <v>222.7</v>
      </c>
      <c r="AG25" s="102">
        <v>466.2</v>
      </c>
      <c r="AH25" s="79"/>
      <c r="AI25" s="79"/>
      <c r="AJ25" s="79"/>
      <c r="AK25" s="74">
        <v>0.5</v>
      </c>
      <c r="AL25" s="74">
        <v>0.35355680266949796</v>
      </c>
    </row>
    <row r="26" spans="1:38" ht="15.75" customHeight="1" x14ac:dyDescent="0.25">
      <c r="A26" s="76">
        <f>[1]Presupuesto!A26</f>
        <v>29</v>
      </c>
      <c r="B26" s="101">
        <v>0</v>
      </c>
      <c r="C26" s="105"/>
      <c r="D26" s="79"/>
      <c r="E26" s="79"/>
      <c r="F26" s="79"/>
      <c r="G26" s="101">
        <v>0</v>
      </c>
      <c r="H26" s="105"/>
      <c r="I26" s="79"/>
      <c r="J26" s="79"/>
      <c r="K26" s="79"/>
      <c r="L26" s="79"/>
      <c r="M26" s="79"/>
      <c r="N26" s="79"/>
      <c r="O26" s="79"/>
      <c r="P26" s="79"/>
      <c r="Q26" s="79"/>
      <c r="R26" s="79"/>
      <c r="S26" s="79"/>
      <c r="T26" s="79"/>
      <c r="U26" s="79"/>
      <c r="V26" s="76">
        <v>0</v>
      </c>
      <c r="W26" s="76"/>
      <c r="X26" s="79"/>
      <c r="Y26" s="79"/>
      <c r="Z26" s="79"/>
      <c r="AA26" s="79"/>
      <c r="AB26" s="79"/>
      <c r="AC26" s="79"/>
      <c r="AD26" s="79"/>
      <c r="AE26" s="79"/>
      <c r="AF26" s="101">
        <v>0</v>
      </c>
      <c r="AG26" s="105">
        <v>0</v>
      </c>
      <c r="AH26" s="79"/>
      <c r="AI26" s="79"/>
      <c r="AJ26" s="79"/>
      <c r="AK26" s="74">
        <v>0</v>
      </c>
      <c r="AL26" s="74">
        <v>0</v>
      </c>
    </row>
    <row r="27" spans="1:38" ht="15.75" customHeight="1" x14ac:dyDescent="0.25">
      <c r="A27" s="76">
        <f>[1]Presupuesto!A27</f>
        <v>30</v>
      </c>
      <c r="B27" s="101"/>
      <c r="C27" s="105"/>
      <c r="D27" s="79"/>
      <c r="E27" s="79"/>
      <c r="F27" s="79"/>
      <c r="G27" s="101"/>
      <c r="H27" s="105"/>
      <c r="I27" s="79"/>
      <c r="J27" s="79"/>
      <c r="K27" s="79"/>
      <c r="L27" s="79"/>
      <c r="M27" s="79"/>
      <c r="N27" s="79"/>
      <c r="O27" s="79"/>
      <c r="P27" s="79"/>
      <c r="Q27" s="79"/>
      <c r="R27" s="79"/>
      <c r="S27" s="79"/>
      <c r="T27" s="79"/>
      <c r="U27" s="79"/>
      <c r="V27" s="76"/>
      <c r="W27" s="76"/>
      <c r="X27" s="79"/>
      <c r="Y27" s="79"/>
      <c r="Z27" s="79"/>
      <c r="AA27" s="79"/>
      <c r="AB27" s="79"/>
      <c r="AC27" s="79"/>
      <c r="AD27" s="79"/>
      <c r="AE27" s="79"/>
      <c r="AF27" s="101">
        <v>0</v>
      </c>
      <c r="AG27" s="105">
        <v>0</v>
      </c>
      <c r="AH27" s="79"/>
      <c r="AI27" s="79"/>
      <c r="AJ27" s="79"/>
      <c r="AK27" s="74">
        <v>0</v>
      </c>
      <c r="AL27" s="74">
        <v>0</v>
      </c>
    </row>
    <row r="28" spans="1:38" ht="15.75" customHeight="1" x14ac:dyDescent="0.25">
      <c r="A28" s="76">
        <f>[1]Presupuesto!A28</f>
        <v>31</v>
      </c>
      <c r="B28" s="101">
        <v>182.36</v>
      </c>
      <c r="C28" s="105">
        <v>182.36</v>
      </c>
      <c r="D28" s="79"/>
      <c r="E28" s="79"/>
      <c r="F28" s="79"/>
      <c r="G28" s="101">
        <v>0</v>
      </c>
      <c r="H28" s="105">
        <v>0</v>
      </c>
      <c r="I28" s="79"/>
      <c r="J28" s="79"/>
      <c r="K28" s="79"/>
      <c r="L28" s="79"/>
      <c r="M28" s="79"/>
      <c r="N28" s="79"/>
      <c r="O28" s="79"/>
      <c r="P28" s="79"/>
      <c r="Q28" s="79"/>
      <c r="R28" s="79"/>
      <c r="S28" s="79"/>
      <c r="T28" s="79"/>
      <c r="U28" s="79"/>
      <c r="V28" s="76">
        <v>26.79</v>
      </c>
      <c r="W28" s="76">
        <v>86.11</v>
      </c>
      <c r="X28" s="79"/>
      <c r="Y28" s="79"/>
      <c r="Z28" s="79"/>
      <c r="AA28" s="79"/>
      <c r="AB28" s="79"/>
      <c r="AC28" s="79"/>
      <c r="AD28" s="79"/>
      <c r="AE28" s="79"/>
      <c r="AF28" s="101">
        <v>209.15</v>
      </c>
      <c r="AG28" s="105">
        <v>477.62</v>
      </c>
      <c r="AH28" s="79"/>
      <c r="AI28" s="79"/>
      <c r="AJ28" s="79"/>
      <c r="AK28" s="74">
        <v>0.45314451608547412</v>
      </c>
      <c r="AL28" s="74">
        <v>0.29314969280720815</v>
      </c>
    </row>
    <row r="29" spans="1:38" ht="15.75" customHeight="1" x14ac:dyDescent="0.25">
      <c r="A29" s="76">
        <f>[1]Presupuesto!A29</f>
        <v>32</v>
      </c>
      <c r="B29" s="101">
        <v>8</v>
      </c>
      <c r="C29" s="102">
        <v>27.7</v>
      </c>
      <c r="D29" s="79"/>
      <c r="E29" s="79"/>
      <c r="F29" s="79"/>
      <c r="G29" s="101">
        <v>0</v>
      </c>
      <c r="H29" s="102">
        <v>0</v>
      </c>
      <c r="I29" s="79"/>
      <c r="J29" s="79"/>
      <c r="K29" s="79"/>
      <c r="L29" s="79"/>
      <c r="M29" s="79"/>
      <c r="N29" s="79"/>
      <c r="O29" s="79"/>
      <c r="P29" s="79"/>
      <c r="Q29" s="79"/>
      <c r="R29" s="79"/>
      <c r="S29" s="79"/>
      <c r="T29" s="79"/>
      <c r="U29" s="79"/>
      <c r="V29" s="76">
        <v>0</v>
      </c>
      <c r="W29" s="76">
        <v>0</v>
      </c>
      <c r="X29" s="79"/>
      <c r="Y29" s="79"/>
      <c r="Z29" s="79"/>
      <c r="AA29" s="79"/>
      <c r="AB29" s="79"/>
      <c r="AC29" s="79"/>
      <c r="AD29" s="79"/>
      <c r="AE29" s="79"/>
      <c r="AF29" s="101">
        <v>8</v>
      </c>
      <c r="AG29" s="102">
        <v>35.700000000000003</v>
      </c>
      <c r="AH29" s="79"/>
      <c r="AI29" s="79"/>
      <c r="AJ29" s="79"/>
      <c r="AK29" s="74">
        <v>6.8550782023361706E-2</v>
      </c>
      <c r="AL29" s="74">
        <v>4.2736065887760966E-2</v>
      </c>
    </row>
    <row r="30" spans="1:38" ht="15.75" customHeight="1" x14ac:dyDescent="0.25">
      <c r="A30" s="76">
        <f>[1]Presupuesto!A30</f>
        <v>34</v>
      </c>
      <c r="B30" s="101"/>
      <c r="C30" s="102"/>
      <c r="D30" s="79"/>
      <c r="E30" s="79"/>
      <c r="F30" s="79"/>
      <c r="G30" s="101"/>
      <c r="H30" s="102"/>
      <c r="I30" s="79"/>
      <c r="J30" s="79"/>
      <c r="K30" s="79"/>
      <c r="L30" s="79"/>
      <c r="M30" s="79"/>
      <c r="N30" s="79"/>
      <c r="O30" s="79"/>
      <c r="P30" s="79"/>
      <c r="Q30" s="79"/>
      <c r="R30" s="79"/>
      <c r="S30" s="79"/>
      <c r="T30" s="79"/>
      <c r="U30" s="79"/>
      <c r="V30" s="76"/>
      <c r="W30" s="76"/>
      <c r="X30" s="79"/>
      <c r="Y30" s="79"/>
      <c r="Z30" s="79"/>
      <c r="AA30" s="79"/>
      <c r="AB30" s="79"/>
      <c r="AC30" s="79"/>
      <c r="AD30" s="79"/>
      <c r="AE30" s="79"/>
      <c r="AF30" s="101">
        <v>0</v>
      </c>
      <c r="AG30" s="102">
        <v>0</v>
      </c>
      <c r="AH30" s="79"/>
      <c r="AI30" s="79"/>
      <c r="AJ30" s="79"/>
      <c r="AK30" s="74">
        <v>0</v>
      </c>
      <c r="AL30" s="74">
        <v>0</v>
      </c>
    </row>
    <row r="31" spans="1:38" ht="15.75" customHeight="1" x14ac:dyDescent="0.25">
      <c r="A31" s="76">
        <f>[1]Presupuesto!A31</f>
        <v>35</v>
      </c>
      <c r="B31" s="103">
        <v>6.48</v>
      </c>
      <c r="C31" s="102">
        <v>24.65</v>
      </c>
      <c r="D31" s="79"/>
      <c r="E31" s="79"/>
      <c r="F31" s="79"/>
      <c r="G31" s="103">
        <v>0</v>
      </c>
      <c r="H31" s="102">
        <v>0</v>
      </c>
      <c r="I31" s="79"/>
      <c r="J31" s="79"/>
      <c r="K31" s="79"/>
      <c r="L31" s="79"/>
      <c r="M31" s="79"/>
      <c r="N31" s="79"/>
      <c r="O31" s="79"/>
      <c r="P31" s="79"/>
      <c r="Q31" s="79"/>
      <c r="R31" s="79"/>
      <c r="S31" s="79"/>
      <c r="T31" s="79"/>
      <c r="U31" s="79"/>
      <c r="V31" s="76"/>
      <c r="W31" s="76">
        <v>0</v>
      </c>
      <c r="X31" s="79"/>
      <c r="Y31" s="79"/>
      <c r="Z31" s="79"/>
      <c r="AA31" s="79"/>
      <c r="AB31" s="79"/>
      <c r="AC31" s="79"/>
      <c r="AD31" s="79"/>
      <c r="AE31" s="79"/>
      <c r="AF31" s="103">
        <v>6.48</v>
      </c>
      <c r="AG31" s="102">
        <v>31.13</v>
      </c>
      <c r="AH31" s="79"/>
      <c r="AI31" s="79"/>
      <c r="AJ31" s="79"/>
      <c r="AK31" s="74">
        <v>0.47642056436026281</v>
      </c>
      <c r="AL31" s="74">
        <v>0.22127753375977258</v>
      </c>
    </row>
    <row r="32" spans="1:38" ht="15.75" customHeight="1" x14ac:dyDescent="0.25">
      <c r="A32" s="76">
        <f>[1]Presupuesto!A32</f>
        <v>36</v>
      </c>
      <c r="B32" s="101">
        <v>263</v>
      </c>
      <c r="C32" s="102">
        <v>269</v>
      </c>
      <c r="D32" s="79"/>
      <c r="E32" s="79"/>
      <c r="F32" s="79"/>
      <c r="G32" s="101">
        <v>417.4</v>
      </c>
      <c r="H32" s="102">
        <v>135</v>
      </c>
      <c r="I32" s="79"/>
      <c r="J32" s="79"/>
      <c r="K32" s="79"/>
      <c r="L32" s="79"/>
      <c r="M32" s="79"/>
      <c r="N32" s="79"/>
      <c r="O32" s="79"/>
      <c r="P32" s="79"/>
      <c r="Q32" s="79"/>
      <c r="R32" s="79"/>
      <c r="S32" s="79"/>
      <c r="T32" s="79"/>
      <c r="U32" s="79"/>
      <c r="V32" s="76">
        <v>50.8</v>
      </c>
      <c r="W32" s="76">
        <v>101.64</v>
      </c>
      <c r="X32" s="79"/>
      <c r="Y32" s="79"/>
      <c r="Z32" s="79"/>
      <c r="AA32" s="79"/>
      <c r="AB32" s="79"/>
      <c r="AC32" s="79"/>
      <c r="AD32" s="79"/>
      <c r="AE32" s="79"/>
      <c r="AF32" s="101">
        <v>731.2</v>
      </c>
      <c r="AG32" s="102">
        <v>1236.8399999999999</v>
      </c>
      <c r="AH32" s="79"/>
      <c r="AI32" s="79"/>
      <c r="AJ32" s="79"/>
      <c r="AK32" s="74">
        <v>0.51592233207832094</v>
      </c>
      <c r="AL32" s="74">
        <v>0.44649812821966067</v>
      </c>
    </row>
    <row r="33" spans="1:38" ht="15.75" customHeight="1" x14ac:dyDescent="0.25">
      <c r="A33" s="76">
        <f>[1]Presupuesto!A33</f>
        <v>39</v>
      </c>
      <c r="B33" s="103">
        <v>61.22</v>
      </c>
      <c r="C33" s="105">
        <v>110.98</v>
      </c>
      <c r="D33" s="79"/>
      <c r="E33" s="79"/>
      <c r="F33" s="79"/>
      <c r="G33" s="103">
        <v>0</v>
      </c>
      <c r="H33" s="105">
        <v>0</v>
      </c>
      <c r="I33" s="79"/>
      <c r="J33" s="79"/>
      <c r="K33" s="79"/>
      <c r="L33" s="79"/>
      <c r="M33" s="79"/>
      <c r="N33" s="79"/>
      <c r="O33" s="79"/>
      <c r="P33" s="79"/>
      <c r="Q33" s="79"/>
      <c r="R33" s="79"/>
      <c r="S33" s="79"/>
      <c r="T33" s="79"/>
      <c r="U33" s="79"/>
      <c r="V33" s="76">
        <v>0</v>
      </c>
      <c r="W33" s="76">
        <v>0</v>
      </c>
      <c r="X33" s="79"/>
      <c r="Y33" s="79"/>
      <c r="Z33" s="79"/>
      <c r="AA33" s="79"/>
      <c r="AB33" s="79"/>
      <c r="AC33" s="79"/>
      <c r="AD33" s="79"/>
      <c r="AE33" s="79"/>
      <c r="AF33" s="103">
        <v>61.22</v>
      </c>
      <c r="AG33" s="105">
        <v>172.2</v>
      </c>
      <c r="AH33" s="79"/>
      <c r="AI33" s="79"/>
      <c r="AJ33" s="79"/>
      <c r="AK33" s="74">
        <v>6.7783359545586421E-3</v>
      </c>
      <c r="AL33" s="74">
        <v>7.0224661824617781E-3</v>
      </c>
    </row>
    <row r="34" spans="1:38" ht="15.75" customHeight="1" x14ac:dyDescent="0.25">
      <c r="A34" s="76">
        <f>[1]Presupuesto!A34</f>
        <v>40</v>
      </c>
      <c r="B34" s="101">
        <v>146.1</v>
      </c>
      <c r="C34" s="105">
        <v>203.65</v>
      </c>
      <c r="D34" s="79"/>
      <c r="E34" s="79"/>
      <c r="F34" s="79"/>
      <c r="G34" s="101">
        <v>0</v>
      </c>
      <c r="H34" s="105">
        <v>25.228000000000002</v>
      </c>
      <c r="I34" s="79"/>
      <c r="J34" s="79"/>
      <c r="K34" s="79"/>
      <c r="L34" s="79"/>
      <c r="M34" s="79"/>
      <c r="N34" s="79"/>
      <c r="O34" s="79"/>
      <c r="P34" s="79"/>
      <c r="Q34" s="79"/>
      <c r="R34" s="79"/>
      <c r="S34" s="79"/>
      <c r="T34" s="79"/>
      <c r="U34" s="79"/>
      <c r="V34" s="76">
        <v>0</v>
      </c>
      <c r="W34" s="76">
        <v>0</v>
      </c>
      <c r="X34" s="79"/>
      <c r="Y34" s="79"/>
      <c r="Z34" s="79"/>
      <c r="AA34" s="79"/>
      <c r="AB34" s="79"/>
      <c r="AC34" s="79"/>
      <c r="AD34" s="79"/>
      <c r="AE34" s="79"/>
      <c r="AF34" s="101">
        <v>146.1</v>
      </c>
      <c r="AG34" s="105">
        <v>374.97800000000001</v>
      </c>
      <c r="AH34" s="79"/>
      <c r="AI34" s="79"/>
      <c r="AJ34" s="79"/>
      <c r="AK34" s="74">
        <v>5.4147957131704096E-2</v>
      </c>
      <c r="AL34" s="74">
        <v>4.6680858480231055E-2</v>
      </c>
    </row>
    <row r="35" spans="1:38" ht="15.75" customHeight="1" x14ac:dyDescent="0.25">
      <c r="A35" s="76">
        <f>[1]Presupuesto!A35</f>
        <v>42</v>
      </c>
      <c r="B35" s="101">
        <v>36.700000000000003</v>
      </c>
      <c r="C35" s="105">
        <v>31.15</v>
      </c>
      <c r="D35" s="79"/>
      <c r="E35" s="79"/>
      <c r="F35" s="79"/>
      <c r="G35" s="101">
        <v>0</v>
      </c>
      <c r="H35" s="105"/>
      <c r="I35" s="79"/>
      <c r="J35" s="79"/>
      <c r="K35" s="79"/>
      <c r="L35" s="79"/>
      <c r="M35" s="79"/>
      <c r="N35" s="79"/>
      <c r="O35" s="79"/>
      <c r="P35" s="79"/>
      <c r="Q35" s="79"/>
      <c r="R35" s="79"/>
      <c r="S35" s="79"/>
      <c r="T35" s="79"/>
      <c r="U35" s="79"/>
      <c r="V35" s="76">
        <v>0</v>
      </c>
      <c r="W35" s="76">
        <v>89.7</v>
      </c>
      <c r="X35" s="79"/>
      <c r="Y35" s="79"/>
      <c r="Z35" s="79"/>
      <c r="AA35" s="79"/>
      <c r="AB35" s="79"/>
      <c r="AC35" s="79"/>
      <c r="AD35" s="79"/>
      <c r="AE35" s="79"/>
      <c r="AF35" s="101">
        <v>36.700000000000003</v>
      </c>
      <c r="AG35" s="105">
        <v>157.55000000000001</v>
      </c>
      <c r="AH35" s="79"/>
      <c r="AI35" s="79"/>
      <c r="AJ35" s="79"/>
      <c r="AK35" s="74">
        <v>0.41249957333515369</v>
      </c>
      <c r="AL35" s="74">
        <v>0.17732731549742817</v>
      </c>
    </row>
    <row r="36" spans="1:38" ht="15.75" customHeight="1" x14ac:dyDescent="0.25">
      <c r="A36" s="76">
        <f>[1]Presupuesto!A36</f>
        <v>43</v>
      </c>
      <c r="B36" s="101">
        <v>0</v>
      </c>
      <c r="C36" s="102">
        <v>0</v>
      </c>
      <c r="D36" s="79"/>
      <c r="E36" s="79"/>
      <c r="F36" s="79"/>
      <c r="G36" s="101">
        <v>0</v>
      </c>
      <c r="H36" s="102">
        <v>0</v>
      </c>
      <c r="I36" s="79"/>
      <c r="J36" s="79"/>
      <c r="K36" s="79"/>
      <c r="L36" s="79"/>
      <c r="M36" s="79"/>
      <c r="N36" s="79"/>
      <c r="O36" s="79"/>
      <c r="P36" s="79"/>
      <c r="Q36" s="79"/>
      <c r="R36" s="79"/>
      <c r="S36" s="79"/>
      <c r="T36" s="79"/>
      <c r="U36" s="79"/>
      <c r="V36" s="76">
        <v>0</v>
      </c>
      <c r="W36" s="76">
        <v>0</v>
      </c>
      <c r="X36" s="79"/>
      <c r="Y36" s="79"/>
      <c r="Z36" s="79"/>
      <c r="AA36" s="79"/>
      <c r="AB36" s="79"/>
      <c r="AC36" s="79"/>
      <c r="AD36" s="79"/>
      <c r="AE36" s="79"/>
      <c r="AF36" s="101">
        <v>0</v>
      </c>
      <c r="AG36" s="102">
        <v>0</v>
      </c>
      <c r="AH36" s="79"/>
      <c r="AI36" s="79"/>
      <c r="AJ36" s="79"/>
      <c r="AK36" s="74">
        <v>0</v>
      </c>
      <c r="AL36" s="74">
        <v>0</v>
      </c>
    </row>
    <row r="37" spans="1:38" ht="15.75" customHeight="1" x14ac:dyDescent="0.25">
      <c r="A37" s="76">
        <f>[1]Presupuesto!A37</f>
        <v>44</v>
      </c>
      <c r="B37" s="101"/>
      <c r="C37" s="105"/>
      <c r="D37" s="79"/>
      <c r="E37" s="79"/>
      <c r="F37" s="79"/>
      <c r="G37" s="101"/>
      <c r="H37" s="105"/>
      <c r="I37" s="79"/>
      <c r="J37" s="79"/>
      <c r="K37" s="79"/>
      <c r="L37" s="79"/>
      <c r="M37" s="79"/>
      <c r="N37" s="79"/>
      <c r="O37" s="79"/>
      <c r="P37" s="79"/>
      <c r="Q37" s="79"/>
      <c r="R37" s="79"/>
      <c r="S37" s="79"/>
      <c r="T37" s="79"/>
      <c r="U37" s="79"/>
      <c r="V37" s="76"/>
      <c r="W37" s="76"/>
      <c r="X37" s="79"/>
      <c r="Y37" s="79"/>
      <c r="Z37" s="79"/>
      <c r="AA37" s="79"/>
      <c r="AB37" s="79"/>
      <c r="AC37" s="79"/>
      <c r="AD37" s="79"/>
      <c r="AE37" s="79"/>
      <c r="AF37" s="101">
        <v>0</v>
      </c>
      <c r="AG37" s="105">
        <v>0</v>
      </c>
      <c r="AH37" s="79"/>
      <c r="AI37" s="79"/>
      <c r="AJ37" s="79"/>
      <c r="AK37" s="74">
        <v>0</v>
      </c>
      <c r="AL37" s="74">
        <v>0</v>
      </c>
    </row>
    <row r="38" spans="1:38" ht="15.75" customHeight="1" x14ac:dyDescent="0.25">
      <c r="A38" s="76">
        <f>[1]Presupuesto!A38</f>
        <v>45</v>
      </c>
      <c r="B38" s="101"/>
      <c r="C38" s="105">
        <v>0</v>
      </c>
      <c r="D38" s="79"/>
      <c r="E38" s="79"/>
      <c r="F38" s="79"/>
      <c r="G38" s="101"/>
      <c r="H38" s="105">
        <v>0</v>
      </c>
      <c r="I38" s="79"/>
      <c r="J38" s="79"/>
      <c r="K38" s="79"/>
      <c r="L38" s="79"/>
      <c r="M38" s="79"/>
      <c r="N38" s="79"/>
      <c r="O38" s="79"/>
      <c r="P38" s="79"/>
      <c r="Q38" s="79"/>
      <c r="R38" s="79"/>
      <c r="S38" s="79"/>
      <c r="T38" s="79"/>
      <c r="U38" s="79"/>
      <c r="V38" s="76"/>
      <c r="W38" s="76">
        <v>0</v>
      </c>
      <c r="X38" s="79"/>
      <c r="Y38" s="79"/>
      <c r="Z38" s="79"/>
      <c r="AA38" s="79"/>
      <c r="AB38" s="79"/>
      <c r="AC38" s="79"/>
      <c r="AD38" s="79"/>
      <c r="AE38" s="79"/>
      <c r="AF38" s="101">
        <v>0</v>
      </c>
      <c r="AG38" s="105">
        <v>0</v>
      </c>
      <c r="AH38" s="79"/>
      <c r="AI38" s="79"/>
      <c r="AJ38" s="79"/>
      <c r="AK38" s="74">
        <v>0</v>
      </c>
      <c r="AL38" s="74">
        <v>0</v>
      </c>
    </row>
    <row r="39" spans="1:38" ht="15.75" customHeight="1" x14ac:dyDescent="0.25">
      <c r="A39" s="76">
        <f>[1]Presupuesto!A39</f>
        <v>46</v>
      </c>
      <c r="B39" s="101"/>
      <c r="C39" s="105"/>
      <c r="D39" s="79"/>
      <c r="E39" s="79"/>
      <c r="F39" s="79"/>
      <c r="G39" s="101"/>
      <c r="H39" s="105"/>
      <c r="I39" s="79"/>
      <c r="J39" s="79"/>
      <c r="K39" s="79"/>
      <c r="L39" s="79"/>
      <c r="M39" s="79"/>
      <c r="N39" s="79"/>
      <c r="O39" s="79"/>
      <c r="P39" s="79"/>
      <c r="Q39" s="79"/>
      <c r="R39" s="79"/>
      <c r="S39" s="79"/>
      <c r="T39" s="79"/>
      <c r="U39" s="79"/>
      <c r="V39" s="76"/>
      <c r="W39" s="76"/>
      <c r="X39" s="79"/>
      <c r="Y39" s="79"/>
      <c r="Z39" s="79"/>
      <c r="AA39" s="79"/>
      <c r="AB39" s="79"/>
      <c r="AC39" s="79"/>
      <c r="AD39" s="79"/>
      <c r="AE39" s="79"/>
      <c r="AF39" s="101">
        <v>0</v>
      </c>
      <c r="AG39" s="105">
        <v>0</v>
      </c>
      <c r="AH39" s="79"/>
      <c r="AI39" s="79"/>
      <c r="AJ39" s="79"/>
      <c r="AK39" s="74">
        <v>0</v>
      </c>
      <c r="AL39" s="74">
        <v>0</v>
      </c>
    </row>
    <row r="40" spans="1:38" ht="15.75" customHeight="1" x14ac:dyDescent="0.25">
      <c r="A40" s="76">
        <f>[1]Presupuesto!A40</f>
        <v>47</v>
      </c>
      <c r="B40" s="103">
        <v>15</v>
      </c>
      <c r="C40" s="105">
        <v>15</v>
      </c>
      <c r="D40" s="79"/>
      <c r="E40" s="79"/>
      <c r="F40" s="79"/>
      <c r="G40" s="103">
        <v>0</v>
      </c>
      <c r="H40" s="105">
        <v>110</v>
      </c>
      <c r="I40" s="79"/>
      <c r="J40" s="79"/>
      <c r="K40" s="79"/>
      <c r="L40" s="79"/>
      <c r="M40" s="79"/>
      <c r="N40" s="79"/>
      <c r="O40" s="79"/>
      <c r="P40" s="79"/>
      <c r="Q40" s="79"/>
      <c r="R40" s="79"/>
      <c r="S40" s="79"/>
      <c r="T40" s="79"/>
      <c r="U40" s="79"/>
      <c r="V40" s="76">
        <v>0</v>
      </c>
      <c r="W40" s="76">
        <v>4198</v>
      </c>
      <c r="X40" s="79"/>
      <c r="Y40" s="79"/>
      <c r="Z40" s="79"/>
      <c r="AA40" s="79"/>
      <c r="AB40" s="79"/>
      <c r="AC40" s="79"/>
      <c r="AD40" s="79"/>
      <c r="AE40" s="79"/>
      <c r="AF40" s="103">
        <v>15</v>
      </c>
      <c r="AG40" s="105">
        <v>4338</v>
      </c>
      <c r="AH40" s="79"/>
      <c r="AI40" s="79"/>
      <c r="AJ40" s="79"/>
      <c r="AK40" s="74">
        <v>0.57479058635819702</v>
      </c>
      <c r="AL40" s="74">
        <v>0.38580576307363929</v>
      </c>
    </row>
    <row r="41" spans="1:38" ht="15.75" customHeight="1" x14ac:dyDescent="0.25">
      <c r="A41" s="76">
        <f>[1]Presupuesto!A41</f>
        <v>48</v>
      </c>
      <c r="B41" s="103">
        <v>10</v>
      </c>
      <c r="C41" s="105">
        <v>15</v>
      </c>
      <c r="D41" s="79"/>
      <c r="E41" s="79"/>
      <c r="F41" s="79"/>
      <c r="G41" s="103">
        <v>0</v>
      </c>
      <c r="H41" s="105">
        <v>70</v>
      </c>
      <c r="I41" s="79"/>
      <c r="J41" s="79"/>
      <c r="K41" s="79"/>
      <c r="L41" s="79"/>
      <c r="M41" s="79"/>
      <c r="N41" s="79"/>
      <c r="O41" s="79"/>
      <c r="P41" s="79"/>
      <c r="Q41" s="79"/>
      <c r="R41" s="79"/>
      <c r="S41" s="79"/>
      <c r="T41" s="79"/>
      <c r="U41" s="79"/>
      <c r="V41" s="76">
        <v>0</v>
      </c>
      <c r="W41" s="76">
        <v>19861</v>
      </c>
      <c r="X41" s="79"/>
      <c r="Y41" s="79"/>
      <c r="Z41" s="79"/>
      <c r="AA41" s="79"/>
      <c r="AB41" s="79"/>
      <c r="AC41" s="79"/>
      <c r="AD41" s="79"/>
      <c r="AE41" s="79"/>
      <c r="AF41" s="103">
        <v>10</v>
      </c>
      <c r="AG41" s="105">
        <v>19956</v>
      </c>
      <c r="AH41" s="79"/>
      <c r="AI41" s="79"/>
      <c r="AJ41" s="79"/>
      <c r="AK41" s="74">
        <v>0.46606070518961612</v>
      </c>
      <c r="AL41" s="74">
        <v>0.32217235478350714</v>
      </c>
    </row>
    <row r="42" spans="1:38" ht="15.75" customHeight="1" x14ac:dyDescent="0.25">
      <c r="A42" s="76">
        <f>[1]Presupuesto!A42</f>
        <v>49</v>
      </c>
      <c r="B42" s="103">
        <v>276</v>
      </c>
      <c r="C42" s="105">
        <v>506</v>
      </c>
      <c r="D42" s="79"/>
      <c r="E42" s="79"/>
      <c r="F42" s="79"/>
      <c r="G42" s="103">
        <v>2066</v>
      </c>
      <c r="H42" s="105">
        <v>1192.5</v>
      </c>
      <c r="I42" s="79"/>
      <c r="J42" s="79"/>
      <c r="K42" s="79"/>
      <c r="L42" s="79"/>
      <c r="M42" s="79"/>
      <c r="N42" s="79"/>
      <c r="O42" s="79"/>
      <c r="P42" s="79"/>
      <c r="Q42" s="79"/>
      <c r="R42" s="79"/>
      <c r="S42" s="79"/>
      <c r="T42" s="79"/>
      <c r="U42" s="79"/>
      <c r="V42" s="76">
        <v>166</v>
      </c>
      <c r="W42" s="76">
        <v>4619</v>
      </c>
      <c r="X42" s="79"/>
      <c r="Y42" s="79"/>
      <c r="Z42" s="79"/>
      <c r="AA42" s="79"/>
      <c r="AB42" s="79"/>
      <c r="AC42" s="79"/>
      <c r="AD42" s="79"/>
      <c r="AE42" s="79"/>
      <c r="AF42" s="103">
        <v>2508</v>
      </c>
      <c r="AG42" s="105">
        <v>8825.5</v>
      </c>
      <c r="AH42" s="79"/>
      <c r="AI42" s="79"/>
      <c r="AJ42" s="79"/>
      <c r="AK42" s="74">
        <v>1.0468102734051368</v>
      </c>
      <c r="AL42" s="74">
        <v>0.24955464442245157</v>
      </c>
    </row>
    <row r="43" spans="1:38" ht="15.75" customHeight="1" x14ac:dyDescent="0.25">
      <c r="A43" s="76">
        <f>[1]Presupuesto!A43</f>
        <v>50</v>
      </c>
      <c r="B43" s="101">
        <v>18</v>
      </c>
      <c r="C43" s="102">
        <v>21.6</v>
      </c>
      <c r="D43" s="79"/>
      <c r="E43" s="79"/>
      <c r="F43" s="79"/>
      <c r="G43" s="101">
        <v>0</v>
      </c>
      <c r="H43" s="102">
        <v>0</v>
      </c>
      <c r="I43" s="79"/>
      <c r="J43" s="79"/>
      <c r="K43" s="79"/>
      <c r="L43" s="79"/>
      <c r="M43" s="79"/>
      <c r="N43" s="79"/>
      <c r="O43" s="79"/>
      <c r="P43" s="79"/>
      <c r="Q43" s="79"/>
      <c r="R43" s="79"/>
      <c r="S43" s="79"/>
      <c r="T43" s="79"/>
      <c r="U43" s="79"/>
      <c r="V43" s="76">
        <v>0</v>
      </c>
      <c r="W43" s="76">
        <v>0</v>
      </c>
      <c r="X43" s="79"/>
      <c r="Y43" s="79"/>
      <c r="Z43" s="79"/>
      <c r="AA43" s="79"/>
      <c r="AB43" s="79"/>
      <c r="AC43" s="79"/>
      <c r="AD43" s="79"/>
      <c r="AE43" s="79"/>
      <c r="AF43" s="101">
        <v>18</v>
      </c>
      <c r="AG43" s="102">
        <v>39.6</v>
      </c>
      <c r="AH43" s="79"/>
      <c r="AI43" s="79"/>
      <c r="AJ43" s="79"/>
      <c r="AK43" s="74">
        <v>8.4979148634825724E-2</v>
      </c>
      <c r="AL43" s="74">
        <v>5.7729313662604233E-2</v>
      </c>
    </row>
    <row r="44" spans="1:38" ht="15.75" customHeight="1" x14ac:dyDescent="0.25">
      <c r="A44" s="76">
        <f>[1]Presupuesto!A44</f>
        <v>51</v>
      </c>
      <c r="B44" s="101">
        <v>56.6</v>
      </c>
      <c r="C44" s="102">
        <v>56.6</v>
      </c>
      <c r="D44" s="79"/>
      <c r="E44" s="79"/>
      <c r="F44" s="79"/>
      <c r="G44" s="101">
        <v>0</v>
      </c>
      <c r="H44" s="102">
        <v>0</v>
      </c>
      <c r="I44" s="79"/>
      <c r="J44" s="79"/>
      <c r="K44" s="79"/>
      <c r="L44" s="79"/>
      <c r="M44" s="79"/>
      <c r="N44" s="79"/>
      <c r="O44" s="79"/>
      <c r="P44" s="79"/>
      <c r="Q44" s="79"/>
      <c r="R44" s="79"/>
      <c r="S44" s="79"/>
      <c r="T44" s="79"/>
      <c r="U44" s="79"/>
      <c r="V44" s="76">
        <v>92.8</v>
      </c>
      <c r="W44" s="76">
        <v>93.01</v>
      </c>
      <c r="X44" s="79"/>
      <c r="Y44" s="79"/>
      <c r="Z44" s="79"/>
      <c r="AA44" s="79"/>
      <c r="AB44" s="79"/>
      <c r="AC44" s="79"/>
      <c r="AD44" s="79"/>
      <c r="AE44" s="79"/>
      <c r="AF44" s="101">
        <v>149.4</v>
      </c>
      <c r="AG44" s="102">
        <v>299.01</v>
      </c>
      <c r="AH44" s="79"/>
      <c r="AI44" s="79"/>
      <c r="AJ44" s="79"/>
      <c r="AK44" s="74">
        <v>0.52847050512186511</v>
      </c>
      <c r="AL44" s="74">
        <v>0.38233639362708743</v>
      </c>
    </row>
    <row r="45" spans="1:38" ht="15.75" customHeight="1" x14ac:dyDescent="0.25">
      <c r="A45" s="76">
        <f>[1]Presupuesto!A45</f>
        <v>52</v>
      </c>
      <c r="B45" s="101">
        <v>40</v>
      </c>
      <c r="C45" s="102">
        <v>50</v>
      </c>
      <c r="D45" s="79"/>
      <c r="E45" s="79"/>
      <c r="F45" s="79"/>
      <c r="G45" s="101"/>
      <c r="H45" s="102"/>
      <c r="I45" s="79"/>
      <c r="J45" s="79"/>
      <c r="K45" s="79"/>
      <c r="L45" s="79"/>
      <c r="M45" s="79"/>
      <c r="N45" s="79"/>
      <c r="O45" s="79"/>
      <c r="P45" s="79"/>
      <c r="Q45" s="79"/>
      <c r="R45" s="79"/>
      <c r="S45" s="79"/>
      <c r="T45" s="79"/>
      <c r="U45" s="79"/>
      <c r="V45" s="76"/>
      <c r="W45" s="76"/>
      <c r="X45" s="79"/>
      <c r="Y45" s="79"/>
      <c r="Z45" s="79"/>
      <c r="AA45" s="79"/>
      <c r="AB45" s="79"/>
      <c r="AC45" s="79"/>
      <c r="AD45" s="79"/>
      <c r="AE45" s="79"/>
      <c r="AF45" s="101">
        <v>40</v>
      </c>
      <c r="AG45" s="102">
        <v>90</v>
      </c>
      <c r="AH45" s="79"/>
      <c r="AI45" s="79"/>
      <c r="AJ45" s="79"/>
      <c r="AK45" s="74">
        <v>0.52083333333333337</v>
      </c>
      <c r="AL45" s="74">
        <v>0.3515625</v>
      </c>
    </row>
    <row r="46" spans="1:38" ht="15.75" customHeight="1" x14ac:dyDescent="0.25">
      <c r="A46" s="76">
        <f>[1]Presupuesto!A46</f>
        <v>53</v>
      </c>
      <c r="B46" s="103">
        <v>15.39</v>
      </c>
      <c r="C46" s="102">
        <v>63.86</v>
      </c>
      <c r="D46" s="79"/>
      <c r="E46" s="79"/>
      <c r="F46" s="79"/>
      <c r="G46" s="103">
        <v>0</v>
      </c>
      <c r="H46" s="102">
        <v>0</v>
      </c>
      <c r="I46" s="79"/>
      <c r="J46" s="79"/>
      <c r="K46" s="79"/>
      <c r="L46" s="79"/>
      <c r="M46" s="79"/>
      <c r="N46" s="79"/>
      <c r="O46" s="79"/>
      <c r="P46" s="79"/>
      <c r="Q46" s="79"/>
      <c r="R46" s="79"/>
      <c r="S46" s="79"/>
      <c r="T46" s="79"/>
      <c r="U46" s="79"/>
      <c r="V46" s="76">
        <v>0</v>
      </c>
      <c r="W46" s="76">
        <v>0</v>
      </c>
      <c r="X46" s="79"/>
      <c r="Y46" s="79"/>
      <c r="Z46" s="79"/>
      <c r="AA46" s="79"/>
      <c r="AB46" s="79"/>
      <c r="AC46" s="79"/>
      <c r="AD46" s="79"/>
      <c r="AE46" s="79"/>
      <c r="AF46" s="103">
        <v>15.39</v>
      </c>
      <c r="AG46" s="102">
        <v>79.25</v>
      </c>
      <c r="AH46" s="79"/>
      <c r="AI46" s="79"/>
      <c r="AJ46" s="79"/>
      <c r="AK46" s="74">
        <v>0.32789073731772439</v>
      </c>
      <c r="AL46" s="74">
        <v>0.17530020572035304</v>
      </c>
    </row>
    <row r="47" spans="1:38" ht="15.75" customHeight="1" x14ac:dyDescent="0.25">
      <c r="A47" s="76">
        <f>[1]Presupuesto!A47</f>
        <v>54</v>
      </c>
      <c r="B47" s="101">
        <v>61</v>
      </c>
      <c r="C47" s="102">
        <v>72.5</v>
      </c>
      <c r="D47" s="79"/>
      <c r="E47" s="79"/>
      <c r="F47" s="79"/>
      <c r="G47" s="101">
        <v>72.099999999999994</v>
      </c>
      <c r="H47" s="102">
        <v>0</v>
      </c>
      <c r="I47" s="79"/>
      <c r="J47" s="79"/>
      <c r="K47" s="79"/>
      <c r="L47" s="79"/>
      <c r="M47" s="79"/>
      <c r="N47" s="79"/>
      <c r="O47" s="79"/>
      <c r="P47" s="79"/>
      <c r="Q47" s="79"/>
      <c r="R47" s="79"/>
      <c r="S47" s="79"/>
      <c r="T47" s="79"/>
      <c r="U47" s="79"/>
      <c r="V47" s="76"/>
      <c r="W47" s="76">
        <v>0</v>
      </c>
      <c r="X47" s="79"/>
      <c r="Y47" s="79"/>
      <c r="Z47" s="79"/>
      <c r="AA47" s="79"/>
      <c r="AB47" s="79"/>
      <c r="AC47" s="79"/>
      <c r="AD47" s="79"/>
      <c r="AE47" s="79"/>
      <c r="AF47" s="101">
        <v>133.1</v>
      </c>
      <c r="AG47" s="102">
        <v>205.6</v>
      </c>
      <c r="AH47" s="79"/>
      <c r="AI47" s="79"/>
      <c r="AJ47" s="79"/>
      <c r="AK47" s="74">
        <v>0.50017247326664371</v>
      </c>
      <c r="AL47" s="74">
        <v>0.47543068562839635</v>
      </c>
    </row>
    <row r="48" spans="1:38" ht="15.75" customHeight="1" x14ac:dyDescent="0.25">
      <c r="A48" s="76">
        <f>[1]Presupuesto!A48</f>
        <v>55</v>
      </c>
      <c r="B48" s="101">
        <v>30</v>
      </c>
      <c r="C48" s="105">
        <v>40</v>
      </c>
      <c r="D48" s="79"/>
      <c r="E48" s="79"/>
      <c r="F48" s="79"/>
      <c r="G48" s="101">
        <v>0</v>
      </c>
      <c r="H48" s="105">
        <v>0</v>
      </c>
      <c r="I48" s="79"/>
      <c r="J48" s="79"/>
      <c r="K48" s="79"/>
      <c r="L48" s="79"/>
      <c r="M48" s="79"/>
      <c r="N48" s="79"/>
      <c r="O48" s="79"/>
      <c r="P48" s="79"/>
      <c r="Q48" s="79"/>
      <c r="R48" s="79"/>
      <c r="S48" s="79"/>
      <c r="T48" s="79"/>
      <c r="U48" s="79"/>
      <c r="V48" s="76">
        <v>0</v>
      </c>
      <c r="W48" s="76"/>
      <c r="X48" s="79"/>
      <c r="Y48" s="79"/>
      <c r="Z48" s="79"/>
      <c r="AA48" s="79"/>
      <c r="AB48" s="79"/>
      <c r="AC48" s="79"/>
      <c r="AD48" s="79"/>
      <c r="AE48" s="79"/>
      <c r="AF48" s="101">
        <v>30</v>
      </c>
      <c r="AG48" s="105">
        <v>70</v>
      </c>
      <c r="AH48" s="79"/>
      <c r="AI48" s="79"/>
      <c r="AJ48" s="79"/>
      <c r="AK48" s="74">
        <v>0.27210884353741499</v>
      </c>
      <c r="AL48" s="74">
        <v>0.18134715025906736</v>
      </c>
    </row>
    <row r="49" spans="1:38" ht="15.75" customHeight="1" x14ac:dyDescent="0.25">
      <c r="A49" s="76">
        <f>[1]Presupuesto!A49</f>
        <v>56</v>
      </c>
      <c r="B49" s="101">
        <v>20</v>
      </c>
      <c r="C49" s="105">
        <v>30</v>
      </c>
      <c r="D49" s="79"/>
      <c r="E49" s="79"/>
      <c r="F49" s="79"/>
      <c r="G49" s="101">
        <v>0</v>
      </c>
      <c r="H49" s="105">
        <v>0</v>
      </c>
      <c r="I49" s="79"/>
      <c r="J49" s="79"/>
      <c r="K49" s="79"/>
      <c r="L49" s="79"/>
      <c r="M49" s="79"/>
      <c r="N49" s="79"/>
      <c r="O49" s="79"/>
      <c r="P49" s="79"/>
      <c r="Q49" s="79"/>
      <c r="R49" s="79"/>
      <c r="S49" s="79"/>
      <c r="T49" s="79"/>
      <c r="U49" s="79"/>
      <c r="V49" s="76">
        <v>10</v>
      </c>
      <c r="W49" s="76">
        <v>0</v>
      </c>
      <c r="X49" s="79"/>
      <c r="Y49" s="79"/>
      <c r="Z49" s="79"/>
      <c r="AA49" s="79"/>
      <c r="AB49" s="79"/>
      <c r="AC49" s="79"/>
      <c r="AD49" s="79"/>
      <c r="AE49" s="79"/>
      <c r="AF49" s="101">
        <v>30</v>
      </c>
      <c r="AG49" s="105">
        <v>60</v>
      </c>
      <c r="AH49" s="79"/>
      <c r="AI49" s="79"/>
      <c r="AJ49" s="79"/>
      <c r="AK49" s="74">
        <v>0.24390243902439024</v>
      </c>
      <c r="AL49" s="74">
        <v>0.23255813953488372</v>
      </c>
    </row>
    <row r="50" spans="1:38" ht="15.75" customHeight="1" x14ac:dyDescent="0.25">
      <c r="A50" s="76">
        <f>[1]Presupuesto!A50</f>
        <v>57</v>
      </c>
      <c r="B50" s="101">
        <v>20</v>
      </c>
      <c r="C50" s="105">
        <v>30</v>
      </c>
      <c r="D50" s="79"/>
      <c r="E50" s="79"/>
      <c r="F50" s="79"/>
      <c r="G50" s="101">
        <v>0</v>
      </c>
      <c r="H50" s="105">
        <v>0</v>
      </c>
      <c r="I50" s="79"/>
      <c r="J50" s="79"/>
      <c r="K50" s="79"/>
      <c r="L50" s="79"/>
      <c r="M50" s="79"/>
      <c r="N50" s="79"/>
      <c r="O50" s="79"/>
      <c r="P50" s="79"/>
      <c r="Q50" s="79"/>
      <c r="R50" s="79"/>
      <c r="S50" s="79"/>
      <c r="T50" s="79"/>
      <c r="U50" s="79"/>
      <c r="V50" s="76">
        <v>0</v>
      </c>
      <c r="W50" s="76">
        <v>0</v>
      </c>
      <c r="X50" s="79"/>
      <c r="Y50" s="79"/>
      <c r="Z50" s="79"/>
      <c r="AA50" s="79"/>
      <c r="AB50" s="79"/>
      <c r="AC50" s="79"/>
      <c r="AD50" s="79"/>
      <c r="AE50" s="79"/>
      <c r="AF50" s="101">
        <v>0</v>
      </c>
      <c r="AG50" s="105">
        <v>30</v>
      </c>
      <c r="AH50" s="79"/>
      <c r="AI50" s="79"/>
      <c r="AJ50" s="79"/>
      <c r="AK50" s="74">
        <v>0.41666666666666669</v>
      </c>
      <c r="AL50" s="74">
        <v>0.16042780748663102</v>
      </c>
    </row>
    <row r="51" spans="1:38" ht="15.75" customHeight="1" x14ac:dyDescent="0.25">
      <c r="A51" s="76">
        <f>[1]Presupuesto!A51</f>
        <v>58</v>
      </c>
      <c r="B51" s="101">
        <v>0</v>
      </c>
      <c r="C51" s="105">
        <v>65.09</v>
      </c>
      <c r="D51" s="79"/>
      <c r="E51" s="79"/>
      <c r="F51" s="79"/>
      <c r="G51" s="101">
        <v>0</v>
      </c>
      <c r="H51" s="105">
        <v>0</v>
      </c>
      <c r="I51" s="79"/>
      <c r="J51" s="79"/>
      <c r="K51" s="79"/>
      <c r="L51" s="79"/>
      <c r="M51" s="79"/>
      <c r="N51" s="79"/>
      <c r="O51" s="79"/>
      <c r="P51" s="79"/>
      <c r="Q51" s="79"/>
      <c r="R51" s="79"/>
      <c r="S51" s="79"/>
      <c r="T51" s="79"/>
      <c r="U51" s="79"/>
      <c r="V51" s="76"/>
      <c r="W51" s="76">
        <v>182.09</v>
      </c>
      <c r="X51" s="79"/>
      <c r="Y51" s="79"/>
      <c r="Z51" s="79"/>
      <c r="AA51" s="79"/>
      <c r="AB51" s="79"/>
      <c r="AC51" s="79"/>
      <c r="AD51" s="79"/>
      <c r="AE51" s="79"/>
      <c r="AF51" s="101">
        <v>0</v>
      </c>
      <c r="AG51" s="105">
        <v>247.18</v>
      </c>
      <c r="AH51" s="79"/>
      <c r="AI51" s="79"/>
      <c r="AJ51" s="79"/>
      <c r="AK51" s="74">
        <v>0.40571194091095608</v>
      </c>
      <c r="AL51" s="74">
        <v>0.23337141346526052</v>
      </c>
    </row>
    <row r="52" spans="1:38" ht="15.75" customHeight="1" x14ac:dyDescent="0.25">
      <c r="A52" s="76">
        <f>[1]Presupuesto!A52</f>
        <v>59</v>
      </c>
      <c r="B52" s="101">
        <v>39.340000000000003</v>
      </c>
      <c r="C52" s="102">
        <v>40</v>
      </c>
      <c r="D52" s="79"/>
      <c r="E52" s="79"/>
      <c r="F52" s="79"/>
      <c r="G52" s="101"/>
      <c r="H52" s="102">
        <v>0</v>
      </c>
      <c r="I52" s="79"/>
      <c r="J52" s="79"/>
      <c r="K52" s="79"/>
      <c r="L52" s="79"/>
      <c r="M52" s="79"/>
      <c r="N52" s="79"/>
      <c r="O52" s="79"/>
      <c r="P52" s="79"/>
      <c r="Q52" s="79"/>
      <c r="R52" s="79"/>
      <c r="S52" s="79"/>
      <c r="T52" s="79"/>
      <c r="U52" s="79"/>
      <c r="V52" s="76">
        <v>0</v>
      </c>
      <c r="W52" s="76">
        <v>44.06</v>
      </c>
      <c r="X52" s="79"/>
      <c r="Y52" s="79"/>
      <c r="Z52" s="79"/>
      <c r="AA52" s="79"/>
      <c r="AB52" s="79"/>
      <c r="AC52" s="79"/>
      <c r="AD52" s="79"/>
      <c r="AE52" s="79"/>
      <c r="AF52" s="101">
        <v>39.340000000000003</v>
      </c>
      <c r="AG52" s="102">
        <v>123.4</v>
      </c>
      <c r="AH52" s="79"/>
      <c r="AI52" s="79"/>
      <c r="AJ52" s="79"/>
      <c r="AK52" s="74">
        <v>0.31340267680721762</v>
      </c>
      <c r="AL52" s="74">
        <v>0.18075345676119051</v>
      </c>
    </row>
    <row r="53" spans="1:38" ht="15.75" customHeight="1" x14ac:dyDescent="0.25">
      <c r="A53" s="76">
        <f>[1]Presupuesto!A53</f>
        <v>60</v>
      </c>
      <c r="B53" s="101">
        <v>8</v>
      </c>
      <c r="C53" s="102">
        <v>22.8</v>
      </c>
      <c r="D53" s="79"/>
      <c r="E53" s="79"/>
      <c r="F53" s="79"/>
      <c r="G53" s="101">
        <v>0</v>
      </c>
      <c r="H53" s="102">
        <v>0</v>
      </c>
      <c r="I53" s="79"/>
      <c r="J53" s="79"/>
      <c r="K53" s="79"/>
      <c r="L53" s="79"/>
      <c r="M53" s="79"/>
      <c r="N53" s="79"/>
      <c r="O53" s="79"/>
      <c r="P53" s="79"/>
      <c r="Q53" s="79"/>
      <c r="R53" s="79"/>
      <c r="S53" s="79"/>
      <c r="T53" s="79"/>
      <c r="U53" s="79"/>
      <c r="V53" s="76">
        <v>0</v>
      </c>
      <c r="W53" s="76">
        <v>0</v>
      </c>
      <c r="X53" s="79"/>
      <c r="Y53" s="79"/>
      <c r="Z53" s="79"/>
      <c r="AA53" s="79"/>
      <c r="AB53" s="79"/>
      <c r="AC53" s="79"/>
      <c r="AD53" s="79"/>
      <c r="AE53" s="79"/>
      <c r="AF53" s="101">
        <v>8</v>
      </c>
      <c r="AG53" s="102">
        <v>30.8</v>
      </c>
      <c r="AH53" s="79"/>
      <c r="AI53" s="79"/>
      <c r="AJ53" s="79"/>
      <c r="AK53" s="74">
        <v>6.633499170812604E-2</v>
      </c>
      <c r="AL53" s="74">
        <v>4.3394950405770967E-2</v>
      </c>
    </row>
    <row r="54" spans="1:38" ht="15.75" customHeight="1" x14ac:dyDescent="0.25">
      <c r="A54" s="76">
        <f>[1]Presupuesto!A54</f>
        <v>61</v>
      </c>
      <c r="B54" s="101">
        <v>36</v>
      </c>
      <c r="C54" s="102">
        <v>115</v>
      </c>
      <c r="D54" s="79"/>
      <c r="E54" s="79"/>
      <c r="F54" s="79"/>
      <c r="G54" s="101">
        <v>13</v>
      </c>
      <c r="H54" s="102"/>
      <c r="I54" s="79"/>
      <c r="J54" s="79"/>
      <c r="K54" s="79"/>
      <c r="L54" s="79"/>
      <c r="M54" s="79"/>
      <c r="N54" s="79"/>
      <c r="O54" s="79"/>
      <c r="P54" s="79"/>
      <c r="Q54" s="79"/>
      <c r="R54" s="79"/>
      <c r="S54" s="79"/>
      <c r="T54" s="79"/>
      <c r="U54" s="79"/>
      <c r="V54" s="76">
        <v>0</v>
      </c>
      <c r="W54" s="76"/>
      <c r="X54" s="79"/>
      <c r="Y54" s="79"/>
      <c r="Z54" s="79"/>
      <c r="AA54" s="79"/>
      <c r="AB54" s="79"/>
      <c r="AC54" s="79"/>
      <c r="AD54" s="79"/>
      <c r="AE54" s="79"/>
      <c r="AF54" s="101">
        <v>49</v>
      </c>
      <c r="AG54" s="102">
        <v>164</v>
      </c>
      <c r="AH54" s="79"/>
      <c r="AI54" s="79"/>
      <c r="AJ54" s="79"/>
      <c r="AK54" s="74">
        <v>0.44014084507042256</v>
      </c>
      <c r="AL54" s="74">
        <v>0.28127947860389335</v>
      </c>
    </row>
    <row r="55" spans="1:38" ht="15.75" customHeight="1" x14ac:dyDescent="0.25">
      <c r="A55" s="76">
        <f>[1]Presupuesto!A55</f>
        <v>62</v>
      </c>
      <c r="B55" s="103">
        <v>165.4</v>
      </c>
      <c r="C55" s="105">
        <v>68.808694000000003</v>
      </c>
      <c r="D55" s="79"/>
      <c r="E55" s="79"/>
      <c r="F55" s="79"/>
      <c r="G55" s="103"/>
      <c r="H55" s="105"/>
      <c r="I55" s="79"/>
      <c r="J55" s="79"/>
      <c r="K55" s="79"/>
      <c r="L55" s="79"/>
      <c r="M55" s="79"/>
      <c r="N55" s="79"/>
      <c r="O55" s="79"/>
      <c r="P55" s="79"/>
      <c r="Q55" s="79"/>
      <c r="R55" s="79"/>
      <c r="S55" s="79"/>
      <c r="T55" s="79"/>
      <c r="U55" s="79"/>
      <c r="V55" s="76"/>
      <c r="W55" s="76"/>
      <c r="X55" s="79"/>
      <c r="Y55" s="79"/>
      <c r="Z55" s="79"/>
      <c r="AA55" s="79"/>
      <c r="AB55" s="79"/>
      <c r="AC55" s="79"/>
      <c r="AD55" s="79"/>
      <c r="AE55" s="79"/>
      <c r="AF55" s="103">
        <v>165.4</v>
      </c>
      <c r="AG55" s="105">
        <v>234.20869400000001</v>
      </c>
      <c r="AH55" s="79"/>
      <c r="AI55" s="79"/>
      <c r="AJ55" s="79"/>
      <c r="AK55" s="74">
        <v>0.17844578319502075</v>
      </c>
      <c r="AL55" s="74">
        <v>0.42506115063520872</v>
      </c>
    </row>
    <row r="56" spans="1:38" ht="15.75" customHeight="1" x14ac:dyDescent="0.25">
      <c r="A56" s="76">
        <f>[1]Presupuesto!A56</f>
        <v>65</v>
      </c>
      <c r="B56" s="101">
        <v>60.07</v>
      </c>
      <c r="C56" s="105">
        <v>60.5</v>
      </c>
      <c r="D56" s="79"/>
      <c r="E56" s="79"/>
      <c r="F56" s="79"/>
      <c r="G56" s="101">
        <v>9.57</v>
      </c>
      <c r="H56" s="105">
        <v>0</v>
      </c>
      <c r="I56" s="79"/>
      <c r="J56" s="79"/>
      <c r="K56" s="79"/>
      <c r="L56" s="79"/>
      <c r="M56" s="79"/>
      <c r="N56" s="79"/>
      <c r="O56" s="79"/>
      <c r="P56" s="79"/>
      <c r="Q56" s="79"/>
      <c r="R56" s="79"/>
      <c r="S56" s="79"/>
      <c r="T56" s="79"/>
      <c r="U56" s="79"/>
      <c r="V56" s="76">
        <v>0</v>
      </c>
      <c r="W56" s="76">
        <v>0</v>
      </c>
      <c r="X56" s="79"/>
      <c r="Y56" s="79"/>
      <c r="Z56" s="79"/>
      <c r="AA56" s="79"/>
      <c r="AB56" s="79"/>
      <c r="AC56" s="79"/>
      <c r="AD56" s="79"/>
      <c r="AE56" s="79"/>
      <c r="AF56" s="101">
        <v>69.64</v>
      </c>
      <c r="AG56" s="105">
        <v>130.13999999999999</v>
      </c>
      <c r="AH56" s="79"/>
      <c r="AI56" s="79"/>
      <c r="AJ56" s="79"/>
      <c r="AK56" s="74">
        <v>0.43106519415746353</v>
      </c>
      <c r="AL56" s="74">
        <v>0.33660959081268427</v>
      </c>
    </row>
    <row r="57" spans="1:38" ht="15.75" customHeight="1" x14ac:dyDescent="0.25">
      <c r="A57" s="76">
        <f>[1]Presupuesto!A57</f>
        <v>66</v>
      </c>
      <c r="B57" s="101">
        <v>12.38</v>
      </c>
      <c r="C57" s="105">
        <v>62.55</v>
      </c>
      <c r="D57" s="79"/>
      <c r="E57" s="79"/>
      <c r="F57" s="79"/>
      <c r="G57" s="101"/>
      <c r="H57" s="105">
        <v>8.1</v>
      </c>
      <c r="I57" s="79"/>
      <c r="J57" s="79"/>
      <c r="K57" s="79"/>
      <c r="L57" s="79"/>
      <c r="M57" s="79"/>
      <c r="N57" s="79"/>
      <c r="O57" s="79"/>
      <c r="P57" s="79"/>
      <c r="Q57" s="79"/>
      <c r="R57" s="79"/>
      <c r="S57" s="79"/>
      <c r="T57" s="79"/>
      <c r="U57" s="79"/>
      <c r="V57" s="76"/>
      <c r="W57" s="76">
        <v>0</v>
      </c>
      <c r="X57" s="79"/>
      <c r="Y57" s="79"/>
      <c r="Z57" s="79"/>
      <c r="AA57" s="79"/>
      <c r="AB57" s="79"/>
      <c r="AC57" s="79"/>
      <c r="AD57" s="79"/>
      <c r="AE57" s="79"/>
      <c r="AF57" s="101">
        <v>12.38</v>
      </c>
      <c r="AG57" s="105">
        <v>83.029999999999987</v>
      </c>
      <c r="AH57" s="79"/>
      <c r="AI57" s="79"/>
      <c r="AJ57" s="79"/>
      <c r="AK57" s="74">
        <v>0.50010617965597781</v>
      </c>
      <c r="AL57" s="74">
        <v>0.29343370087644893</v>
      </c>
    </row>
    <row r="58" spans="1:38" ht="15.75" customHeight="1" x14ac:dyDescent="0.25">
      <c r="A58" s="76">
        <f>[1]Presupuesto!A58</f>
        <v>3</v>
      </c>
      <c r="B58" s="103">
        <v>38.47</v>
      </c>
      <c r="C58" s="105">
        <v>43</v>
      </c>
      <c r="D58" s="79"/>
      <c r="E58" s="79"/>
      <c r="F58" s="79"/>
      <c r="G58" s="103">
        <v>0</v>
      </c>
      <c r="H58" s="105">
        <v>0</v>
      </c>
      <c r="I58" s="79"/>
      <c r="J58" s="79"/>
      <c r="K58" s="79"/>
      <c r="L58" s="79"/>
      <c r="M58" s="79"/>
      <c r="N58" s="79"/>
      <c r="O58" s="79"/>
      <c r="P58" s="79"/>
      <c r="Q58" s="79"/>
      <c r="R58" s="79"/>
      <c r="S58" s="79"/>
      <c r="T58" s="79"/>
      <c r="U58" s="79"/>
      <c r="V58" s="76">
        <v>0</v>
      </c>
      <c r="W58" s="76">
        <v>0</v>
      </c>
      <c r="X58" s="79"/>
      <c r="Y58" s="79"/>
      <c r="Z58" s="79"/>
      <c r="AA58" s="79"/>
      <c r="AB58" s="79"/>
      <c r="AC58" s="79"/>
      <c r="AD58" s="79"/>
      <c r="AE58" s="79"/>
      <c r="AF58" s="103">
        <v>38.47</v>
      </c>
      <c r="AG58" s="105">
        <v>81.47</v>
      </c>
      <c r="AH58" s="79"/>
      <c r="AI58" s="79"/>
      <c r="AJ58" s="79"/>
      <c r="AK58" s="74">
        <v>0.53743282089738775</v>
      </c>
      <c r="AL58" s="74">
        <v>0.36805963406370001</v>
      </c>
    </row>
    <row r="59" spans="1:38" ht="15.75" customHeight="1" x14ac:dyDescent="0.25">
      <c r="A59" s="76">
        <f>[1]Presupuesto!A59</f>
        <v>21</v>
      </c>
      <c r="B59" s="101">
        <v>53</v>
      </c>
      <c r="C59" s="102">
        <v>302.02</v>
      </c>
      <c r="D59" s="79"/>
      <c r="E59" s="79"/>
      <c r="F59" s="79"/>
      <c r="G59" s="101">
        <v>11</v>
      </c>
      <c r="H59" s="102">
        <v>0</v>
      </c>
      <c r="I59" s="79"/>
      <c r="J59" s="79"/>
      <c r="K59" s="79"/>
      <c r="L59" s="79"/>
      <c r="M59" s="79"/>
      <c r="N59" s="79"/>
      <c r="O59" s="79"/>
      <c r="P59" s="79"/>
      <c r="Q59" s="79"/>
      <c r="R59" s="79"/>
      <c r="S59" s="79"/>
      <c r="T59" s="79"/>
      <c r="U59" s="79"/>
      <c r="V59" s="76">
        <v>750</v>
      </c>
      <c r="W59" s="76">
        <v>1122.05</v>
      </c>
      <c r="X59" s="79"/>
      <c r="Y59" s="79"/>
      <c r="Z59" s="79"/>
      <c r="AA59" s="79"/>
      <c r="AB59" s="79"/>
      <c r="AC59" s="79"/>
      <c r="AD59" s="79"/>
      <c r="AE59" s="79"/>
      <c r="AF59" s="101">
        <v>814</v>
      </c>
      <c r="AG59" s="102">
        <v>2238.0700000000002</v>
      </c>
      <c r="AH59" s="79"/>
      <c r="AI59" s="79"/>
      <c r="AJ59" s="79"/>
      <c r="AK59" s="74">
        <v>0.5</v>
      </c>
      <c r="AL59" s="74">
        <v>0.42992020408084858</v>
      </c>
    </row>
    <row r="60" spans="1:38" ht="15.75" customHeight="1" x14ac:dyDescent="0.25">
      <c r="A60" s="76">
        <f>[1]Presupuesto!A60</f>
        <v>22</v>
      </c>
      <c r="B60" s="101">
        <v>28.96</v>
      </c>
      <c r="C60" s="102">
        <v>34</v>
      </c>
      <c r="D60" s="79"/>
      <c r="E60" s="79"/>
      <c r="F60" s="79"/>
      <c r="G60" s="101">
        <v>0</v>
      </c>
      <c r="H60" s="102">
        <v>0</v>
      </c>
      <c r="I60" s="79"/>
      <c r="J60" s="79"/>
      <c r="K60" s="79"/>
      <c r="L60" s="79"/>
      <c r="M60" s="79"/>
      <c r="N60" s="79"/>
      <c r="O60" s="79"/>
      <c r="P60" s="79"/>
      <c r="Q60" s="79"/>
      <c r="R60" s="79"/>
      <c r="S60" s="79"/>
      <c r="T60" s="79"/>
      <c r="U60" s="79"/>
      <c r="V60" s="76">
        <v>4.03</v>
      </c>
      <c r="W60" s="76">
        <v>1320.56</v>
      </c>
      <c r="X60" s="79"/>
      <c r="Y60" s="79"/>
      <c r="Z60" s="79"/>
      <c r="AA60" s="79"/>
      <c r="AB60" s="79"/>
      <c r="AC60" s="79"/>
      <c r="AD60" s="79"/>
      <c r="AE60" s="79"/>
      <c r="AF60" s="101">
        <v>32.99</v>
      </c>
      <c r="AG60" s="102">
        <v>1387.55</v>
      </c>
      <c r="AH60" s="79"/>
      <c r="AI60" s="79"/>
      <c r="AJ60" s="79"/>
      <c r="AK60" s="74">
        <v>0.68628752374920832</v>
      </c>
      <c r="AL60" s="74">
        <v>0.26018995471464595</v>
      </c>
    </row>
    <row r="61" spans="1:38" ht="15.75" customHeight="1" x14ac:dyDescent="0.25">
      <c r="A61" s="76">
        <f>[1]Presupuesto!A61</f>
        <v>26</v>
      </c>
      <c r="B61" s="103">
        <v>0</v>
      </c>
      <c r="C61" s="105">
        <v>217</v>
      </c>
      <c r="D61" s="79"/>
      <c r="E61" s="79"/>
      <c r="F61" s="79"/>
      <c r="G61" s="103">
        <v>40</v>
      </c>
      <c r="H61" s="105">
        <v>30</v>
      </c>
      <c r="I61" s="79"/>
      <c r="J61" s="79"/>
      <c r="K61" s="79"/>
      <c r="L61" s="79"/>
      <c r="M61" s="79"/>
      <c r="N61" s="79"/>
      <c r="O61" s="79"/>
      <c r="P61" s="79"/>
      <c r="Q61" s="79"/>
      <c r="R61" s="79"/>
      <c r="S61" s="79"/>
      <c r="T61" s="79"/>
      <c r="U61" s="79"/>
      <c r="V61" s="76">
        <v>0</v>
      </c>
      <c r="W61" s="76"/>
      <c r="X61" s="79"/>
      <c r="Y61" s="79"/>
      <c r="Z61" s="79"/>
      <c r="AA61" s="79"/>
      <c r="AB61" s="79"/>
      <c r="AC61" s="79"/>
      <c r="AD61" s="79"/>
      <c r="AE61" s="79"/>
      <c r="AF61" s="103">
        <v>40</v>
      </c>
      <c r="AG61" s="105">
        <v>287</v>
      </c>
      <c r="AH61" s="79"/>
      <c r="AI61" s="79"/>
      <c r="AJ61" s="79"/>
      <c r="AK61" s="74">
        <v>0.4993934492519207</v>
      </c>
      <c r="AL61" s="74">
        <v>0.24536205864751645</v>
      </c>
    </row>
    <row r="62" spans="1:38" ht="15.75" customHeight="1" x14ac:dyDescent="0.25">
      <c r="A62" s="76">
        <f>[1]Presupuesto!A62</f>
        <v>33</v>
      </c>
      <c r="B62" s="101">
        <v>12.71</v>
      </c>
      <c r="C62" s="102">
        <v>43.85</v>
      </c>
      <c r="D62" s="79"/>
      <c r="E62" s="79"/>
      <c r="F62" s="79"/>
      <c r="G62" s="101">
        <v>0</v>
      </c>
      <c r="H62" s="102"/>
      <c r="I62" s="79"/>
      <c r="J62" s="79"/>
      <c r="K62" s="79"/>
      <c r="L62" s="79"/>
      <c r="M62" s="79"/>
      <c r="N62" s="79"/>
      <c r="O62" s="79"/>
      <c r="P62" s="79"/>
      <c r="Q62" s="79"/>
      <c r="R62" s="79"/>
      <c r="S62" s="79"/>
      <c r="T62" s="79"/>
      <c r="U62" s="79"/>
      <c r="V62" s="76">
        <v>0</v>
      </c>
      <c r="W62" s="76"/>
      <c r="X62" s="79"/>
      <c r="Y62" s="79"/>
      <c r="Z62" s="79"/>
      <c r="AA62" s="79"/>
      <c r="AB62" s="79"/>
      <c r="AC62" s="79"/>
      <c r="AD62" s="79"/>
      <c r="AE62" s="79"/>
      <c r="AF62" s="101">
        <v>12.71</v>
      </c>
      <c r="AG62" s="102">
        <v>56.56</v>
      </c>
      <c r="AH62" s="79"/>
      <c r="AI62" s="79"/>
      <c r="AJ62" s="79"/>
      <c r="AK62" s="74">
        <v>0.99999457696693272</v>
      </c>
      <c r="AL62" s="74">
        <v>0.48741673733195451</v>
      </c>
    </row>
    <row r="63" spans="1:38" ht="15.75" customHeight="1" x14ac:dyDescent="0.25">
      <c r="A63" s="76">
        <f>[1]Presupuesto!A63</f>
        <v>37</v>
      </c>
      <c r="B63" s="101">
        <v>0</v>
      </c>
      <c r="C63" s="105">
        <v>201.405</v>
      </c>
      <c r="D63" s="79"/>
      <c r="E63" s="79"/>
      <c r="F63" s="79"/>
      <c r="G63" s="101">
        <v>0</v>
      </c>
      <c r="H63" s="105">
        <v>0</v>
      </c>
      <c r="I63" s="79"/>
      <c r="J63" s="79"/>
      <c r="K63" s="79"/>
      <c r="L63" s="79"/>
      <c r="M63" s="79"/>
      <c r="N63" s="79"/>
      <c r="O63" s="79"/>
      <c r="P63" s="79"/>
      <c r="Q63" s="79"/>
      <c r="R63" s="79"/>
      <c r="S63" s="79"/>
      <c r="T63" s="79"/>
      <c r="U63" s="79"/>
      <c r="V63" s="76">
        <v>0</v>
      </c>
      <c r="W63" s="76">
        <v>0</v>
      </c>
      <c r="X63" s="79"/>
      <c r="Y63" s="79"/>
      <c r="Z63" s="79"/>
      <c r="AA63" s="79"/>
      <c r="AB63" s="79"/>
      <c r="AC63" s="79"/>
      <c r="AD63" s="79"/>
      <c r="AE63" s="79"/>
      <c r="AF63" s="101">
        <v>0</v>
      </c>
      <c r="AG63" s="105">
        <v>201.405</v>
      </c>
      <c r="AH63" s="79"/>
      <c r="AI63" s="79"/>
      <c r="AJ63" s="79"/>
      <c r="AK63" s="74">
        <v>0.5</v>
      </c>
      <c r="AL63" s="74">
        <v>0.17145374524342591</v>
      </c>
    </row>
    <row r="64" spans="1:38" ht="15.75" customHeight="1" x14ac:dyDescent="0.25">
      <c r="A64" s="76">
        <f>[1]Presupuesto!A64</f>
        <v>41</v>
      </c>
      <c r="B64" s="101">
        <v>0</v>
      </c>
      <c r="C64" s="105">
        <v>279.26499999999999</v>
      </c>
      <c r="D64" s="79"/>
      <c r="E64" s="79"/>
      <c r="F64" s="79"/>
      <c r="G64" s="101">
        <v>0</v>
      </c>
      <c r="H64" s="105"/>
      <c r="I64" s="79"/>
      <c r="J64" s="79"/>
      <c r="K64" s="79"/>
      <c r="L64" s="79"/>
      <c r="M64" s="79"/>
      <c r="N64" s="79"/>
      <c r="O64" s="79"/>
      <c r="P64" s="79"/>
      <c r="Q64" s="79"/>
      <c r="R64" s="79"/>
      <c r="S64" s="79"/>
      <c r="T64" s="79"/>
      <c r="U64" s="79"/>
      <c r="V64" s="76">
        <v>0</v>
      </c>
      <c r="W64" s="76">
        <v>0</v>
      </c>
      <c r="X64" s="79"/>
      <c r="Y64" s="79"/>
      <c r="Z64" s="79"/>
      <c r="AA64" s="79"/>
      <c r="AB64" s="79"/>
      <c r="AC64" s="79"/>
      <c r="AD64" s="79"/>
      <c r="AE64" s="79"/>
      <c r="AF64" s="101">
        <v>0</v>
      </c>
      <c r="AG64" s="105">
        <v>279.26499999999999</v>
      </c>
      <c r="AH64" s="79"/>
      <c r="AI64" s="79"/>
      <c r="AJ64" s="79"/>
      <c r="AK64" s="74">
        <v>0.5</v>
      </c>
      <c r="AL64" s="74">
        <v>0.21032950480135568</v>
      </c>
    </row>
    <row r="65" spans="1:38" ht="15.75" customHeight="1" x14ac:dyDescent="0.25">
      <c r="A65" s="76">
        <f>[1]Presupuesto!A65</f>
        <v>9</v>
      </c>
      <c r="B65" s="101">
        <v>58.42</v>
      </c>
      <c r="C65" s="105">
        <v>0</v>
      </c>
      <c r="D65" s="79"/>
      <c r="E65" s="79"/>
      <c r="F65" s="79"/>
      <c r="G65" s="101">
        <v>0</v>
      </c>
      <c r="H65" s="105">
        <v>0.30399999999999999</v>
      </c>
      <c r="I65" s="79"/>
      <c r="J65" s="79"/>
      <c r="K65" s="79"/>
      <c r="L65" s="79"/>
      <c r="M65" s="79"/>
      <c r="N65" s="79"/>
      <c r="O65" s="79"/>
      <c r="P65" s="79"/>
      <c r="Q65" s="79"/>
      <c r="R65" s="79"/>
      <c r="S65" s="79"/>
      <c r="T65" s="79"/>
      <c r="U65" s="79"/>
      <c r="V65" s="76">
        <v>0</v>
      </c>
      <c r="W65" s="76">
        <v>0</v>
      </c>
      <c r="X65" s="79"/>
      <c r="Y65" s="79"/>
      <c r="Z65" s="79"/>
      <c r="AA65" s="79"/>
      <c r="AB65" s="79"/>
      <c r="AC65" s="79"/>
      <c r="AD65" s="79"/>
      <c r="AE65" s="79"/>
      <c r="AF65" s="101">
        <v>58.42</v>
      </c>
      <c r="AG65" s="105">
        <v>58.72336</v>
      </c>
      <c r="AH65" s="79"/>
      <c r="AI65" s="79"/>
      <c r="AJ65" s="79"/>
      <c r="AK65" s="74">
        <v>0</v>
      </c>
      <c r="AL65" s="74">
        <v>2.1302667759792792E-2</v>
      </c>
    </row>
    <row r="66" spans="1:38" ht="15.75" customHeight="1" x14ac:dyDescent="0.25">
      <c r="A66" s="76">
        <f>[1]Presupuesto!A66</f>
        <v>0</v>
      </c>
      <c r="B66" s="101"/>
      <c r="C66" s="79"/>
      <c r="D66" s="79"/>
      <c r="E66" s="79"/>
      <c r="F66" s="79"/>
      <c r="G66" s="101"/>
      <c r="H66" s="79"/>
      <c r="I66" s="79"/>
      <c r="J66" s="79"/>
      <c r="K66" s="79"/>
      <c r="L66" s="79"/>
      <c r="M66" s="79"/>
      <c r="N66" s="79"/>
      <c r="O66" s="79"/>
      <c r="P66" s="79"/>
      <c r="Q66" s="79"/>
      <c r="R66" s="79"/>
      <c r="S66" s="79"/>
      <c r="T66" s="79"/>
      <c r="U66" s="79"/>
      <c r="V66" s="76"/>
      <c r="W66" s="76"/>
      <c r="X66" s="79"/>
      <c r="Y66" s="79"/>
      <c r="Z66" s="79"/>
      <c r="AA66" s="79"/>
      <c r="AB66" s="79"/>
      <c r="AC66" s="79"/>
      <c r="AD66" s="79"/>
      <c r="AE66" s="79"/>
      <c r="AF66" s="101"/>
      <c r="AG66" s="79"/>
      <c r="AH66" s="79"/>
      <c r="AI66" s="79"/>
      <c r="AJ66" s="79"/>
      <c r="AK66" s="74"/>
      <c r="AL66" s="74"/>
    </row>
    <row r="67" spans="1:38" ht="15.75" customHeight="1" x14ac:dyDescent="0.25">
      <c r="A67" s="76">
        <f>[1]Presupuesto!A67</f>
        <v>0</v>
      </c>
      <c r="B67" s="101"/>
      <c r="C67" s="79"/>
      <c r="D67" s="79"/>
      <c r="E67" s="79"/>
      <c r="F67" s="79"/>
      <c r="G67" s="101"/>
      <c r="H67" s="79"/>
      <c r="I67" s="79"/>
      <c r="J67" s="79"/>
      <c r="K67" s="79"/>
      <c r="L67" s="79"/>
      <c r="M67" s="79"/>
      <c r="N67" s="79"/>
      <c r="O67" s="79"/>
      <c r="P67" s="79"/>
      <c r="Q67" s="79"/>
      <c r="R67" s="79"/>
      <c r="S67" s="79"/>
      <c r="T67" s="79"/>
      <c r="U67" s="79"/>
      <c r="V67" s="76"/>
      <c r="W67" s="76"/>
      <c r="X67" s="79"/>
      <c r="Y67" s="79"/>
      <c r="Z67" s="79"/>
      <c r="AA67" s="79"/>
      <c r="AB67" s="79"/>
      <c r="AC67" s="79"/>
      <c r="AD67" s="79"/>
      <c r="AE67" s="79"/>
      <c r="AF67" s="101"/>
      <c r="AG67" s="79"/>
      <c r="AH67" s="79"/>
      <c r="AI67" s="79"/>
      <c r="AJ67" s="79"/>
      <c r="AK67" s="74"/>
      <c r="AL67" s="74"/>
    </row>
    <row r="68" spans="1:38" ht="15.75" customHeight="1" x14ac:dyDescent="0.25">
      <c r="A68" s="76">
        <f>[1]Presupuesto!A68</f>
        <v>0</v>
      </c>
      <c r="B68" s="101"/>
      <c r="C68" s="79"/>
      <c r="D68" s="79"/>
      <c r="E68" s="79"/>
      <c r="F68" s="79"/>
      <c r="G68" s="101"/>
      <c r="H68" s="79"/>
      <c r="I68" s="79"/>
      <c r="J68" s="79"/>
      <c r="K68" s="79"/>
      <c r="L68" s="79"/>
      <c r="M68" s="79"/>
      <c r="N68" s="79"/>
      <c r="O68" s="79"/>
      <c r="P68" s="79"/>
      <c r="Q68" s="79"/>
      <c r="R68" s="79"/>
      <c r="S68" s="79"/>
      <c r="T68" s="79"/>
      <c r="U68" s="79"/>
      <c r="V68" s="76"/>
      <c r="W68" s="76"/>
      <c r="X68" s="79"/>
      <c r="Y68" s="79"/>
      <c r="Z68" s="79"/>
      <c r="AA68" s="79"/>
      <c r="AB68" s="79"/>
      <c r="AC68" s="79"/>
      <c r="AD68" s="79"/>
      <c r="AE68" s="79"/>
      <c r="AF68" s="101"/>
      <c r="AG68" s="79"/>
      <c r="AH68" s="79"/>
      <c r="AI68" s="79"/>
      <c r="AJ68" s="79"/>
      <c r="AK68" s="74"/>
      <c r="AL68" s="74"/>
    </row>
    <row r="69" spans="1:38" ht="15.75" customHeight="1" x14ac:dyDescent="0.25">
      <c r="A69" s="76">
        <f>[1]Presupuesto!A69</f>
        <v>0</v>
      </c>
      <c r="B69" s="101"/>
      <c r="C69" s="79"/>
      <c r="D69" s="79"/>
      <c r="E69" s="79"/>
      <c r="F69" s="79"/>
      <c r="G69" s="101"/>
      <c r="H69" s="79"/>
      <c r="I69" s="79"/>
      <c r="J69" s="79"/>
      <c r="K69" s="79"/>
      <c r="L69" s="79"/>
      <c r="M69" s="79"/>
      <c r="N69" s="79"/>
      <c r="O69" s="79"/>
      <c r="P69" s="79"/>
      <c r="Q69" s="79"/>
      <c r="R69" s="79"/>
      <c r="S69" s="79"/>
      <c r="T69" s="79"/>
      <c r="U69" s="79"/>
      <c r="V69" s="76"/>
      <c r="W69" s="76"/>
      <c r="X69" s="79"/>
      <c r="Y69" s="79"/>
      <c r="Z69" s="79"/>
      <c r="AA69" s="79"/>
      <c r="AB69" s="79"/>
      <c r="AC69" s="79"/>
      <c r="AD69" s="79"/>
      <c r="AE69" s="79"/>
      <c r="AF69" s="101"/>
      <c r="AG69" s="79"/>
      <c r="AH69" s="79"/>
      <c r="AI69" s="79"/>
      <c r="AJ69" s="79"/>
      <c r="AK69" s="74"/>
      <c r="AL69" s="74"/>
    </row>
    <row r="70" spans="1:38" ht="15.75" customHeight="1" x14ac:dyDescent="0.25">
      <c r="A70" s="76">
        <f>[1]Presupuesto!A70</f>
        <v>0</v>
      </c>
      <c r="B70" s="101"/>
      <c r="C70" s="79"/>
      <c r="D70" s="79"/>
      <c r="E70" s="79"/>
      <c r="F70" s="79"/>
      <c r="G70" s="101"/>
      <c r="H70" s="79"/>
      <c r="I70" s="79"/>
      <c r="J70" s="79"/>
      <c r="K70" s="79"/>
      <c r="L70" s="79"/>
      <c r="M70" s="79"/>
      <c r="N70" s="79"/>
      <c r="O70" s="79"/>
      <c r="P70" s="79"/>
      <c r="Q70" s="79"/>
      <c r="R70" s="79"/>
      <c r="S70" s="79"/>
      <c r="T70" s="79"/>
      <c r="U70" s="79"/>
      <c r="V70" s="76"/>
      <c r="W70" s="76"/>
      <c r="X70" s="79"/>
      <c r="Y70" s="79"/>
      <c r="Z70" s="79"/>
      <c r="AA70" s="79"/>
      <c r="AB70" s="79"/>
      <c r="AC70" s="79"/>
      <c r="AD70" s="79"/>
      <c r="AE70" s="79"/>
      <c r="AF70" s="101"/>
      <c r="AG70" s="79"/>
      <c r="AH70" s="79"/>
      <c r="AI70" s="79"/>
      <c r="AJ70" s="79"/>
      <c r="AK70" s="74"/>
      <c r="AL70" s="74"/>
    </row>
    <row r="71" spans="1:38" ht="15.75" customHeight="1" x14ac:dyDescent="0.25">
      <c r="A71" s="77"/>
    </row>
    <row r="72" spans="1:38" ht="15.75" hidden="1" customHeight="1" x14ac:dyDescent="0.25">
      <c r="A72" s="77"/>
    </row>
    <row r="73" spans="1:38" ht="15.75" hidden="1" customHeight="1" x14ac:dyDescent="0.25">
      <c r="A73" s="77"/>
    </row>
    <row r="74" spans="1:38" ht="15.75" hidden="1" customHeight="1" x14ac:dyDescent="0.25">
      <c r="A74" s="77"/>
    </row>
    <row r="75" spans="1:38" ht="15.75" hidden="1" customHeight="1" x14ac:dyDescent="0.25">
      <c r="A75" s="77"/>
    </row>
    <row r="76" spans="1:38" ht="15.75" hidden="1" customHeight="1" x14ac:dyDescent="0.25">
      <c r="A76" s="77"/>
    </row>
    <row r="77" spans="1:38" ht="15.75" hidden="1" customHeight="1" x14ac:dyDescent="0.25">
      <c r="A77" s="77"/>
    </row>
    <row r="78" spans="1:38" ht="15.75" hidden="1" customHeight="1" x14ac:dyDescent="0.25">
      <c r="A78" s="77"/>
    </row>
    <row r="79" spans="1:38" ht="15.75" hidden="1" customHeight="1" x14ac:dyDescent="0.25">
      <c r="A79" s="77"/>
    </row>
    <row r="80" spans="1:38" ht="15.75" hidden="1" customHeight="1" x14ac:dyDescent="0.25">
      <c r="A80" s="77"/>
    </row>
    <row r="81" spans="1:1" ht="15.75" hidden="1" customHeight="1" x14ac:dyDescent="0.25">
      <c r="A81" s="77"/>
    </row>
    <row r="82" spans="1:1" ht="15.75" hidden="1" customHeight="1" x14ac:dyDescent="0.25">
      <c r="A82" s="77"/>
    </row>
    <row r="83" spans="1:1" ht="15.75" hidden="1" customHeight="1" x14ac:dyDescent="0.25">
      <c r="A83" s="77"/>
    </row>
    <row r="84" spans="1:1" ht="15.75" hidden="1" customHeight="1" x14ac:dyDescent="0.25">
      <c r="A84" s="77"/>
    </row>
    <row r="85" spans="1:1" ht="15.75" hidden="1" customHeight="1" x14ac:dyDescent="0.25">
      <c r="A85" s="77"/>
    </row>
    <row r="86" spans="1:1" ht="15.75" hidden="1" customHeight="1" x14ac:dyDescent="0.25">
      <c r="A86" s="77"/>
    </row>
    <row r="87" spans="1:1" ht="15.75" hidden="1" customHeight="1" x14ac:dyDescent="0.25">
      <c r="A87" s="77"/>
    </row>
    <row r="88" spans="1:1" ht="15.75" hidden="1" customHeight="1" x14ac:dyDescent="0.25">
      <c r="A88" s="77"/>
    </row>
    <row r="89" spans="1:1" ht="15.75" hidden="1" customHeight="1" x14ac:dyDescent="0.25">
      <c r="A89" s="77"/>
    </row>
    <row r="90" spans="1:1" ht="15.75" hidden="1" customHeight="1" x14ac:dyDescent="0.25">
      <c r="A90" s="77"/>
    </row>
    <row r="91" spans="1:1" ht="15.75" hidden="1" customHeight="1" x14ac:dyDescent="0.25">
      <c r="A91" s="77"/>
    </row>
    <row r="92" spans="1:1" ht="15.75" hidden="1" customHeight="1" x14ac:dyDescent="0.25">
      <c r="A92" s="77"/>
    </row>
    <row r="93" spans="1:1" ht="15.75" hidden="1" customHeight="1" x14ac:dyDescent="0.25">
      <c r="A93" s="77"/>
    </row>
    <row r="94" spans="1:1" ht="15.75" hidden="1" customHeight="1" x14ac:dyDescent="0.25">
      <c r="A94" s="77"/>
    </row>
    <row r="95" spans="1:1" ht="15.75" hidden="1" customHeight="1" x14ac:dyDescent="0.25">
      <c r="A95" s="77"/>
    </row>
    <row r="96" spans="1:1" ht="15.75" hidden="1" customHeight="1" x14ac:dyDescent="0.25">
      <c r="A96" s="77"/>
    </row>
    <row r="97" spans="1:1" ht="15.75" hidden="1" customHeight="1" x14ac:dyDescent="0.25">
      <c r="A97" s="77"/>
    </row>
    <row r="98" spans="1:1" ht="15.75" hidden="1" customHeight="1" x14ac:dyDescent="0.25">
      <c r="A98" s="77"/>
    </row>
    <row r="99" spans="1:1" ht="15.75" hidden="1" customHeight="1" x14ac:dyDescent="0.25">
      <c r="A99" s="77"/>
    </row>
    <row r="100" spans="1:1" ht="15.75" hidden="1" customHeight="1" x14ac:dyDescent="0.25">
      <c r="A100" s="77"/>
    </row>
    <row r="101" spans="1:1" ht="15.75" hidden="1" customHeight="1" x14ac:dyDescent="0.25">
      <c r="A101" s="77"/>
    </row>
    <row r="102" spans="1:1" ht="15.75" hidden="1" customHeight="1" x14ac:dyDescent="0.25">
      <c r="A102" s="77"/>
    </row>
    <row r="103" spans="1:1" ht="15.75" hidden="1" customHeight="1" x14ac:dyDescent="0.25">
      <c r="A103" s="77"/>
    </row>
    <row r="104" spans="1:1" ht="15.75" hidden="1" customHeight="1" x14ac:dyDescent="0.25">
      <c r="A104" s="77"/>
    </row>
    <row r="105" spans="1:1" ht="15.75" hidden="1" customHeight="1" x14ac:dyDescent="0.25">
      <c r="A105" s="77"/>
    </row>
    <row r="106" spans="1:1" ht="15.75" hidden="1" customHeight="1" x14ac:dyDescent="0.25">
      <c r="A106" s="77"/>
    </row>
    <row r="107" spans="1:1" ht="15.75" hidden="1" customHeight="1" x14ac:dyDescent="0.25">
      <c r="A107" s="77"/>
    </row>
    <row r="108" spans="1:1" ht="15.75" hidden="1" customHeight="1" x14ac:dyDescent="0.25">
      <c r="A108" s="77"/>
    </row>
    <row r="109" spans="1:1" ht="15.75" hidden="1" customHeight="1" x14ac:dyDescent="0.25">
      <c r="A109" s="77"/>
    </row>
    <row r="110" spans="1:1" ht="15.75" hidden="1" customHeight="1" x14ac:dyDescent="0.25">
      <c r="A110" s="77"/>
    </row>
    <row r="111" spans="1:1" ht="15.75" hidden="1" customHeight="1" x14ac:dyDescent="0.25">
      <c r="A111" s="77"/>
    </row>
    <row r="112" spans="1:1" ht="15.75" hidden="1" customHeight="1" x14ac:dyDescent="0.25">
      <c r="A112" s="77"/>
    </row>
    <row r="113" spans="1:1" ht="15.75" hidden="1" customHeight="1" x14ac:dyDescent="0.25">
      <c r="A113" s="77"/>
    </row>
    <row r="114" spans="1:1" ht="15.75" hidden="1" customHeight="1" x14ac:dyDescent="0.25">
      <c r="A114" s="77"/>
    </row>
    <row r="115" spans="1:1" ht="15.75" hidden="1" customHeight="1" x14ac:dyDescent="0.25">
      <c r="A115" s="77"/>
    </row>
    <row r="116" spans="1:1" ht="15.75" hidden="1" customHeight="1" x14ac:dyDescent="0.25">
      <c r="A116" s="77"/>
    </row>
    <row r="117" spans="1:1" ht="15.75" hidden="1" customHeight="1" x14ac:dyDescent="0.25">
      <c r="A117" s="77"/>
    </row>
    <row r="118" spans="1:1" ht="15.75" hidden="1" customHeight="1" x14ac:dyDescent="0.25">
      <c r="A118" s="77"/>
    </row>
    <row r="119" spans="1:1" ht="15.75" hidden="1" customHeight="1" x14ac:dyDescent="0.25">
      <c r="A119" s="77"/>
    </row>
    <row r="120" spans="1:1" ht="15.75" hidden="1" customHeight="1" x14ac:dyDescent="0.25">
      <c r="A120" s="77"/>
    </row>
    <row r="121" spans="1:1" ht="15.75" hidden="1" customHeight="1" x14ac:dyDescent="0.25">
      <c r="A121" s="77"/>
    </row>
    <row r="122" spans="1:1" ht="15.75" hidden="1" customHeight="1" x14ac:dyDescent="0.25">
      <c r="A122" s="77"/>
    </row>
    <row r="123" spans="1:1" ht="15.75" hidden="1" customHeight="1" x14ac:dyDescent="0.25">
      <c r="A123" s="77"/>
    </row>
    <row r="124" spans="1:1" ht="15.75" hidden="1" customHeight="1" x14ac:dyDescent="0.25">
      <c r="A124" s="77"/>
    </row>
    <row r="125" spans="1:1" ht="15.75" hidden="1" customHeight="1" x14ac:dyDescent="0.25">
      <c r="A125" s="77"/>
    </row>
    <row r="126" spans="1:1" ht="15.75" hidden="1" customHeight="1" x14ac:dyDescent="0.25">
      <c r="A126" s="77"/>
    </row>
    <row r="127" spans="1:1" ht="15.75" hidden="1" customHeight="1" x14ac:dyDescent="0.25">
      <c r="A127" s="77"/>
    </row>
    <row r="128" spans="1:1" ht="15.75" hidden="1" customHeight="1" x14ac:dyDescent="0.25">
      <c r="A128" s="77"/>
    </row>
    <row r="129" spans="1:1" ht="15.75" hidden="1" customHeight="1" x14ac:dyDescent="0.25">
      <c r="A129" s="77"/>
    </row>
    <row r="130" spans="1:1" ht="15.75" hidden="1" customHeight="1" x14ac:dyDescent="0.25">
      <c r="A130" s="77"/>
    </row>
    <row r="131" spans="1:1" ht="15.75" hidden="1" customHeight="1" x14ac:dyDescent="0.25">
      <c r="A131" s="77"/>
    </row>
    <row r="132" spans="1:1" ht="15.75" hidden="1" customHeight="1" x14ac:dyDescent="0.25">
      <c r="A132" s="77"/>
    </row>
    <row r="133" spans="1:1" ht="15.75" hidden="1" customHeight="1" x14ac:dyDescent="0.25">
      <c r="A133" s="77"/>
    </row>
    <row r="134" spans="1:1" ht="15.75" hidden="1" customHeight="1" x14ac:dyDescent="0.25">
      <c r="A134" s="77"/>
    </row>
    <row r="135" spans="1:1" ht="15.75" hidden="1" customHeight="1" x14ac:dyDescent="0.25">
      <c r="A135" s="77"/>
    </row>
    <row r="136" spans="1:1" ht="15.75" hidden="1" customHeight="1" x14ac:dyDescent="0.25">
      <c r="A136" s="77"/>
    </row>
    <row r="137" spans="1:1" ht="15.75" hidden="1" customHeight="1" x14ac:dyDescent="0.25">
      <c r="A137" s="77"/>
    </row>
    <row r="138" spans="1:1" ht="15.75" hidden="1" customHeight="1" x14ac:dyDescent="0.25">
      <c r="A138" s="77"/>
    </row>
    <row r="139" spans="1:1" ht="15.75" hidden="1" customHeight="1" x14ac:dyDescent="0.25">
      <c r="A139" s="77"/>
    </row>
    <row r="140" spans="1:1" ht="15.75" hidden="1" customHeight="1" x14ac:dyDescent="0.25">
      <c r="A140" s="77"/>
    </row>
    <row r="141" spans="1:1" ht="15.75" hidden="1" customHeight="1" x14ac:dyDescent="0.25">
      <c r="A141" s="77"/>
    </row>
    <row r="142" spans="1:1" ht="15.75" hidden="1" customHeight="1" x14ac:dyDescent="0.25">
      <c r="A142" s="77"/>
    </row>
    <row r="143" spans="1:1" ht="15.75" hidden="1" customHeight="1" x14ac:dyDescent="0.25">
      <c r="A143" s="77"/>
    </row>
    <row r="144" spans="1:1" ht="15.75" hidden="1" customHeight="1" x14ac:dyDescent="0.25">
      <c r="A144" s="77"/>
    </row>
    <row r="145" spans="1:1" ht="15.75" hidden="1" customHeight="1" x14ac:dyDescent="0.25">
      <c r="A145" s="77"/>
    </row>
    <row r="146" spans="1:1" ht="15.75" hidden="1" customHeight="1" x14ac:dyDescent="0.25">
      <c r="A146" s="77"/>
    </row>
    <row r="147" spans="1:1" ht="15.75" hidden="1" customHeight="1" x14ac:dyDescent="0.25">
      <c r="A147" s="77"/>
    </row>
    <row r="148" spans="1:1" ht="15.75" hidden="1" customHeight="1" x14ac:dyDescent="0.25">
      <c r="A148" s="72"/>
    </row>
    <row r="149" spans="1:1" ht="15.75" hidden="1" customHeight="1" x14ac:dyDescent="0.25">
      <c r="A149" s="72"/>
    </row>
    <row r="150" spans="1:1" ht="15.75" hidden="1" customHeight="1" x14ac:dyDescent="0.25">
      <c r="A150" s="72"/>
    </row>
    <row r="151" spans="1:1" ht="15.75" hidden="1" customHeight="1" x14ac:dyDescent="0.25">
      <c r="A151" s="72"/>
    </row>
    <row r="152" spans="1:1" ht="15.75" hidden="1" customHeight="1" x14ac:dyDescent="0.25">
      <c r="A152" s="72"/>
    </row>
    <row r="153" spans="1:1" ht="15.75" hidden="1" customHeight="1" x14ac:dyDescent="0.25">
      <c r="A153" s="72"/>
    </row>
    <row r="154" spans="1:1" ht="15.75" hidden="1" customHeight="1" x14ac:dyDescent="0.25">
      <c r="A154" s="72"/>
    </row>
    <row r="155" spans="1:1" ht="15.75" hidden="1" customHeight="1" x14ac:dyDescent="0.25">
      <c r="A155" s="72"/>
    </row>
    <row r="156" spans="1:1" ht="15.75" hidden="1" customHeight="1" x14ac:dyDescent="0.25">
      <c r="A156" s="72"/>
    </row>
    <row r="157" spans="1:1" ht="15.75" hidden="1" customHeight="1" x14ac:dyDescent="0.25">
      <c r="A157" s="72"/>
    </row>
    <row r="158" spans="1:1" ht="15.75" hidden="1" customHeight="1" x14ac:dyDescent="0.25">
      <c r="A158" s="72"/>
    </row>
    <row r="159" spans="1:1" ht="15.75" hidden="1" customHeight="1" x14ac:dyDescent="0.25">
      <c r="A159" s="72"/>
    </row>
    <row r="160" spans="1:1" ht="15.75" hidden="1" customHeight="1" x14ac:dyDescent="0.25">
      <c r="A160" s="72"/>
    </row>
    <row r="161" spans="1:1" ht="15.75" hidden="1" customHeight="1" x14ac:dyDescent="0.25">
      <c r="A161" s="72"/>
    </row>
    <row r="162" spans="1:1" ht="15.75" hidden="1" customHeight="1" x14ac:dyDescent="0.25">
      <c r="A162" s="72"/>
    </row>
    <row r="163" spans="1:1" ht="15.75" hidden="1" customHeight="1" x14ac:dyDescent="0.25">
      <c r="A163" s="72"/>
    </row>
    <row r="164" spans="1:1" ht="15.75" hidden="1" customHeight="1" x14ac:dyDescent="0.25">
      <c r="A164" s="72"/>
    </row>
    <row r="165" spans="1:1" ht="15.75" hidden="1" customHeight="1" x14ac:dyDescent="0.25">
      <c r="A165" s="72"/>
    </row>
    <row r="166" spans="1:1" ht="15.75" hidden="1" customHeight="1" x14ac:dyDescent="0.25">
      <c r="A166" s="72"/>
    </row>
    <row r="167" spans="1:1" ht="15.75" hidden="1" customHeight="1" x14ac:dyDescent="0.25">
      <c r="A167" s="72"/>
    </row>
    <row r="168" spans="1:1" ht="15.75" hidden="1" customHeight="1" x14ac:dyDescent="0.25">
      <c r="A168" s="72"/>
    </row>
    <row r="169" spans="1:1" ht="15.75" hidden="1" customHeight="1" x14ac:dyDescent="0.25">
      <c r="A169" s="72"/>
    </row>
    <row r="170" spans="1:1" ht="15.75" hidden="1" customHeight="1" x14ac:dyDescent="0.25">
      <c r="A170" s="72"/>
    </row>
    <row r="171" spans="1:1" ht="15.75" hidden="1" customHeight="1" x14ac:dyDescent="0.25">
      <c r="A171" s="72"/>
    </row>
    <row r="172" spans="1:1" ht="15.75" hidden="1" customHeight="1" x14ac:dyDescent="0.25">
      <c r="A172" s="72"/>
    </row>
    <row r="173" spans="1:1" ht="15.75" hidden="1" customHeight="1" x14ac:dyDescent="0.25">
      <c r="A173" s="72"/>
    </row>
    <row r="174" spans="1:1" ht="15.75" hidden="1" customHeight="1" x14ac:dyDescent="0.25">
      <c r="A174" s="72"/>
    </row>
    <row r="175" spans="1:1" ht="15.75" hidden="1" customHeight="1" x14ac:dyDescent="0.25">
      <c r="A175" s="72"/>
    </row>
    <row r="176" spans="1:1" ht="15.75" hidden="1" customHeight="1" x14ac:dyDescent="0.25">
      <c r="A176" s="72"/>
    </row>
    <row r="177" spans="1:1" ht="15.75" hidden="1" customHeight="1" x14ac:dyDescent="0.25">
      <c r="A177" s="72"/>
    </row>
    <row r="178" spans="1:1" ht="15.75" hidden="1" customHeight="1" x14ac:dyDescent="0.25">
      <c r="A178" s="72"/>
    </row>
    <row r="179" spans="1:1" ht="15.75" hidden="1" customHeight="1" x14ac:dyDescent="0.25">
      <c r="A179" s="72"/>
    </row>
    <row r="180" spans="1:1" ht="15.75" hidden="1" customHeight="1" x14ac:dyDescent="0.25">
      <c r="A180" s="72"/>
    </row>
    <row r="181" spans="1:1" ht="15.75" hidden="1" customHeight="1" x14ac:dyDescent="0.25">
      <c r="A181" s="72"/>
    </row>
    <row r="182" spans="1:1" ht="15.75" hidden="1" customHeight="1" x14ac:dyDescent="0.25">
      <c r="A182" s="72"/>
    </row>
    <row r="183" spans="1:1" ht="15.75" hidden="1" customHeight="1" x14ac:dyDescent="0.25">
      <c r="A183" s="72"/>
    </row>
    <row r="184" spans="1:1" ht="15.75" hidden="1" customHeight="1" x14ac:dyDescent="0.25">
      <c r="A184" s="72"/>
    </row>
    <row r="185" spans="1:1" ht="15.75" hidden="1" customHeight="1" x14ac:dyDescent="0.25">
      <c r="A185" s="72"/>
    </row>
    <row r="186" spans="1:1" ht="15.75" hidden="1" customHeight="1" x14ac:dyDescent="0.25">
      <c r="A186" s="72"/>
    </row>
    <row r="187" spans="1:1" ht="15.75" hidden="1" customHeight="1" x14ac:dyDescent="0.25">
      <c r="A187" s="72"/>
    </row>
    <row r="188" spans="1:1" ht="15.75" hidden="1" customHeight="1" x14ac:dyDescent="0.25">
      <c r="A188" s="72"/>
    </row>
    <row r="189" spans="1:1" ht="15.75" hidden="1" customHeight="1" x14ac:dyDescent="0.25">
      <c r="A189" s="72"/>
    </row>
    <row r="190" spans="1:1" ht="15.75" hidden="1" customHeight="1" x14ac:dyDescent="0.25">
      <c r="A190" s="72"/>
    </row>
    <row r="191" spans="1:1" ht="15.75" hidden="1" customHeight="1" x14ac:dyDescent="0.25">
      <c r="A191" s="72"/>
    </row>
    <row r="192" spans="1:1" ht="15.75" hidden="1" customHeight="1" x14ac:dyDescent="0.25">
      <c r="A192" s="72"/>
    </row>
    <row r="193" spans="1:1" ht="15.75" hidden="1" customHeight="1" x14ac:dyDescent="0.25">
      <c r="A193" s="72"/>
    </row>
    <row r="194" spans="1:1" ht="15.75" hidden="1" customHeight="1" x14ac:dyDescent="0.25">
      <c r="A194" s="72"/>
    </row>
    <row r="195" spans="1:1" ht="15.75" hidden="1" customHeight="1" x14ac:dyDescent="0.25">
      <c r="A195" s="72"/>
    </row>
    <row r="196" spans="1:1" ht="15.75" hidden="1" customHeight="1" x14ac:dyDescent="0.25">
      <c r="A196" s="72"/>
    </row>
    <row r="197" spans="1:1" ht="15.75" hidden="1" customHeight="1" x14ac:dyDescent="0.25">
      <c r="A197" s="72"/>
    </row>
    <row r="198" spans="1:1" ht="15.75" hidden="1" customHeight="1" x14ac:dyDescent="0.25">
      <c r="A198" s="72"/>
    </row>
    <row r="199" spans="1:1" ht="15.75" hidden="1" customHeight="1" x14ac:dyDescent="0.25">
      <c r="A199" s="72"/>
    </row>
    <row r="200" spans="1:1" ht="15.75" hidden="1" customHeight="1" x14ac:dyDescent="0.25">
      <c r="A200" s="72"/>
    </row>
    <row r="201" spans="1:1" ht="15.75" hidden="1" customHeight="1" x14ac:dyDescent="0.25">
      <c r="A201" s="72"/>
    </row>
    <row r="202" spans="1:1" ht="15.75" hidden="1" customHeight="1" x14ac:dyDescent="0.25">
      <c r="A202" s="72"/>
    </row>
    <row r="203" spans="1:1" ht="15.75" hidden="1" customHeight="1" x14ac:dyDescent="0.25">
      <c r="A203" s="72"/>
    </row>
    <row r="204" spans="1:1" ht="15.75" hidden="1" customHeight="1" x14ac:dyDescent="0.25">
      <c r="A204" s="72"/>
    </row>
    <row r="205" spans="1:1" ht="15.75" hidden="1" customHeight="1" x14ac:dyDescent="0.25">
      <c r="A205" s="72"/>
    </row>
    <row r="206" spans="1:1" ht="15.75" hidden="1" customHeight="1" x14ac:dyDescent="0.25">
      <c r="A206" s="72"/>
    </row>
    <row r="207" spans="1:1" ht="15.75" hidden="1" customHeight="1" x14ac:dyDescent="0.25">
      <c r="A207" s="72"/>
    </row>
    <row r="208" spans="1:1" ht="15.75" hidden="1" customHeight="1" x14ac:dyDescent="0.25">
      <c r="A208" s="72"/>
    </row>
    <row r="209" spans="1:1" ht="15.75" hidden="1" customHeight="1" x14ac:dyDescent="0.25">
      <c r="A209" s="72"/>
    </row>
    <row r="210" spans="1:1" ht="15.75" hidden="1" customHeight="1" x14ac:dyDescent="0.25">
      <c r="A210" s="72"/>
    </row>
    <row r="211" spans="1:1" ht="15.75" hidden="1" customHeight="1" x14ac:dyDescent="0.25">
      <c r="A211" s="72"/>
    </row>
    <row r="212" spans="1:1" ht="15.75" hidden="1" customHeight="1" x14ac:dyDescent="0.25">
      <c r="A212" s="72"/>
    </row>
    <row r="213" spans="1:1" ht="15.75" hidden="1" customHeight="1" x14ac:dyDescent="0.25">
      <c r="A213" s="72"/>
    </row>
    <row r="214" spans="1:1" ht="15.75" hidden="1" customHeight="1" x14ac:dyDescent="0.25">
      <c r="A214" s="72"/>
    </row>
    <row r="215" spans="1:1" ht="15.75" hidden="1" customHeight="1" x14ac:dyDescent="0.25">
      <c r="A215" s="72"/>
    </row>
    <row r="216" spans="1:1" ht="15.75" hidden="1" customHeight="1" x14ac:dyDescent="0.25">
      <c r="A216" s="72"/>
    </row>
    <row r="217" spans="1:1" ht="15.75" hidden="1" customHeight="1" x14ac:dyDescent="0.25">
      <c r="A217" s="72"/>
    </row>
    <row r="218" spans="1:1" ht="15.75" hidden="1" customHeight="1" x14ac:dyDescent="0.25">
      <c r="A218" s="72"/>
    </row>
    <row r="219" spans="1:1" ht="15.75" hidden="1" customHeight="1" x14ac:dyDescent="0.25">
      <c r="A219" s="72"/>
    </row>
    <row r="220" spans="1:1" ht="15.75" hidden="1" customHeight="1" x14ac:dyDescent="0.25">
      <c r="A220" s="72"/>
    </row>
    <row r="221" spans="1:1" ht="15.75" hidden="1" customHeight="1" x14ac:dyDescent="0.25">
      <c r="A221" s="72"/>
    </row>
    <row r="222" spans="1:1" ht="15.75" hidden="1" customHeight="1" x14ac:dyDescent="0.25">
      <c r="A222" s="72"/>
    </row>
    <row r="223" spans="1:1" ht="15.75" hidden="1" customHeight="1" x14ac:dyDescent="0.25">
      <c r="A223" s="72"/>
    </row>
    <row r="224" spans="1:1" ht="15.75" hidden="1" customHeight="1" x14ac:dyDescent="0.25">
      <c r="A224" s="72"/>
    </row>
    <row r="225" spans="1:1" ht="15.75" hidden="1" customHeight="1" x14ac:dyDescent="0.25">
      <c r="A225" s="72"/>
    </row>
    <row r="226" spans="1:1" ht="15.75" hidden="1" customHeight="1" x14ac:dyDescent="0.25">
      <c r="A226" s="72"/>
    </row>
    <row r="227" spans="1:1" ht="15.75" hidden="1" customHeight="1" x14ac:dyDescent="0.25">
      <c r="A227" s="72"/>
    </row>
    <row r="228" spans="1:1" ht="15.75" hidden="1" customHeight="1" x14ac:dyDescent="0.25">
      <c r="A228" s="72"/>
    </row>
    <row r="229" spans="1:1" ht="15.75" hidden="1" customHeight="1" x14ac:dyDescent="0.25">
      <c r="A229" s="72"/>
    </row>
    <row r="230" spans="1:1" ht="15.75" hidden="1" customHeight="1" x14ac:dyDescent="0.25">
      <c r="A230" s="72"/>
    </row>
    <row r="231" spans="1:1" ht="15.75" hidden="1" customHeight="1" x14ac:dyDescent="0.25">
      <c r="A231" s="72"/>
    </row>
    <row r="232" spans="1:1" ht="15.75" hidden="1" customHeight="1" x14ac:dyDescent="0.25">
      <c r="A232" s="72"/>
    </row>
    <row r="233" spans="1:1" ht="15.75" hidden="1" customHeight="1" x14ac:dyDescent="0.25">
      <c r="A233" s="72"/>
    </row>
    <row r="234" spans="1:1" ht="15.75" hidden="1" customHeight="1" x14ac:dyDescent="0.25">
      <c r="A234" s="72"/>
    </row>
    <row r="235" spans="1:1" ht="15.75" hidden="1" customHeight="1" x14ac:dyDescent="0.25">
      <c r="A235" s="72"/>
    </row>
    <row r="236" spans="1:1" ht="15.75" hidden="1" customHeight="1" x14ac:dyDescent="0.25">
      <c r="A236" s="72"/>
    </row>
    <row r="237" spans="1:1" ht="15.75" hidden="1" customHeight="1" x14ac:dyDescent="0.25">
      <c r="A237" s="72"/>
    </row>
    <row r="238" spans="1:1" ht="15.75" hidden="1" customHeight="1" x14ac:dyDescent="0.25">
      <c r="A238" s="72"/>
    </row>
    <row r="239" spans="1:1" ht="15.75" hidden="1" customHeight="1" x14ac:dyDescent="0.25">
      <c r="A239" s="72"/>
    </row>
    <row r="240" spans="1:1" ht="15.75" hidden="1" customHeight="1" x14ac:dyDescent="0.25">
      <c r="A240" s="72"/>
    </row>
    <row r="241" spans="1:1" ht="15.75" hidden="1" customHeight="1" x14ac:dyDescent="0.25">
      <c r="A241" s="72"/>
    </row>
    <row r="242" spans="1:1" ht="15.75" hidden="1" customHeight="1" x14ac:dyDescent="0.25">
      <c r="A242" s="72"/>
    </row>
    <row r="243" spans="1:1" ht="15.75" hidden="1" customHeight="1" x14ac:dyDescent="0.25">
      <c r="A243" s="72"/>
    </row>
    <row r="244" spans="1:1" ht="15.75" hidden="1" customHeight="1" x14ac:dyDescent="0.25">
      <c r="A244" s="72"/>
    </row>
    <row r="245" spans="1:1" ht="15.75" hidden="1" customHeight="1" x14ac:dyDescent="0.25">
      <c r="A245" s="72"/>
    </row>
    <row r="246" spans="1:1" ht="15.75" hidden="1" customHeight="1" x14ac:dyDescent="0.25">
      <c r="A246" s="72"/>
    </row>
    <row r="247" spans="1:1" ht="15.75" hidden="1" customHeight="1" x14ac:dyDescent="0.25">
      <c r="A247" s="72"/>
    </row>
    <row r="248" spans="1:1" ht="15.75" hidden="1" customHeight="1" x14ac:dyDescent="0.25">
      <c r="A248" s="72"/>
    </row>
    <row r="249" spans="1:1" ht="15.75" hidden="1" customHeight="1" x14ac:dyDescent="0.25">
      <c r="A249" s="72"/>
    </row>
    <row r="250" spans="1:1" ht="15.75" hidden="1" customHeight="1" x14ac:dyDescent="0.25">
      <c r="A250" s="72"/>
    </row>
    <row r="251" spans="1:1" ht="15.75" hidden="1" customHeight="1" x14ac:dyDescent="0.25">
      <c r="A251" s="72"/>
    </row>
    <row r="252" spans="1:1" ht="15.75" hidden="1" customHeight="1" x14ac:dyDescent="0.25">
      <c r="A252" s="72"/>
    </row>
    <row r="253" spans="1:1" ht="15.75" hidden="1" customHeight="1" x14ac:dyDescent="0.25">
      <c r="A253" s="72"/>
    </row>
    <row r="254" spans="1:1" ht="15.75" hidden="1" customHeight="1" x14ac:dyDescent="0.25">
      <c r="A254" s="72"/>
    </row>
    <row r="255" spans="1:1" ht="15.75" hidden="1" customHeight="1" x14ac:dyDescent="0.25">
      <c r="A255" s="72"/>
    </row>
    <row r="256" spans="1:1" ht="15.75" hidden="1" customHeight="1" x14ac:dyDescent="0.25">
      <c r="A256" s="72"/>
    </row>
    <row r="257" spans="1:1" ht="15.75" hidden="1" customHeight="1" x14ac:dyDescent="0.25">
      <c r="A257" s="72"/>
    </row>
    <row r="258" spans="1:1" ht="15.75" hidden="1" customHeight="1" x14ac:dyDescent="0.25">
      <c r="A258" s="72"/>
    </row>
    <row r="259" spans="1:1" ht="15.75" hidden="1" customHeight="1" x14ac:dyDescent="0.25">
      <c r="A259" s="72"/>
    </row>
    <row r="260" spans="1:1" ht="15.75" hidden="1" customHeight="1" x14ac:dyDescent="0.25">
      <c r="A260" s="72"/>
    </row>
    <row r="261" spans="1:1" ht="15.75" hidden="1" customHeight="1" x14ac:dyDescent="0.25">
      <c r="A261" s="72"/>
    </row>
    <row r="262" spans="1:1" ht="15.75" hidden="1" customHeight="1" x14ac:dyDescent="0.25">
      <c r="A262" s="72"/>
    </row>
    <row r="263" spans="1:1" ht="15.75" hidden="1" customHeight="1" x14ac:dyDescent="0.25">
      <c r="A263" s="72"/>
    </row>
    <row r="264" spans="1:1" ht="15.75" hidden="1" customHeight="1" x14ac:dyDescent="0.25">
      <c r="A264" s="72"/>
    </row>
    <row r="265" spans="1:1" ht="15.75" hidden="1" customHeight="1" x14ac:dyDescent="0.25">
      <c r="A265" s="72"/>
    </row>
    <row r="266" spans="1:1" ht="15.75" hidden="1" customHeight="1" x14ac:dyDescent="0.25">
      <c r="A266" s="72"/>
    </row>
    <row r="267" spans="1:1" ht="15.75" hidden="1" customHeight="1" x14ac:dyDescent="0.25">
      <c r="A267" s="72"/>
    </row>
    <row r="268" spans="1:1" ht="15.75" hidden="1" customHeight="1" x14ac:dyDescent="0.25">
      <c r="A268" s="72"/>
    </row>
    <row r="269" spans="1:1" ht="15.75" hidden="1" customHeight="1" x14ac:dyDescent="0.25">
      <c r="A269" s="72"/>
    </row>
    <row r="270" spans="1:1" ht="15.75" hidden="1" customHeight="1" x14ac:dyDescent="0.25">
      <c r="A270" s="72"/>
    </row>
    <row r="271" spans="1:1" ht="15.75" hidden="1" customHeight="1" x14ac:dyDescent="0.25">
      <c r="A271" s="72"/>
    </row>
    <row r="272" spans="1:1" ht="15.75" hidden="1" customHeight="1" x14ac:dyDescent="0.25">
      <c r="A272" s="72"/>
    </row>
    <row r="273" spans="1:1" ht="15.75" hidden="1" customHeight="1" x14ac:dyDescent="0.25">
      <c r="A273" s="72"/>
    </row>
    <row r="274" spans="1:1" ht="15.75" hidden="1" customHeight="1" x14ac:dyDescent="0.25">
      <c r="A274" s="72"/>
    </row>
    <row r="275" spans="1:1" ht="15.75" hidden="1" customHeight="1" x14ac:dyDescent="0.25">
      <c r="A275" s="72"/>
    </row>
    <row r="276" spans="1:1" ht="15.75" hidden="1" customHeight="1" x14ac:dyDescent="0.25">
      <c r="A276" s="72"/>
    </row>
    <row r="277" spans="1:1" ht="15.75" hidden="1" customHeight="1" x14ac:dyDescent="0.25">
      <c r="A277" s="72"/>
    </row>
    <row r="278" spans="1:1" ht="15.75" hidden="1" customHeight="1" x14ac:dyDescent="0.25">
      <c r="A278" s="72"/>
    </row>
    <row r="279" spans="1:1" ht="15.75" hidden="1" customHeight="1" x14ac:dyDescent="0.25">
      <c r="A279" s="72"/>
    </row>
    <row r="280" spans="1:1" ht="15.75" hidden="1" customHeight="1" x14ac:dyDescent="0.25">
      <c r="A280" s="72"/>
    </row>
    <row r="281" spans="1:1" ht="15.75" hidden="1" customHeight="1" x14ac:dyDescent="0.25">
      <c r="A281" s="72"/>
    </row>
    <row r="282" spans="1:1" ht="15.75" hidden="1" customHeight="1" x14ac:dyDescent="0.25">
      <c r="A282" s="72"/>
    </row>
    <row r="283" spans="1:1" ht="15.75" hidden="1" customHeight="1" x14ac:dyDescent="0.25">
      <c r="A283" s="72"/>
    </row>
    <row r="284" spans="1:1" ht="15.75" hidden="1" customHeight="1" x14ac:dyDescent="0.25">
      <c r="A284" s="72"/>
    </row>
    <row r="285" spans="1:1" ht="15.75" hidden="1" customHeight="1" x14ac:dyDescent="0.25">
      <c r="A285" s="72"/>
    </row>
    <row r="286" spans="1:1" ht="15.75" hidden="1" customHeight="1" x14ac:dyDescent="0.25">
      <c r="A286" s="72"/>
    </row>
    <row r="287" spans="1:1" ht="15.75" hidden="1" customHeight="1" x14ac:dyDescent="0.25">
      <c r="A287" s="72"/>
    </row>
    <row r="288" spans="1:1" ht="15.75" hidden="1" customHeight="1" x14ac:dyDescent="0.25">
      <c r="A288" s="72"/>
    </row>
    <row r="289" spans="1:1" ht="15.75" hidden="1" customHeight="1" x14ac:dyDescent="0.25">
      <c r="A289" s="72"/>
    </row>
    <row r="290" spans="1:1" ht="15.75" hidden="1" customHeight="1" x14ac:dyDescent="0.25">
      <c r="A290" s="72"/>
    </row>
    <row r="291" spans="1:1" ht="15.75" hidden="1" customHeight="1" x14ac:dyDescent="0.25">
      <c r="A291" s="72"/>
    </row>
    <row r="292" spans="1:1" ht="15.75" hidden="1" customHeight="1" x14ac:dyDescent="0.25">
      <c r="A292" s="72"/>
    </row>
    <row r="293" spans="1:1" ht="15.75" hidden="1" customHeight="1" x14ac:dyDescent="0.25">
      <c r="A293" s="72"/>
    </row>
    <row r="294" spans="1:1" ht="15.75" hidden="1" customHeight="1" x14ac:dyDescent="0.25">
      <c r="A294" s="72"/>
    </row>
    <row r="295" spans="1:1" ht="15.75" hidden="1" customHeight="1" x14ac:dyDescent="0.25">
      <c r="A295" s="72"/>
    </row>
    <row r="296" spans="1:1" ht="15.75" hidden="1" customHeight="1" x14ac:dyDescent="0.25">
      <c r="A296" s="72"/>
    </row>
    <row r="297" spans="1:1" ht="15.75" hidden="1" customHeight="1" x14ac:dyDescent="0.25">
      <c r="A297" s="72"/>
    </row>
    <row r="298" spans="1:1" ht="15.75" hidden="1" customHeight="1" x14ac:dyDescent="0.25">
      <c r="A298" s="72"/>
    </row>
    <row r="299" spans="1:1" ht="15.75" hidden="1" customHeight="1" x14ac:dyDescent="0.25">
      <c r="A299" s="72"/>
    </row>
    <row r="300" spans="1:1" ht="15.75" hidden="1" customHeight="1" x14ac:dyDescent="0.25">
      <c r="A300" s="72"/>
    </row>
    <row r="301" spans="1:1" ht="15.75" hidden="1" customHeight="1" x14ac:dyDescent="0.25">
      <c r="A301" s="72"/>
    </row>
    <row r="302" spans="1:1" ht="15.75" hidden="1" customHeight="1" x14ac:dyDescent="0.25">
      <c r="A302" s="72"/>
    </row>
    <row r="303" spans="1:1" ht="15.75" hidden="1" customHeight="1" x14ac:dyDescent="0.25">
      <c r="A303" s="72"/>
    </row>
    <row r="304" spans="1:1" ht="15.75" hidden="1" customHeight="1" x14ac:dyDescent="0.25">
      <c r="A304" s="72"/>
    </row>
    <row r="305" spans="1:1" ht="15.75" hidden="1" customHeight="1" x14ac:dyDescent="0.25">
      <c r="A305" s="72"/>
    </row>
    <row r="306" spans="1:1" ht="15.75" hidden="1" customHeight="1" x14ac:dyDescent="0.25">
      <c r="A306" s="72"/>
    </row>
    <row r="307" spans="1:1" ht="15.75" hidden="1" customHeight="1" x14ac:dyDescent="0.25">
      <c r="A307" s="72"/>
    </row>
    <row r="308" spans="1:1" ht="15.75" hidden="1" customHeight="1" x14ac:dyDescent="0.25">
      <c r="A308" s="72"/>
    </row>
    <row r="309" spans="1:1" ht="15.75" hidden="1" customHeight="1" x14ac:dyDescent="0.25">
      <c r="A309" s="72"/>
    </row>
    <row r="310" spans="1:1" ht="15.75" hidden="1" customHeight="1" x14ac:dyDescent="0.25">
      <c r="A310" s="72"/>
    </row>
    <row r="311" spans="1:1" ht="15.75" hidden="1" customHeight="1" x14ac:dyDescent="0.25">
      <c r="A311" s="72"/>
    </row>
    <row r="312" spans="1:1" ht="15.75" hidden="1" customHeight="1" x14ac:dyDescent="0.25">
      <c r="A312" s="72"/>
    </row>
    <row r="313" spans="1:1" ht="15.75" hidden="1" customHeight="1" x14ac:dyDescent="0.25">
      <c r="A313" s="72"/>
    </row>
    <row r="314" spans="1:1" ht="15.75" hidden="1" customHeight="1" x14ac:dyDescent="0.25">
      <c r="A314" s="72"/>
    </row>
    <row r="315" spans="1:1" ht="15.75" hidden="1" customHeight="1" x14ac:dyDescent="0.25">
      <c r="A315" s="72"/>
    </row>
    <row r="316" spans="1:1" ht="15.75" hidden="1" customHeight="1" x14ac:dyDescent="0.25">
      <c r="A316" s="72"/>
    </row>
    <row r="317" spans="1:1" ht="15.75" hidden="1" customHeight="1" x14ac:dyDescent="0.25">
      <c r="A317" s="72"/>
    </row>
    <row r="318" spans="1:1" ht="15.75" hidden="1" customHeight="1" x14ac:dyDescent="0.25">
      <c r="A318" s="72"/>
    </row>
    <row r="319" spans="1:1" ht="15.75" hidden="1" customHeight="1" x14ac:dyDescent="0.25">
      <c r="A319" s="72"/>
    </row>
    <row r="320" spans="1:1" ht="15.75" hidden="1" customHeight="1" x14ac:dyDescent="0.25">
      <c r="A320" s="72"/>
    </row>
    <row r="321" spans="1:1" ht="15.75" hidden="1" customHeight="1" x14ac:dyDescent="0.25">
      <c r="A321" s="72"/>
    </row>
    <row r="322" spans="1:1" ht="15.75" hidden="1" customHeight="1" x14ac:dyDescent="0.25">
      <c r="A322" s="72"/>
    </row>
    <row r="323" spans="1:1" ht="15.75" hidden="1" customHeight="1" x14ac:dyDescent="0.25">
      <c r="A323" s="72"/>
    </row>
    <row r="324" spans="1:1" ht="15.75" hidden="1" customHeight="1" x14ac:dyDescent="0.25">
      <c r="A324" s="72"/>
    </row>
    <row r="325" spans="1:1" ht="15.75" hidden="1" customHeight="1" x14ac:dyDescent="0.25">
      <c r="A325" s="72"/>
    </row>
    <row r="326" spans="1:1" ht="15.75" hidden="1" customHeight="1" x14ac:dyDescent="0.25">
      <c r="A326" s="72"/>
    </row>
    <row r="327" spans="1:1" ht="15.75" hidden="1" customHeight="1" x14ac:dyDescent="0.25">
      <c r="A327" s="72"/>
    </row>
    <row r="328" spans="1:1" ht="15.75" hidden="1" customHeight="1" x14ac:dyDescent="0.25">
      <c r="A328" s="72"/>
    </row>
    <row r="329" spans="1:1" ht="15.75" hidden="1" customHeight="1" x14ac:dyDescent="0.25">
      <c r="A329" s="72"/>
    </row>
    <row r="330" spans="1:1" ht="15.75" hidden="1" customHeight="1" x14ac:dyDescent="0.25">
      <c r="A330" s="72"/>
    </row>
    <row r="331" spans="1:1" ht="15.75" hidden="1" customHeight="1" x14ac:dyDescent="0.25">
      <c r="A331" s="72"/>
    </row>
    <row r="332" spans="1:1" ht="15.75" hidden="1" customHeight="1" x14ac:dyDescent="0.25">
      <c r="A332" s="72"/>
    </row>
    <row r="333" spans="1:1" ht="15.75" hidden="1" customHeight="1" x14ac:dyDescent="0.25">
      <c r="A333" s="72"/>
    </row>
    <row r="334" spans="1:1" ht="15.75" hidden="1" customHeight="1" x14ac:dyDescent="0.25">
      <c r="A334" s="72"/>
    </row>
    <row r="335" spans="1:1" ht="15.75" hidden="1" customHeight="1" x14ac:dyDescent="0.25">
      <c r="A335" s="72"/>
    </row>
    <row r="336" spans="1:1" ht="15.75" hidden="1" customHeight="1" x14ac:dyDescent="0.25">
      <c r="A336" s="72"/>
    </row>
    <row r="337" spans="1:1" ht="15.75" hidden="1" customHeight="1" x14ac:dyDescent="0.25">
      <c r="A337" s="72"/>
    </row>
    <row r="338" spans="1:1" ht="15.75" hidden="1" customHeight="1" x14ac:dyDescent="0.25">
      <c r="A338" s="72"/>
    </row>
    <row r="339" spans="1:1" ht="15.75" hidden="1" customHeight="1" x14ac:dyDescent="0.25">
      <c r="A339" s="72"/>
    </row>
    <row r="340" spans="1:1" ht="15.75" hidden="1" customHeight="1" x14ac:dyDescent="0.25">
      <c r="A340" s="72"/>
    </row>
    <row r="341" spans="1:1" ht="15.75" hidden="1" customHeight="1" x14ac:dyDescent="0.25">
      <c r="A341" s="72"/>
    </row>
    <row r="342" spans="1:1" ht="15.75" hidden="1" customHeight="1" x14ac:dyDescent="0.25">
      <c r="A342" s="72"/>
    </row>
    <row r="343" spans="1:1" ht="15.75" hidden="1" customHeight="1" x14ac:dyDescent="0.25">
      <c r="A343" s="72"/>
    </row>
    <row r="344" spans="1:1" ht="15.75" hidden="1" customHeight="1" x14ac:dyDescent="0.25">
      <c r="A344" s="72"/>
    </row>
    <row r="345" spans="1:1" ht="15.75" hidden="1" customHeight="1" x14ac:dyDescent="0.25">
      <c r="A345" s="72"/>
    </row>
    <row r="346" spans="1:1" ht="15.75" hidden="1" customHeight="1" x14ac:dyDescent="0.25">
      <c r="A346" s="72"/>
    </row>
    <row r="347" spans="1:1" ht="15.75" hidden="1" customHeight="1" x14ac:dyDescent="0.25">
      <c r="A347" s="72"/>
    </row>
    <row r="348" spans="1:1" ht="15.75" hidden="1" customHeight="1" x14ac:dyDescent="0.25">
      <c r="A348" s="72"/>
    </row>
    <row r="349" spans="1:1" ht="15.75" hidden="1" customHeight="1" x14ac:dyDescent="0.25">
      <c r="A349" s="72"/>
    </row>
    <row r="350" spans="1:1" ht="15.75" hidden="1" customHeight="1" x14ac:dyDescent="0.25">
      <c r="A350" s="72"/>
    </row>
    <row r="351" spans="1:1" ht="15.75" hidden="1" customHeight="1" x14ac:dyDescent="0.25">
      <c r="A351" s="72"/>
    </row>
    <row r="352" spans="1:1" ht="15.75" hidden="1" customHeight="1" x14ac:dyDescent="0.25">
      <c r="A352" s="72"/>
    </row>
    <row r="353" spans="1:1" ht="15.75" hidden="1" customHeight="1" x14ac:dyDescent="0.25">
      <c r="A353" s="72"/>
    </row>
    <row r="354" spans="1:1" ht="15.75" hidden="1" customHeight="1" x14ac:dyDescent="0.25">
      <c r="A354" s="72"/>
    </row>
    <row r="355" spans="1:1" ht="15.75" hidden="1" customHeight="1" x14ac:dyDescent="0.25">
      <c r="A355" s="72"/>
    </row>
    <row r="356" spans="1:1" ht="15.75" hidden="1" customHeight="1" x14ac:dyDescent="0.25">
      <c r="A356" s="72"/>
    </row>
    <row r="357" spans="1:1" ht="15.75" hidden="1" customHeight="1" x14ac:dyDescent="0.25">
      <c r="A357" s="72"/>
    </row>
    <row r="358" spans="1:1" ht="15.75" hidden="1" customHeight="1" x14ac:dyDescent="0.25">
      <c r="A358" s="72"/>
    </row>
    <row r="359" spans="1:1" ht="15.75" hidden="1" customHeight="1" x14ac:dyDescent="0.25">
      <c r="A359" s="72"/>
    </row>
    <row r="360" spans="1:1" ht="15.75" hidden="1" customHeight="1" x14ac:dyDescent="0.25">
      <c r="A360" s="72"/>
    </row>
    <row r="361" spans="1:1" ht="15.75" hidden="1" customHeight="1" x14ac:dyDescent="0.25">
      <c r="A361" s="72"/>
    </row>
    <row r="362" spans="1:1" ht="15.75" hidden="1" customHeight="1" x14ac:dyDescent="0.25">
      <c r="A362" s="72"/>
    </row>
    <row r="363" spans="1:1" ht="15.75" hidden="1" customHeight="1" x14ac:dyDescent="0.25">
      <c r="A363" s="72"/>
    </row>
    <row r="364" spans="1:1" ht="15.75" hidden="1" customHeight="1" x14ac:dyDescent="0.25">
      <c r="A364" s="72"/>
    </row>
    <row r="365" spans="1:1" ht="15.75" hidden="1" customHeight="1" x14ac:dyDescent="0.25">
      <c r="A365" s="72"/>
    </row>
    <row r="366" spans="1:1" ht="15.75" hidden="1" customHeight="1" x14ac:dyDescent="0.25">
      <c r="A366" s="72"/>
    </row>
    <row r="367" spans="1:1" ht="15.75" hidden="1" customHeight="1" x14ac:dyDescent="0.25">
      <c r="A367" s="72"/>
    </row>
    <row r="368" spans="1:1" ht="15.75" hidden="1" customHeight="1" x14ac:dyDescent="0.25">
      <c r="A368" s="72"/>
    </row>
    <row r="369" spans="1:1" ht="15.75" hidden="1" customHeight="1" x14ac:dyDescent="0.25">
      <c r="A369" s="72"/>
    </row>
    <row r="370" spans="1:1" ht="15.75" hidden="1" customHeight="1" x14ac:dyDescent="0.25">
      <c r="A370" s="72"/>
    </row>
    <row r="371" spans="1:1" ht="15.75" hidden="1" customHeight="1" x14ac:dyDescent="0.25">
      <c r="A371" s="72"/>
    </row>
    <row r="372" spans="1:1" ht="15.75" hidden="1" customHeight="1" x14ac:dyDescent="0.25">
      <c r="A372" s="72"/>
    </row>
    <row r="373" spans="1:1" ht="15.75" hidden="1" customHeight="1" x14ac:dyDescent="0.25">
      <c r="A373" s="72"/>
    </row>
    <row r="374" spans="1:1" ht="15.75" hidden="1" customHeight="1" x14ac:dyDescent="0.25">
      <c r="A374" s="72"/>
    </row>
    <row r="375" spans="1:1" ht="15.75" hidden="1" customHeight="1" x14ac:dyDescent="0.25">
      <c r="A375" s="72"/>
    </row>
    <row r="376" spans="1:1" ht="15.75" hidden="1" customHeight="1" x14ac:dyDescent="0.25">
      <c r="A376" s="72"/>
    </row>
    <row r="377" spans="1:1" ht="15.75" hidden="1" customHeight="1" x14ac:dyDescent="0.25">
      <c r="A377" s="72"/>
    </row>
    <row r="378" spans="1:1" ht="15.75" hidden="1" customHeight="1" x14ac:dyDescent="0.25">
      <c r="A378" s="72"/>
    </row>
    <row r="379" spans="1:1" ht="15.75" hidden="1" customHeight="1" x14ac:dyDescent="0.25">
      <c r="A379" s="72"/>
    </row>
    <row r="380" spans="1:1" ht="15.75" hidden="1" customHeight="1" x14ac:dyDescent="0.25">
      <c r="A380" s="72"/>
    </row>
    <row r="381" spans="1:1" ht="15.75" hidden="1" customHeight="1" x14ac:dyDescent="0.25">
      <c r="A381" s="72"/>
    </row>
    <row r="382" spans="1:1" ht="15.75" hidden="1" customHeight="1" x14ac:dyDescent="0.25">
      <c r="A382" s="72"/>
    </row>
    <row r="383" spans="1:1" ht="15.75" hidden="1" customHeight="1" x14ac:dyDescent="0.25">
      <c r="A383" s="72"/>
    </row>
    <row r="384" spans="1:1" ht="15.75" hidden="1" customHeight="1" x14ac:dyDescent="0.25">
      <c r="A384" s="72"/>
    </row>
    <row r="385" spans="1:1" ht="15.75" hidden="1" customHeight="1" x14ac:dyDescent="0.25">
      <c r="A385" s="72"/>
    </row>
    <row r="386" spans="1:1" ht="15.75" hidden="1" customHeight="1" x14ac:dyDescent="0.25">
      <c r="A386" s="72"/>
    </row>
    <row r="387" spans="1:1" ht="15.75" hidden="1" customHeight="1" x14ac:dyDescent="0.25">
      <c r="A387" s="72"/>
    </row>
    <row r="388" spans="1:1" ht="15.75" hidden="1" customHeight="1" x14ac:dyDescent="0.25">
      <c r="A388" s="72"/>
    </row>
    <row r="389" spans="1:1" ht="15.75" hidden="1" customHeight="1" x14ac:dyDescent="0.25">
      <c r="A389" s="72"/>
    </row>
    <row r="390" spans="1:1" ht="15.75" hidden="1" customHeight="1" x14ac:dyDescent="0.25">
      <c r="A390" s="72"/>
    </row>
    <row r="391" spans="1:1" ht="15.75" hidden="1" customHeight="1" x14ac:dyDescent="0.25">
      <c r="A391" s="72"/>
    </row>
    <row r="392" spans="1:1" ht="15.75" hidden="1" customHeight="1" x14ac:dyDescent="0.25">
      <c r="A392" s="72"/>
    </row>
    <row r="393" spans="1:1" ht="15.75" hidden="1" customHeight="1" x14ac:dyDescent="0.25">
      <c r="A393" s="72"/>
    </row>
    <row r="394" spans="1:1" ht="15.75" hidden="1" customHeight="1" x14ac:dyDescent="0.25">
      <c r="A394" s="72"/>
    </row>
    <row r="395" spans="1:1" ht="15.75" hidden="1" customHeight="1" x14ac:dyDescent="0.25">
      <c r="A395" s="72"/>
    </row>
    <row r="396" spans="1:1" ht="15.75" hidden="1" customHeight="1" x14ac:dyDescent="0.25">
      <c r="A396" s="72"/>
    </row>
    <row r="397" spans="1:1" ht="15.75" hidden="1" customHeight="1" x14ac:dyDescent="0.25">
      <c r="A397" s="72"/>
    </row>
    <row r="398" spans="1:1" ht="15.75" hidden="1" customHeight="1" x14ac:dyDescent="0.25">
      <c r="A398" s="72"/>
    </row>
    <row r="399" spans="1:1" ht="15.75" hidden="1" customHeight="1" x14ac:dyDescent="0.25">
      <c r="A399" s="72"/>
    </row>
    <row r="400" spans="1:1" ht="15.75" hidden="1" customHeight="1" x14ac:dyDescent="0.25">
      <c r="A400" s="72"/>
    </row>
    <row r="401" spans="1:1" ht="15.75" hidden="1" customHeight="1" x14ac:dyDescent="0.25">
      <c r="A401" s="72"/>
    </row>
    <row r="402" spans="1:1" ht="15.75" hidden="1" customHeight="1" x14ac:dyDescent="0.25">
      <c r="A402" s="72"/>
    </row>
    <row r="403" spans="1:1" ht="15.75" hidden="1" customHeight="1" x14ac:dyDescent="0.25">
      <c r="A403" s="72"/>
    </row>
    <row r="404" spans="1:1" ht="15.75" hidden="1" customHeight="1" x14ac:dyDescent="0.25">
      <c r="A404" s="72"/>
    </row>
    <row r="405" spans="1:1" ht="15.75" hidden="1" customHeight="1" x14ac:dyDescent="0.25">
      <c r="A405" s="72"/>
    </row>
    <row r="406" spans="1:1" ht="15.75" hidden="1" customHeight="1" x14ac:dyDescent="0.25">
      <c r="A406" s="72"/>
    </row>
    <row r="407" spans="1:1" ht="15.75" hidden="1" customHeight="1" x14ac:dyDescent="0.25">
      <c r="A407" s="72"/>
    </row>
    <row r="408" spans="1:1" ht="15.75" hidden="1" customHeight="1" x14ac:dyDescent="0.25">
      <c r="A408" s="72"/>
    </row>
    <row r="409" spans="1:1" ht="15.75" hidden="1" customHeight="1" x14ac:dyDescent="0.25">
      <c r="A409" s="72"/>
    </row>
    <row r="410" spans="1:1" ht="15.75" hidden="1" customHeight="1" x14ac:dyDescent="0.25">
      <c r="A410" s="72"/>
    </row>
    <row r="411" spans="1:1" ht="15.75" hidden="1" customHeight="1" x14ac:dyDescent="0.25">
      <c r="A411" s="72"/>
    </row>
    <row r="412" spans="1:1" ht="15.75" hidden="1" customHeight="1" x14ac:dyDescent="0.25">
      <c r="A412" s="72"/>
    </row>
    <row r="413" spans="1:1" ht="15.75" hidden="1" customHeight="1" x14ac:dyDescent="0.25">
      <c r="A413" s="72"/>
    </row>
    <row r="414" spans="1:1" ht="15.75" hidden="1" customHeight="1" x14ac:dyDescent="0.25">
      <c r="A414" s="72"/>
    </row>
    <row r="415" spans="1:1" ht="15.75" hidden="1" customHeight="1" x14ac:dyDescent="0.25">
      <c r="A415" s="72"/>
    </row>
    <row r="416" spans="1:1" ht="15.75" hidden="1" customHeight="1" x14ac:dyDescent="0.25">
      <c r="A416" s="72"/>
    </row>
    <row r="417" spans="1:1" ht="15.75" hidden="1" customHeight="1" x14ac:dyDescent="0.25">
      <c r="A417" s="72"/>
    </row>
    <row r="418" spans="1:1" ht="15.75" hidden="1" customHeight="1" x14ac:dyDescent="0.25">
      <c r="A418" s="72"/>
    </row>
    <row r="419" spans="1:1" ht="15.75" hidden="1" customHeight="1" x14ac:dyDescent="0.25">
      <c r="A419" s="72"/>
    </row>
    <row r="420" spans="1:1" ht="15.75" hidden="1" customHeight="1" x14ac:dyDescent="0.25">
      <c r="A420" s="72"/>
    </row>
    <row r="421" spans="1:1" ht="15.75" hidden="1" customHeight="1" x14ac:dyDescent="0.25">
      <c r="A421" s="72"/>
    </row>
    <row r="422" spans="1:1" ht="15.75" hidden="1" customHeight="1" x14ac:dyDescent="0.25">
      <c r="A422" s="72"/>
    </row>
    <row r="423" spans="1:1" ht="15.75" hidden="1" customHeight="1" x14ac:dyDescent="0.25">
      <c r="A423" s="72"/>
    </row>
    <row r="424" spans="1:1" ht="15.75" hidden="1" customHeight="1" x14ac:dyDescent="0.25">
      <c r="A424" s="72"/>
    </row>
    <row r="425" spans="1:1" ht="15.75" hidden="1" customHeight="1" x14ac:dyDescent="0.25">
      <c r="A425" s="72"/>
    </row>
    <row r="426" spans="1:1" ht="15.75" hidden="1" customHeight="1" x14ac:dyDescent="0.25">
      <c r="A426" s="72"/>
    </row>
    <row r="427" spans="1:1" ht="15.75" hidden="1" customHeight="1" x14ac:dyDescent="0.25">
      <c r="A427" s="72"/>
    </row>
    <row r="428" spans="1:1" ht="15.75" hidden="1" customHeight="1" x14ac:dyDescent="0.25">
      <c r="A428" s="72"/>
    </row>
    <row r="429" spans="1:1" ht="15.75" hidden="1" customHeight="1" x14ac:dyDescent="0.25">
      <c r="A429" s="72"/>
    </row>
    <row r="430" spans="1:1" ht="15.75" hidden="1" customHeight="1" x14ac:dyDescent="0.25">
      <c r="A430" s="72"/>
    </row>
    <row r="431" spans="1:1" ht="15.75" hidden="1" customHeight="1" x14ac:dyDescent="0.25">
      <c r="A431" s="72"/>
    </row>
    <row r="432" spans="1:1" ht="15.75" hidden="1" customHeight="1" x14ac:dyDescent="0.25">
      <c r="A432" s="72"/>
    </row>
    <row r="433" spans="1:1" ht="15.75" hidden="1" customHeight="1" x14ac:dyDescent="0.25">
      <c r="A433" s="72"/>
    </row>
    <row r="434" spans="1:1" ht="15.75" hidden="1" customHeight="1" x14ac:dyDescent="0.25">
      <c r="A434" s="72"/>
    </row>
    <row r="435" spans="1:1" ht="15.75" hidden="1" customHeight="1" x14ac:dyDescent="0.25">
      <c r="A435" s="72"/>
    </row>
    <row r="436" spans="1:1" ht="15.75" hidden="1" customHeight="1" x14ac:dyDescent="0.25">
      <c r="A436" s="72"/>
    </row>
    <row r="437" spans="1:1" ht="15.75" hidden="1" customHeight="1" x14ac:dyDescent="0.25">
      <c r="A437" s="72"/>
    </row>
    <row r="438" spans="1:1" ht="15.75" hidden="1" customHeight="1" x14ac:dyDescent="0.25">
      <c r="A438" s="72"/>
    </row>
    <row r="439" spans="1:1" ht="15.75" hidden="1" customHeight="1" x14ac:dyDescent="0.25">
      <c r="A439" s="72"/>
    </row>
    <row r="440" spans="1:1" ht="15.75" hidden="1" customHeight="1" x14ac:dyDescent="0.25">
      <c r="A440" s="72"/>
    </row>
    <row r="441" spans="1:1" ht="15.75" hidden="1" customHeight="1" x14ac:dyDescent="0.25">
      <c r="A441" s="72"/>
    </row>
    <row r="442" spans="1:1" ht="15.75" hidden="1" customHeight="1" x14ac:dyDescent="0.25">
      <c r="A442" s="72"/>
    </row>
    <row r="443" spans="1:1" ht="15.75" hidden="1" customHeight="1" x14ac:dyDescent="0.25">
      <c r="A443" s="72"/>
    </row>
    <row r="444" spans="1:1" ht="15.75" hidden="1" customHeight="1" x14ac:dyDescent="0.25">
      <c r="A444" s="72"/>
    </row>
    <row r="445" spans="1:1" ht="15.75" hidden="1" customHeight="1" x14ac:dyDescent="0.25">
      <c r="A445" s="72"/>
    </row>
    <row r="446" spans="1:1" ht="15.75" hidden="1" customHeight="1" x14ac:dyDescent="0.25">
      <c r="A446" s="72"/>
    </row>
    <row r="447" spans="1:1" ht="15.75" hidden="1" customHeight="1" x14ac:dyDescent="0.25">
      <c r="A447" s="72"/>
    </row>
    <row r="448" spans="1:1" ht="15.75" hidden="1" customHeight="1" x14ac:dyDescent="0.25">
      <c r="A448" s="72"/>
    </row>
    <row r="449" spans="1:1" ht="15.75" hidden="1" customHeight="1" x14ac:dyDescent="0.25">
      <c r="A449" s="72"/>
    </row>
    <row r="450" spans="1:1" ht="15.75" hidden="1" customHeight="1" x14ac:dyDescent="0.25">
      <c r="A450" s="72"/>
    </row>
    <row r="451" spans="1:1" ht="15.75" hidden="1" customHeight="1" x14ac:dyDescent="0.25">
      <c r="A451" s="72"/>
    </row>
    <row r="452" spans="1:1" ht="15.75" hidden="1" customHeight="1" x14ac:dyDescent="0.25">
      <c r="A452" s="72"/>
    </row>
    <row r="453" spans="1:1" ht="15.75" hidden="1" customHeight="1" x14ac:dyDescent="0.25">
      <c r="A453" s="72"/>
    </row>
    <row r="454" spans="1:1" ht="15.75" hidden="1" customHeight="1" x14ac:dyDescent="0.25">
      <c r="A454" s="72"/>
    </row>
    <row r="455" spans="1:1" ht="15.75" hidden="1" customHeight="1" x14ac:dyDescent="0.25">
      <c r="A455" s="72"/>
    </row>
    <row r="456" spans="1:1" ht="15.75" hidden="1" customHeight="1" x14ac:dyDescent="0.25">
      <c r="A456" s="72"/>
    </row>
    <row r="457" spans="1:1" ht="15.75" hidden="1" customHeight="1" x14ac:dyDescent="0.25">
      <c r="A457" s="72"/>
    </row>
    <row r="458" spans="1:1" ht="15.75" hidden="1" customHeight="1" x14ac:dyDescent="0.25">
      <c r="A458" s="72"/>
    </row>
    <row r="459" spans="1:1" ht="15.75" hidden="1" customHeight="1" x14ac:dyDescent="0.25">
      <c r="A459" s="72"/>
    </row>
    <row r="460" spans="1:1" ht="15.75" hidden="1" customHeight="1" x14ac:dyDescent="0.25">
      <c r="A460" s="72"/>
    </row>
    <row r="461" spans="1:1" ht="15.75" hidden="1" customHeight="1" x14ac:dyDescent="0.25">
      <c r="A461" s="72"/>
    </row>
    <row r="462" spans="1:1" ht="15.75" hidden="1" customHeight="1" x14ac:dyDescent="0.25">
      <c r="A462" s="72"/>
    </row>
    <row r="463" spans="1:1" ht="15.75" hidden="1" customHeight="1" x14ac:dyDescent="0.25">
      <c r="A463" s="72"/>
    </row>
    <row r="464" spans="1:1" ht="15.75" hidden="1" customHeight="1" x14ac:dyDescent="0.25">
      <c r="A464" s="72"/>
    </row>
    <row r="465" spans="1:1" ht="15.75" hidden="1" customHeight="1" x14ac:dyDescent="0.25">
      <c r="A465" s="72"/>
    </row>
    <row r="466" spans="1:1" ht="15.75" hidden="1" customHeight="1" x14ac:dyDescent="0.25">
      <c r="A466" s="72"/>
    </row>
    <row r="467" spans="1:1" ht="15.75" hidden="1" customHeight="1" x14ac:dyDescent="0.25">
      <c r="A467" s="72"/>
    </row>
    <row r="468" spans="1:1" ht="15.75" hidden="1" customHeight="1" x14ac:dyDescent="0.25">
      <c r="A468" s="72"/>
    </row>
    <row r="469" spans="1:1" ht="15.75" hidden="1" customHeight="1" x14ac:dyDescent="0.25">
      <c r="A469" s="72"/>
    </row>
    <row r="470" spans="1:1" ht="15.75" hidden="1" customHeight="1" x14ac:dyDescent="0.25">
      <c r="A470" s="72"/>
    </row>
    <row r="471" spans="1:1" ht="15.75" hidden="1" customHeight="1" x14ac:dyDescent="0.25">
      <c r="A471" s="72"/>
    </row>
    <row r="472" spans="1:1" ht="15.75" hidden="1" customHeight="1" x14ac:dyDescent="0.25">
      <c r="A472" s="72"/>
    </row>
    <row r="473" spans="1:1" ht="15.75" hidden="1" customHeight="1" x14ac:dyDescent="0.25">
      <c r="A473" s="72"/>
    </row>
    <row r="474" spans="1:1" ht="15.75" hidden="1" customHeight="1" x14ac:dyDescent="0.25">
      <c r="A474" s="72"/>
    </row>
    <row r="475" spans="1:1" ht="15.75" hidden="1" customHeight="1" x14ac:dyDescent="0.25">
      <c r="A475" s="72"/>
    </row>
    <row r="476" spans="1:1" ht="15.75" hidden="1" customHeight="1" x14ac:dyDescent="0.25">
      <c r="A476" s="72"/>
    </row>
    <row r="477" spans="1:1" ht="15.75" hidden="1" customHeight="1" x14ac:dyDescent="0.25">
      <c r="A477" s="72"/>
    </row>
    <row r="478" spans="1:1" ht="15.75" hidden="1" customHeight="1" x14ac:dyDescent="0.25">
      <c r="A478" s="72"/>
    </row>
    <row r="479" spans="1:1" ht="15.75" hidden="1" customHeight="1" x14ac:dyDescent="0.25">
      <c r="A479" s="72"/>
    </row>
    <row r="480" spans="1:1" ht="15.75" hidden="1" customHeight="1" x14ac:dyDescent="0.25">
      <c r="A480" s="72"/>
    </row>
    <row r="481" spans="1:1" ht="15.75" hidden="1" customHeight="1" x14ac:dyDescent="0.25">
      <c r="A481" s="72"/>
    </row>
    <row r="482" spans="1:1" ht="15.75" hidden="1" customHeight="1" x14ac:dyDescent="0.25">
      <c r="A482" s="72"/>
    </row>
    <row r="483" spans="1:1" ht="15.75" hidden="1" customHeight="1" x14ac:dyDescent="0.25">
      <c r="A483" s="72"/>
    </row>
    <row r="484" spans="1:1" ht="15.75" hidden="1" customHeight="1" x14ac:dyDescent="0.25">
      <c r="A484" s="72"/>
    </row>
    <row r="485" spans="1:1" ht="15.75" hidden="1" customHeight="1" x14ac:dyDescent="0.25">
      <c r="A485" s="72"/>
    </row>
    <row r="486" spans="1:1" ht="15.75" hidden="1" customHeight="1" x14ac:dyDescent="0.25">
      <c r="A486" s="72"/>
    </row>
    <row r="487" spans="1:1" ht="15.75" hidden="1" customHeight="1" x14ac:dyDescent="0.25">
      <c r="A487" s="72"/>
    </row>
    <row r="488" spans="1:1" ht="15.75" hidden="1" customHeight="1" x14ac:dyDescent="0.25">
      <c r="A488" s="72"/>
    </row>
    <row r="489" spans="1:1" ht="15.75" hidden="1" customHeight="1" x14ac:dyDescent="0.25">
      <c r="A489" s="72"/>
    </row>
    <row r="490" spans="1:1" ht="15.75" hidden="1" customHeight="1" x14ac:dyDescent="0.25">
      <c r="A490" s="72"/>
    </row>
    <row r="491" spans="1:1" ht="15.75" hidden="1" customHeight="1" x14ac:dyDescent="0.25">
      <c r="A491" s="72"/>
    </row>
    <row r="492" spans="1:1" ht="15.75" hidden="1" customHeight="1" x14ac:dyDescent="0.25">
      <c r="A492" s="72"/>
    </row>
    <row r="493" spans="1:1" ht="15.75" hidden="1" customHeight="1" x14ac:dyDescent="0.25">
      <c r="A493" s="72"/>
    </row>
    <row r="494" spans="1:1" ht="15.75" hidden="1" customHeight="1" x14ac:dyDescent="0.25">
      <c r="A494" s="72"/>
    </row>
    <row r="495" spans="1:1" ht="15.75" hidden="1" customHeight="1" x14ac:dyDescent="0.25">
      <c r="A495" s="72"/>
    </row>
    <row r="496" spans="1:1" ht="15.75" hidden="1" customHeight="1" x14ac:dyDescent="0.25">
      <c r="A496" s="72"/>
    </row>
    <row r="497" spans="1:1" ht="15.75" hidden="1" customHeight="1" x14ac:dyDescent="0.25">
      <c r="A497" s="72"/>
    </row>
    <row r="498" spans="1:1" ht="15.75" hidden="1" customHeight="1" x14ac:dyDescent="0.25">
      <c r="A498" s="72"/>
    </row>
    <row r="499" spans="1:1" ht="15.75" hidden="1" customHeight="1" x14ac:dyDescent="0.25">
      <c r="A499" s="72"/>
    </row>
    <row r="500" spans="1:1" ht="15.75" hidden="1" customHeight="1" x14ac:dyDescent="0.25">
      <c r="A500" s="72"/>
    </row>
    <row r="501" spans="1:1" ht="15.75" hidden="1" customHeight="1" x14ac:dyDescent="0.25">
      <c r="A501" s="72"/>
    </row>
    <row r="502" spans="1:1" ht="15.75" hidden="1" customHeight="1" x14ac:dyDescent="0.25">
      <c r="A502" s="72"/>
    </row>
    <row r="503" spans="1:1" ht="15.75" hidden="1" customHeight="1" x14ac:dyDescent="0.25">
      <c r="A503" s="72"/>
    </row>
    <row r="504" spans="1:1" ht="15.75" hidden="1" customHeight="1" x14ac:dyDescent="0.25">
      <c r="A504" s="72"/>
    </row>
    <row r="505" spans="1:1" ht="15.75" hidden="1" customHeight="1" x14ac:dyDescent="0.25">
      <c r="A505" s="72"/>
    </row>
    <row r="506" spans="1:1" ht="15.75" hidden="1" customHeight="1" x14ac:dyDescent="0.25">
      <c r="A506" s="72"/>
    </row>
    <row r="507" spans="1:1" ht="15.75" hidden="1" customHeight="1" x14ac:dyDescent="0.25">
      <c r="A507" s="72"/>
    </row>
    <row r="508" spans="1:1" ht="15.75" hidden="1" customHeight="1" x14ac:dyDescent="0.25">
      <c r="A508" s="72"/>
    </row>
    <row r="509" spans="1:1" ht="15.75" hidden="1" customHeight="1" x14ac:dyDescent="0.25">
      <c r="A509" s="72"/>
    </row>
    <row r="510" spans="1:1" ht="15.75" hidden="1" customHeight="1" x14ac:dyDescent="0.25">
      <c r="A510" s="72"/>
    </row>
    <row r="511" spans="1:1" ht="15.75" hidden="1" customHeight="1" x14ac:dyDescent="0.25">
      <c r="A511" s="72"/>
    </row>
    <row r="512" spans="1:1" ht="15.75" hidden="1" customHeight="1" x14ac:dyDescent="0.25">
      <c r="A512" s="72"/>
    </row>
    <row r="513" spans="1:1" ht="15.75" hidden="1" customHeight="1" x14ac:dyDescent="0.25">
      <c r="A513" s="72"/>
    </row>
    <row r="514" spans="1:1" ht="15.75" hidden="1" customHeight="1" x14ac:dyDescent="0.25">
      <c r="A514" s="72"/>
    </row>
    <row r="515" spans="1:1" ht="15.75" hidden="1" customHeight="1" x14ac:dyDescent="0.25">
      <c r="A515" s="72"/>
    </row>
    <row r="516" spans="1:1" ht="15.75" hidden="1" customHeight="1" x14ac:dyDescent="0.25">
      <c r="A516" s="72"/>
    </row>
    <row r="517" spans="1:1" ht="15.75" hidden="1" customHeight="1" x14ac:dyDescent="0.25">
      <c r="A517" s="72"/>
    </row>
    <row r="518" spans="1:1" ht="15.75" hidden="1" customHeight="1" x14ac:dyDescent="0.25">
      <c r="A518" s="72"/>
    </row>
    <row r="519" spans="1:1" ht="15.75" hidden="1" customHeight="1" x14ac:dyDescent="0.25">
      <c r="A519" s="72"/>
    </row>
    <row r="520" spans="1:1" ht="15.75" hidden="1" customHeight="1" x14ac:dyDescent="0.25">
      <c r="A520" s="72"/>
    </row>
    <row r="521" spans="1:1" ht="15.75" hidden="1" customHeight="1" x14ac:dyDescent="0.25">
      <c r="A521" s="72"/>
    </row>
    <row r="522" spans="1:1" ht="15.75" hidden="1" customHeight="1" x14ac:dyDescent="0.25">
      <c r="A522" s="72"/>
    </row>
    <row r="523" spans="1:1" ht="15.75" hidden="1" customHeight="1" x14ac:dyDescent="0.25">
      <c r="A523" s="72"/>
    </row>
    <row r="524" spans="1:1" ht="15.75" hidden="1" customHeight="1" x14ac:dyDescent="0.25">
      <c r="A524" s="72"/>
    </row>
    <row r="525" spans="1:1" ht="15.75" hidden="1" customHeight="1" x14ac:dyDescent="0.25">
      <c r="A525" s="72"/>
    </row>
    <row r="526" spans="1:1" ht="15.75" hidden="1" customHeight="1" x14ac:dyDescent="0.25">
      <c r="A526" s="72"/>
    </row>
    <row r="527" spans="1:1" ht="15.75" hidden="1" customHeight="1" x14ac:dyDescent="0.25">
      <c r="A527" s="72"/>
    </row>
    <row r="528" spans="1:1" ht="15.75" hidden="1" customHeight="1" x14ac:dyDescent="0.25">
      <c r="A528" s="72"/>
    </row>
    <row r="529" spans="1:1" ht="15.75" hidden="1" customHeight="1" x14ac:dyDescent="0.25">
      <c r="A529" s="72"/>
    </row>
    <row r="530" spans="1:1" ht="15.75" hidden="1" customHeight="1" x14ac:dyDescent="0.25">
      <c r="A530" s="72"/>
    </row>
    <row r="531" spans="1:1" ht="15.75" hidden="1" customHeight="1" x14ac:dyDescent="0.25">
      <c r="A531" s="72"/>
    </row>
    <row r="532" spans="1:1" ht="15.75" hidden="1" customHeight="1" x14ac:dyDescent="0.25">
      <c r="A532" s="72"/>
    </row>
    <row r="533" spans="1:1" ht="15.75" hidden="1" customHeight="1" x14ac:dyDescent="0.25">
      <c r="A533" s="72"/>
    </row>
    <row r="534" spans="1:1" ht="15.75" hidden="1" customHeight="1" x14ac:dyDescent="0.25">
      <c r="A534" s="72"/>
    </row>
    <row r="535" spans="1:1" ht="15.75" hidden="1" customHeight="1" x14ac:dyDescent="0.25">
      <c r="A535" s="72"/>
    </row>
    <row r="536" spans="1:1" ht="15.75" hidden="1" customHeight="1" x14ac:dyDescent="0.25">
      <c r="A536" s="72"/>
    </row>
    <row r="537" spans="1:1" ht="15.75" hidden="1" customHeight="1" x14ac:dyDescent="0.25">
      <c r="A537" s="72"/>
    </row>
    <row r="538" spans="1:1" ht="15.75" hidden="1" customHeight="1" x14ac:dyDescent="0.25">
      <c r="A538" s="72"/>
    </row>
    <row r="539" spans="1:1" ht="15.75" hidden="1" customHeight="1" x14ac:dyDescent="0.25">
      <c r="A539" s="72"/>
    </row>
    <row r="540" spans="1:1" ht="15.75" hidden="1" customHeight="1" x14ac:dyDescent="0.25">
      <c r="A540" s="72"/>
    </row>
    <row r="541" spans="1:1" ht="15.75" hidden="1" customHeight="1" x14ac:dyDescent="0.25">
      <c r="A541" s="72"/>
    </row>
    <row r="542" spans="1:1" ht="15.75" hidden="1" customHeight="1" x14ac:dyDescent="0.25">
      <c r="A542" s="72"/>
    </row>
    <row r="543" spans="1:1" ht="15.75" hidden="1" customHeight="1" x14ac:dyDescent="0.25">
      <c r="A543" s="72"/>
    </row>
    <row r="544" spans="1:1" ht="15.75" hidden="1" customHeight="1" x14ac:dyDescent="0.25">
      <c r="A544" s="72"/>
    </row>
    <row r="545" spans="1:1" ht="15.75" hidden="1" customHeight="1" x14ac:dyDescent="0.25">
      <c r="A545" s="72"/>
    </row>
    <row r="546" spans="1:1" ht="15.75" hidden="1" customHeight="1" x14ac:dyDescent="0.25">
      <c r="A546" s="72"/>
    </row>
    <row r="547" spans="1:1" ht="15.75" hidden="1" customHeight="1" x14ac:dyDescent="0.25">
      <c r="A547" s="72"/>
    </row>
    <row r="548" spans="1:1" ht="15.75" hidden="1" customHeight="1" x14ac:dyDescent="0.25">
      <c r="A548" s="72"/>
    </row>
    <row r="549" spans="1:1" ht="15.75" hidden="1" customHeight="1" x14ac:dyDescent="0.25">
      <c r="A549" s="72"/>
    </row>
    <row r="550" spans="1:1" ht="15.75" hidden="1" customHeight="1" x14ac:dyDescent="0.25">
      <c r="A550" s="72"/>
    </row>
    <row r="551" spans="1:1" ht="15.75" hidden="1" customHeight="1" x14ac:dyDescent="0.25">
      <c r="A551" s="72"/>
    </row>
    <row r="552" spans="1:1" ht="15.75" hidden="1" customHeight="1" x14ac:dyDescent="0.25">
      <c r="A552" s="72"/>
    </row>
    <row r="553" spans="1:1" ht="15.75" hidden="1" customHeight="1" x14ac:dyDescent="0.25">
      <c r="A553" s="72"/>
    </row>
    <row r="554" spans="1:1" ht="15.75" hidden="1" customHeight="1" x14ac:dyDescent="0.25">
      <c r="A554" s="72"/>
    </row>
    <row r="555" spans="1:1" ht="15.75" hidden="1" customHeight="1" x14ac:dyDescent="0.25">
      <c r="A555" s="72"/>
    </row>
    <row r="556" spans="1:1" ht="15.75" hidden="1" customHeight="1" x14ac:dyDescent="0.25">
      <c r="A556" s="72"/>
    </row>
    <row r="557" spans="1:1" ht="15.75" hidden="1" customHeight="1" x14ac:dyDescent="0.25">
      <c r="A557" s="72"/>
    </row>
    <row r="558" spans="1:1" ht="15.75" hidden="1" customHeight="1" x14ac:dyDescent="0.25">
      <c r="A558" s="72"/>
    </row>
    <row r="559" spans="1:1" ht="15.75" hidden="1" customHeight="1" x14ac:dyDescent="0.25">
      <c r="A559" s="72"/>
    </row>
    <row r="560" spans="1:1" ht="15.75" hidden="1" customHeight="1" x14ac:dyDescent="0.25">
      <c r="A560" s="72"/>
    </row>
    <row r="561" spans="1:1" ht="15.75" hidden="1" customHeight="1" x14ac:dyDescent="0.25">
      <c r="A561" s="72"/>
    </row>
    <row r="562" spans="1:1" ht="15.75" hidden="1" customHeight="1" x14ac:dyDescent="0.25">
      <c r="A562" s="72"/>
    </row>
    <row r="563" spans="1:1" ht="15.75" hidden="1" customHeight="1" x14ac:dyDescent="0.25">
      <c r="A563" s="72"/>
    </row>
    <row r="564" spans="1:1" ht="15.75" hidden="1" customHeight="1" x14ac:dyDescent="0.25">
      <c r="A564" s="72"/>
    </row>
    <row r="565" spans="1:1" ht="15.75" hidden="1" customHeight="1" x14ac:dyDescent="0.25">
      <c r="A565" s="72"/>
    </row>
    <row r="566" spans="1:1" ht="15.75" hidden="1" customHeight="1" x14ac:dyDescent="0.25">
      <c r="A566" s="72"/>
    </row>
    <row r="567" spans="1:1" ht="15.75" hidden="1" customHeight="1" x14ac:dyDescent="0.25">
      <c r="A567" s="72"/>
    </row>
    <row r="568" spans="1:1" ht="15.75" hidden="1" customHeight="1" x14ac:dyDescent="0.25">
      <c r="A568" s="72"/>
    </row>
    <row r="569" spans="1:1" ht="15.75" hidden="1" customHeight="1" x14ac:dyDescent="0.25">
      <c r="A569" s="72"/>
    </row>
    <row r="570" spans="1:1" ht="15.75" hidden="1" customHeight="1" x14ac:dyDescent="0.25">
      <c r="A570" s="72"/>
    </row>
    <row r="571" spans="1:1" ht="15.75" hidden="1" customHeight="1" x14ac:dyDescent="0.25">
      <c r="A571" s="72"/>
    </row>
    <row r="572" spans="1:1" ht="15.75" hidden="1" customHeight="1" x14ac:dyDescent="0.25">
      <c r="A572" s="72"/>
    </row>
    <row r="573" spans="1:1" ht="15.75" hidden="1" customHeight="1" x14ac:dyDescent="0.25">
      <c r="A573" s="72"/>
    </row>
    <row r="574" spans="1:1" ht="15.75" hidden="1" customHeight="1" x14ac:dyDescent="0.25">
      <c r="A574" s="72"/>
    </row>
    <row r="575" spans="1:1" ht="15.75" hidden="1" customHeight="1" x14ac:dyDescent="0.25">
      <c r="A575" s="72"/>
    </row>
    <row r="576" spans="1:1" ht="15.75" hidden="1" customHeight="1" x14ac:dyDescent="0.25">
      <c r="A576" s="72"/>
    </row>
    <row r="577" spans="1:1" ht="15.75" hidden="1" customHeight="1" x14ac:dyDescent="0.25">
      <c r="A577" s="72"/>
    </row>
    <row r="578" spans="1:1" ht="15.75" hidden="1" customHeight="1" x14ac:dyDescent="0.25">
      <c r="A578" s="72"/>
    </row>
    <row r="579" spans="1:1" ht="15.75" hidden="1" customHeight="1" x14ac:dyDescent="0.25">
      <c r="A579" s="72"/>
    </row>
    <row r="580" spans="1:1" ht="15.75" hidden="1" customHeight="1" x14ac:dyDescent="0.25">
      <c r="A580" s="72"/>
    </row>
    <row r="581" spans="1:1" ht="15.75" hidden="1" customHeight="1" x14ac:dyDescent="0.25">
      <c r="A581" s="72"/>
    </row>
    <row r="582" spans="1:1" ht="15.75" hidden="1" customHeight="1" x14ac:dyDescent="0.25">
      <c r="A582" s="72"/>
    </row>
    <row r="583" spans="1:1" ht="15.75" hidden="1" customHeight="1" x14ac:dyDescent="0.25">
      <c r="A583" s="72"/>
    </row>
    <row r="584" spans="1:1" ht="15.75" hidden="1" customHeight="1" x14ac:dyDescent="0.25">
      <c r="A584" s="72"/>
    </row>
    <row r="585" spans="1:1" ht="15.75" hidden="1" customHeight="1" x14ac:dyDescent="0.25">
      <c r="A585" s="72"/>
    </row>
    <row r="586" spans="1:1" ht="15.75" hidden="1" customHeight="1" x14ac:dyDescent="0.25">
      <c r="A586" s="72"/>
    </row>
    <row r="587" spans="1:1" ht="15.75" hidden="1" customHeight="1" x14ac:dyDescent="0.25">
      <c r="A587" s="72"/>
    </row>
    <row r="588" spans="1:1" ht="15.75" hidden="1" customHeight="1" x14ac:dyDescent="0.25">
      <c r="A588" s="72"/>
    </row>
    <row r="589" spans="1:1" ht="15.75" hidden="1" customHeight="1" x14ac:dyDescent="0.25">
      <c r="A589" s="72"/>
    </row>
    <row r="590" spans="1:1" ht="15.75" hidden="1" customHeight="1" x14ac:dyDescent="0.25">
      <c r="A590" s="72"/>
    </row>
    <row r="591" spans="1:1" ht="15.75" hidden="1" customHeight="1" x14ac:dyDescent="0.25">
      <c r="A591" s="72"/>
    </row>
    <row r="592" spans="1:1" ht="15.75" hidden="1" customHeight="1" x14ac:dyDescent="0.25">
      <c r="A592" s="72"/>
    </row>
    <row r="593" spans="1:1" ht="15.75" hidden="1" customHeight="1" x14ac:dyDescent="0.25">
      <c r="A593" s="72"/>
    </row>
    <row r="594" spans="1:1" ht="15.75" hidden="1" customHeight="1" x14ac:dyDescent="0.25">
      <c r="A594" s="72"/>
    </row>
    <row r="595" spans="1:1" ht="15.75" hidden="1" customHeight="1" x14ac:dyDescent="0.25">
      <c r="A595" s="72"/>
    </row>
    <row r="596" spans="1:1" ht="15.75" hidden="1" customHeight="1" x14ac:dyDescent="0.25">
      <c r="A596" s="72"/>
    </row>
    <row r="597" spans="1:1" ht="15.75" hidden="1" customHeight="1" x14ac:dyDescent="0.25">
      <c r="A597" s="72"/>
    </row>
    <row r="598" spans="1:1" ht="15.75" hidden="1" customHeight="1" x14ac:dyDescent="0.25">
      <c r="A598" s="72"/>
    </row>
    <row r="599" spans="1:1" ht="15.75" hidden="1" customHeight="1" x14ac:dyDescent="0.25">
      <c r="A599" s="72"/>
    </row>
    <row r="600" spans="1:1" ht="15.75" hidden="1" customHeight="1" x14ac:dyDescent="0.25">
      <c r="A600" s="72"/>
    </row>
    <row r="601" spans="1:1" ht="15.75" hidden="1" customHeight="1" x14ac:dyDescent="0.25">
      <c r="A601" s="72"/>
    </row>
    <row r="602" spans="1:1" ht="15.75" hidden="1" customHeight="1" x14ac:dyDescent="0.25">
      <c r="A602" s="72"/>
    </row>
    <row r="603" spans="1:1" ht="15.75" hidden="1" customHeight="1" x14ac:dyDescent="0.25">
      <c r="A603" s="72"/>
    </row>
    <row r="604" spans="1:1" ht="15.75" hidden="1" customHeight="1" x14ac:dyDescent="0.25">
      <c r="A604" s="72"/>
    </row>
    <row r="605" spans="1:1" ht="15.75" hidden="1" customHeight="1" x14ac:dyDescent="0.25">
      <c r="A605" s="72"/>
    </row>
    <row r="606" spans="1:1" ht="15.75" hidden="1" customHeight="1" x14ac:dyDescent="0.25">
      <c r="A606" s="72"/>
    </row>
    <row r="607" spans="1:1" ht="15.75" hidden="1" customHeight="1" x14ac:dyDescent="0.25">
      <c r="A607" s="72"/>
    </row>
    <row r="608" spans="1:1" ht="15.75" hidden="1" customHeight="1" x14ac:dyDescent="0.25">
      <c r="A608" s="72"/>
    </row>
    <row r="609" spans="1:1" ht="15.75" hidden="1" customHeight="1" x14ac:dyDescent="0.25">
      <c r="A609" s="72"/>
    </row>
    <row r="610" spans="1:1" ht="15.75" hidden="1" customHeight="1" x14ac:dyDescent="0.25">
      <c r="A610" s="72"/>
    </row>
    <row r="611" spans="1:1" ht="15.75" hidden="1" customHeight="1" x14ac:dyDescent="0.25">
      <c r="A611" s="72"/>
    </row>
    <row r="612" spans="1:1" ht="15.75" hidden="1" customHeight="1" x14ac:dyDescent="0.25">
      <c r="A612" s="72"/>
    </row>
    <row r="613" spans="1:1" ht="15.75" hidden="1" customHeight="1" x14ac:dyDescent="0.25">
      <c r="A613" s="72"/>
    </row>
    <row r="614" spans="1:1" ht="15.75" hidden="1" customHeight="1" x14ac:dyDescent="0.25">
      <c r="A614" s="72"/>
    </row>
    <row r="615" spans="1:1" ht="15.75" hidden="1" customHeight="1" x14ac:dyDescent="0.25">
      <c r="A615" s="72"/>
    </row>
    <row r="616" spans="1:1" ht="15.75" hidden="1" customHeight="1" x14ac:dyDescent="0.25">
      <c r="A616" s="72"/>
    </row>
    <row r="617" spans="1:1" ht="15.75" hidden="1" customHeight="1" x14ac:dyDescent="0.25">
      <c r="A617" s="72"/>
    </row>
    <row r="618" spans="1:1" ht="15.75" hidden="1" customHeight="1" x14ac:dyDescent="0.25">
      <c r="A618" s="72"/>
    </row>
    <row r="619" spans="1:1" ht="15.75" hidden="1" customHeight="1" x14ac:dyDescent="0.25">
      <c r="A619" s="72"/>
    </row>
    <row r="620" spans="1:1" ht="15.75" hidden="1" customHeight="1" x14ac:dyDescent="0.25">
      <c r="A620" s="72"/>
    </row>
    <row r="621" spans="1:1" ht="15.75" hidden="1" customHeight="1" x14ac:dyDescent="0.25">
      <c r="A621" s="72"/>
    </row>
    <row r="622" spans="1:1" ht="15.75" hidden="1" customHeight="1" x14ac:dyDescent="0.25">
      <c r="A622" s="72"/>
    </row>
    <row r="623" spans="1:1" ht="15.75" hidden="1" customHeight="1" x14ac:dyDescent="0.25">
      <c r="A623" s="72"/>
    </row>
    <row r="624" spans="1:1" ht="15.75" hidden="1" customHeight="1" x14ac:dyDescent="0.25">
      <c r="A624" s="72"/>
    </row>
    <row r="625" spans="1:1" ht="15.75" hidden="1" customHeight="1" x14ac:dyDescent="0.25">
      <c r="A625" s="72"/>
    </row>
    <row r="626" spans="1:1" ht="15.75" hidden="1" customHeight="1" x14ac:dyDescent="0.25">
      <c r="A626" s="72"/>
    </row>
    <row r="627" spans="1:1" ht="15.75" hidden="1" customHeight="1" x14ac:dyDescent="0.25">
      <c r="A627" s="72"/>
    </row>
    <row r="628" spans="1:1" ht="15.75" hidden="1" customHeight="1" x14ac:dyDescent="0.25">
      <c r="A628" s="72"/>
    </row>
    <row r="629" spans="1:1" ht="15.75" hidden="1" customHeight="1" x14ac:dyDescent="0.25">
      <c r="A629" s="72"/>
    </row>
    <row r="630" spans="1:1" ht="15.75" hidden="1" customHeight="1" x14ac:dyDescent="0.25">
      <c r="A630" s="72"/>
    </row>
    <row r="631" spans="1:1" ht="15.75" hidden="1" customHeight="1" x14ac:dyDescent="0.25">
      <c r="A631" s="72"/>
    </row>
    <row r="632" spans="1:1" ht="15.75" hidden="1" customHeight="1" x14ac:dyDescent="0.25">
      <c r="A632" s="72"/>
    </row>
    <row r="633" spans="1:1" ht="15.75" hidden="1" customHeight="1" x14ac:dyDescent="0.25">
      <c r="A633" s="72"/>
    </row>
    <row r="634" spans="1:1" ht="15.75" hidden="1" customHeight="1" x14ac:dyDescent="0.25">
      <c r="A634" s="72"/>
    </row>
    <row r="635" spans="1:1" ht="15.75" hidden="1" customHeight="1" x14ac:dyDescent="0.25">
      <c r="A635" s="72"/>
    </row>
    <row r="636" spans="1:1" ht="15.75" hidden="1" customHeight="1" x14ac:dyDescent="0.25">
      <c r="A636" s="72"/>
    </row>
    <row r="637" spans="1:1" ht="15.75" hidden="1" customHeight="1" x14ac:dyDescent="0.25">
      <c r="A637" s="72"/>
    </row>
    <row r="638" spans="1:1" ht="15.75" hidden="1" customHeight="1" x14ac:dyDescent="0.25">
      <c r="A638" s="72"/>
    </row>
    <row r="639" spans="1:1" ht="15.75" hidden="1" customHeight="1" x14ac:dyDescent="0.25">
      <c r="A639" s="72"/>
    </row>
    <row r="640" spans="1:1" ht="15.75" hidden="1" customHeight="1" x14ac:dyDescent="0.25">
      <c r="A640" s="72"/>
    </row>
    <row r="641" spans="1:1" ht="15.75" hidden="1" customHeight="1" x14ac:dyDescent="0.25">
      <c r="A641" s="72"/>
    </row>
    <row r="642" spans="1:1" ht="15.75" hidden="1" customHeight="1" x14ac:dyDescent="0.25">
      <c r="A642" s="72"/>
    </row>
    <row r="643" spans="1:1" ht="15.75" hidden="1" customHeight="1" x14ac:dyDescent="0.25">
      <c r="A643" s="72"/>
    </row>
    <row r="644" spans="1:1" ht="15.75" hidden="1" customHeight="1" x14ac:dyDescent="0.25">
      <c r="A644" s="72"/>
    </row>
    <row r="645" spans="1:1" ht="15.75" hidden="1" customHeight="1" x14ac:dyDescent="0.25">
      <c r="A645" s="72"/>
    </row>
    <row r="646" spans="1:1" ht="15.75" hidden="1" customHeight="1" x14ac:dyDescent="0.25">
      <c r="A646" s="72"/>
    </row>
    <row r="647" spans="1:1" ht="15.75" hidden="1" customHeight="1" x14ac:dyDescent="0.25">
      <c r="A647" s="72"/>
    </row>
    <row r="648" spans="1:1" ht="15.75" hidden="1" customHeight="1" x14ac:dyDescent="0.25">
      <c r="A648" s="72"/>
    </row>
    <row r="649" spans="1:1" ht="15.75" hidden="1" customHeight="1" x14ac:dyDescent="0.25">
      <c r="A649" s="72"/>
    </row>
    <row r="650" spans="1:1" ht="15.75" hidden="1" customHeight="1" x14ac:dyDescent="0.25">
      <c r="A650" s="72"/>
    </row>
    <row r="651" spans="1:1" ht="15.75" hidden="1" customHeight="1" x14ac:dyDescent="0.25">
      <c r="A651" s="72"/>
    </row>
    <row r="652" spans="1:1" ht="15.75" hidden="1" customHeight="1" x14ac:dyDescent="0.25">
      <c r="A652" s="72"/>
    </row>
    <row r="653" spans="1:1" ht="15.75" hidden="1" customHeight="1" x14ac:dyDescent="0.25">
      <c r="A653" s="72"/>
    </row>
    <row r="654" spans="1:1" ht="15.75" hidden="1" customHeight="1" x14ac:dyDescent="0.25">
      <c r="A654" s="72"/>
    </row>
    <row r="655" spans="1:1" ht="15.75" hidden="1" customHeight="1" x14ac:dyDescent="0.25">
      <c r="A655" s="72"/>
    </row>
    <row r="656" spans="1:1" ht="15.75" hidden="1" customHeight="1" x14ac:dyDescent="0.25">
      <c r="A656" s="72"/>
    </row>
    <row r="657" spans="1:1" ht="15.75" hidden="1" customHeight="1" x14ac:dyDescent="0.25">
      <c r="A657" s="72"/>
    </row>
    <row r="658" spans="1:1" ht="15.75" hidden="1" customHeight="1" x14ac:dyDescent="0.25">
      <c r="A658" s="72"/>
    </row>
    <row r="659" spans="1:1" ht="15.75" hidden="1" customHeight="1" x14ac:dyDescent="0.25">
      <c r="A659" s="72"/>
    </row>
    <row r="660" spans="1:1" ht="15.75" hidden="1" customHeight="1" x14ac:dyDescent="0.25">
      <c r="A660" s="72"/>
    </row>
    <row r="661" spans="1:1" ht="15.75" hidden="1" customHeight="1" x14ac:dyDescent="0.25">
      <c r="A661" s="72"/>
    </row>
    <row r="662" spans="1:1" ht="15.75" hidden="1" customHeight="1" x14ac:dyDescent="0.25">
      <c r="A662" s="72"/>
    </row>
    <row r="663" spans="1:1" ht="15.75" hidden="1" customHeight="1" x14ac:dyDescent="0.25">
      <c r="A663" s="72"/>
    </row>
    <row r="664" spans="1:1" ht="15.75" hidden="1" customHeight="1" x14ac:dyDescent="0.25">
      <c r="A664" s="72"/>
    </row>
    <row r="665" spans="1:1" ht="15.75" hidden="1" customHeight="1" x14ac:dyDescent="0.25">
      <c r="A665" s="72"/>
    </row>
    <row r="666" spans="1:1" ht="15.75" hidden="1" customHeight="1" x14ac:dyDescent="0.25">
      <c r="A666" s="72"/>
    </row>
    <row r="667" spans="1:1" ht="15.75" hidden="1" customHeight="1" x14ac:dyDescent="0.25">
      <c r="A667" s="72"/>
    </row>
    <row r="668" spans="1:1" ht="15.75" hidden="1" customHeight="1" x14ac:dyDescent="0.25">
      <c r="A668" s="72"/>
    </row>
    <row r="669" spans="1:1" ht="15.75" hidden="1" customHeight="1" x14ac:dyDescent="0.25">
      <c r="A669" s="72"/>
    </row>
    <row r="670" spans="1:1" ht="15.75" hidden="1" customHeight="1" x14ac:dyDescent="0.25">
      <c r="A670" s="72"/>
    </row>
    <row r="671" spans="1:1" ht="15.75" hidden="1" customHeight="1" x14ac:dyDescent="0.25">
      <c r="A671" s="72"/>
    </row>
    <row r="672" spans="1:1" ht="15.75" hidden="1" customHeight="1" x14ac:dyDescent="0.25">
      <c r="A672" s="72"/>
    </row>
    <row r="673" spans="1:1" ht="15.75" hidden="1" customHeight="1" x14ac:dyDescent="0.25">
      <c r="A673" s="72"/>
    </row>
    <row r="674" spans="1:1" ht="15.75" hidden="1" customHeight="1" x14ac:dyDescent="0.25">
      <c r="A674" s="72"/>
    </row>
    <row r="675" spans="1:1" ht="15.75" hidden="1" customHeight="1" x14ac:dyDescent="0.25">
      <c r="A675" s="72"/>
    </row>
    <row r="676" spans="1:1" ht="15.75" hidden="1" customHeight="1" x14ac:dyDescent="0.25">
      <c r="A676" s="72"/>
    </row>
    <row r="677" spans="1:1" ht="15.75" hidden="1" customHeight="1" x14ac:dyDescent="0.25">
      <c r="A677" s="72"/>
    </row>
    <row r="678" spans="1:1" ht="15.75" hidden="1" customHeight="1" x14ac:dyDescent="0.25">
      <c r="A678" s="72"/>
    </row>
    <row r="679" spans="1:1" ht="15.75" hidden="1" customHeight="1" x14ac:dyDescent="0.25">
      <c r="A679" s="72"/>
    </row>
    <row r="680" spans="1:1" ht="15.75" hidden="1" customHeight="1" x14ac:dyDescent="0.25">
      <c r="A680" s="72"/>
    </row>
    <row r="681" spans="1:1" ht="15.75" hidden="1" customHeight="1" x14ac:dyDescent="0.25">
      <c r="A681" s="72"/>
    </row>
    <row r="682" spans="1:1" ht="15.75" hidden="1" customHeight="1" x14ac:dyDescent="0.25">
      <c r="A682" s="72"/>
    </row>
    <row r="683" spans="1:1" ht="15.75" hidden="1" customHeight="1" x14ac:dyDescent="0.25">
      <c r="A683" s="72"/>
    </row>
    <row r="684" spans="1:1" ht="15.75" hidden="1" customHeight="1" x14ac:dyDescent="0.25">
      <c r="A684" s="72"/>
    </row>
    <row r="685" spans="1:1" ht="15.75" hidden="1" customHeight="1" x14ac:dyDescent="0.25">
      <c r="A685" s="72"/>
    </row>
    <row r="686" spans="1:1" ht="15.75" hidden="1" customHeight="1" x14ac:dyDescent="0.25">
      <c r="A686" s="72"/>
    </row>
    <row r="687" spans="1:1" ht="15.75" hidden="1" customHeight="1" x14ac:dyDescent="0.25">
      <c r="A687" s="72"/>
    </row>
    <row r="688" spans="1:1" ht="15.75" hidden="1" customHeight="1" x14ac:dyDescent="0.25">
      <c r="A688" s="72"/>
    </row>
    <row r="689" spans="1:1" ht="15.75" hidden="1" customHeight="1" x14ac:dyDescent="0.25">
      <c r="A689" s="72"/>
    </row>
    <row r="690" spans="1:1" ht="15.75" hidden="1" customHeight="1" x14ac:dyDescent="0.25">
      <c r="A690" s="72"/>
    </row>
    <row r="691" spans="1:1" ht="15.75" hidden="1" customHeight="1" x14ac:dyDescent="0.25">
      <c r="A691" s="72"/>
    </row>
    <row r="692" spans="1:1" ht="15.75" hidden="1" customHeight="1" x14ac:dyDescent="0.25">
      <c r="A692" s="72"/>
    </row>
    <row r="693" spans="1:1" ht="15.75" hidden="1" customHeight="1" x14ac:dyDescent="0.25">
      <c r="A693" s="72"/>
    </row>
    <row r="694" spans="1:1" ht="15.75" hidden="1" customHeight="1" x14ac:dyDescent="0.25">
      <c r="A694" s="72"/>
    </row>
    <row r="695" spans="1:1" ht="15.75" hidden="1" customHeight="1" x14ac:dyDescent="0.25">
      <c r="A695" s="72"/>
    </row>
    <row r="696" spans="1:1" ht="15.75" hidden="1" customHeight="1" x14ac:dyDescent="0.25">
      <c r="A696" s="72"/>
    </row>
    <row r="697" spans="1:1" ht="15.75" hidden="1" customHeight="1" x14ac:dyDescent="0.25">
      <c r="A697" s="72"/>
    </row>
    <row r="698" spans="1:1" ht="15.75" hidden="1" customHeight="1" x14ac:dyDescent="0.25">
      <c r="A698" s="72"/>
    </row>
    <row r="699" spans="1:1" ht="15.75" hidden="1" customHeight="1" x14ac:dyDescent="0.25">
      <c r="A699" s="72"/>
    </row>
    <row r="700" spans="1:1" ht="15.75" hidden="1" customHeight="1" x14ac:dyDescent="0.25">
      <c r="A700" s="72"/>
    </row>
    <row r="701" spans="1:1" ht="15.75" hidden="1" customHeight="1" x14ac:dyDescent="0.25">
      <c r="A701" s="72"/>
    </row>
    <row r="702" spans="1:1" ht="15.75" hidden="1" customHeight="1" x14ac:dyDescent="0.25">
      <c r="A702" s="72"/>
    </row>
    <row r="703" spans="1:1" ht="15.75" hidden="1" customHeight="1" x14ac:dyDescent="0.25">
      <c r="A703" s="72"/>
    </row>
    <row r="704" spans="1:1" ht="15.75" hidden="1" customHeight="1" x14ac:dyDescent="0.25">
      <c r="A704" s="72"/>
    </row>
    <row r="705" spans="1:1" ht="15.75" hidden="1" customHeight="1" x14ac:dyDescent="0.25">
      <c r="A705" s="72"/>
    </row>
    <row r="706" spans="1:1" ht="15.75" hidden="1" customHeight="1" x14ac:dyDescent="0.25">
      <c r="A706" s="72"/>
    </row>
    <row r="707" spans="1:1" ht="15.75" hidden="1" customHeight="1" x14ac:dyDescent="0.25">
      <c r="A707" s="72"/>
    </row>
    <row r="708" spans="1:1" ht="15.75" hidden="1" customHeight="1" x14ac:dyDescent="0.25">
      <c r="A708" s="72"/>
    </row>
    <row r="709" spans="1:1" ht="15.75" hidden="1" customHeight="1" x14ac:dyDescent="0.25">
      <c r="A709" s="72"/>
    </row>
    <row r="710" spans="1:1" ht="15.75" hidden="1" customHeight="1" x14ac:dyDescent="0.25">
      <c r="A710" s="72"/>
    </row>
    <row r="711" spans="1:1" ht="15.75" hidden="1" customHeight="1" x14ac:dyDescent="0.25">
      <c r="A711" s="72"/>
    </row>
    <row r="712" spans="1:1" ht="15.75" hidden="1" customHeight="1" x14ac:dyDescent="0.25">
      <c r="A712" s="72"/>
    </row>
    <row r="713" spans="1:1" ht="15.75" hidden="1" customHeight="1" x14ac:dyDescent="0.25">
      <c r="A713" s="72"/>
    </row>
    <row r="714" spans="1:1" ht="15.75" hidden="1" customHeight="1" x14ac:dyDescent="0.25">
      <c r="A714" s="72"/>
    </row>
    <row r="715" spans="1:1" ht="15.75" hidden="1" customHeight="1" x14ac:dyDescent="0.25">
      <c r="A715" s="72"/>
    </row>
    <row r="716" spans="1:1" ht="15.75" hidden="1" customHeight="1" x14ac:dyDescent="0.25">
      <c r="A716" s="72"/>
    </row>
    <row r="717" spans="1:1" ht="15.75" hidden="1" customHeight="1" x14ac:dyDescent="0.25">
      <c r="A717" s="72"/>
    </row>
    <row r="718" spans="1:1" ht="15.75" hidden="1" customHeight="1" x14ac:dyDescent="0.25">
      <c r="A718" s="72"/>
    </row>
    <row r="719" spans="1:1" ht="15.75" hidden="1" customHeight="1" x14ac:dyDescent="0.25">
      <c r="A719" s="72"/>
    </row>
    <row r="720" spans="1:1" ht="15.75" hidden="1" customHeight="1" x14ac:dyDescent="0.25">
      <c r="A720" s="72"/>
    </row>
    <row r="721" spans="1:1" ht="15.75" hidden="1" customHeight="1" x14ac:dyDescent="0.25">
      <c r="A721" s="72"/>
    </row>
    <row r="722" spans="1:1" ht="15.75" hidden="1" customHeight="1" x14ac:dyDescent="0.25">
      <c r="A722" s="72"/>
    </row>
    <row r="723" spans="1:1" ht="15.75" hidden="1" customHeight="1" x14ac:dyDescent="0.25">
      <c r="A723" s="72"/>
    </row>
    <row r="724" spans="1:1" ht="15.75" hidden="1" customHeight="1" x14ac:dyDescent="0.25">
      <c r="A724" s="72"/>
    </row>
    <row r="725" spans="1:1" ht="15.75" hidden="1" customHeight="1" x14ac:dyDescent="0.25">
      <c r="A725" s="72"/>
    </row>
    <row r="726" spans="1:1" ht="15.75" hidden="1" customHeight="1" x14ac:dyDescent="0.25">
      <c r="A726" s="72"/>
    </row>
    <row r="727" spans="1:1" ht="15.75" hidden="1" customHeight="1" x14ac:dyDescent="0.25">
      <c r="A727" s="72"/>
    </row>
    <row r="728" spans="1:1" ht="15.75" hidden="1" customHeight="1" x14ac:dyDescent="0.25">
      <c r="A728" s="72"/>
    </row>
    <row r="729" spans="1:1" ht="15.75" hidden="1" customHeight="1" x14ac:dyDescent="0.25">
      <c r="A729" s="72"/>
    </row>
    <row r="730" spans="1:1" ht="15.75" hidden="1" customHeight="1" x14ac:dyDescent="0.25">
      <c r="A730" s="72"/>
    </row>
    <row r="731" spans="1:1" ht="15.75" hidden="1" customHeight="1" x14ac:dyDescent="0.25">
      <c r="A731" s="72"/>
    </row>
    <row r="732" spans="1:1" ht="15.75" hidden="1" customHeight="1" x14ac:dyDescent="0.25">
      <c r="A732" s="72"/>
    </row>
    <row r="733" spans="1:1" ht="15.75" hidden="1" customHeight="1" x14ac:dyDescent="0.25">
      <c r="A733" s="72"/>
    </row>
    <row r="734" spans="1:1" ht="15.75" hidden="1" customHeight="1" x14ac:dyDescent="0.25">
      <c r="A734" s="72"/>
    </row>
    <row r="735" spans="1:1" ht="15.75" hidden="1" customHeight="1" x14ac:dyDescent="0.25">
      <c r="A735" s="72"/>
    </row>
    <row r="736" spans="1:1" ht="15.75" hidden="1" customHeight="1" x14ac:dyDescent="0.25">
      <c r="A736" s="72"/>
    </row>
    <row r="737" spans="1:1" ht="15.75" hidden="1" customHeight="1" x14ac:dyDescent="0.25">
      <c r="A737" s="72"/>
    </row>
    <row r="738" spans="1:1" ht="15.75" hidden="1" customHeight="1" x14ac:dyDescent="0.25">
      <c r="A738" s="72"/>
    </row>
    <row r="739" spans="1:1" ht="15.75" hidden="1" customHeight="1" x14ac:dyDescent="0.25">
      <c r="A739" s="72"/>
    </row>
    <row r="740" spans="1:1" ht="15.75" hidden="1" customHeight="1" x14ac:dyDescent="0.25">
      <c r="A740" s="72"/>
    </row>
    <row r="741" spans="1:1" ht="15.75" hidden="1" customHeight="1" x14ac:dyDescent="0.25">
      <c r="A741" s="72"/>
    </row>
    <row r="742" spans="1:1" ht="15.75" hidden="1" customHeight="1" x14ac:dyDescent="0.25">
      <c r="A742" s="72"/>
    </row>
    <row r="743" spans="1:1" ht="15.75" hidden="1" customHeight="1" x14ac:dyDescent="0.25">
      <c r="A743" s="72"/>
    </row>
    <row r="744" spans="1:1" ht="15.75" hidden="1" customHeight="1" x14ac:dyDescent="0.25">
      <c r="A744" s="72"/>
    </row>
    <row r="745" spans="1:1" ht="15.75" hidden="1" customHeight="1" x14ac:dyDescent="0.25">
      <c r="A745" s="72"/>
    </row>
    <row r="746" spans="1:1" ht="15.75" hidden="1" customHeight="1" x14ac:dyDescent="0.25">
      <c r="A746" s="72"/>
    </row>
    <row r="747" spans="1:1" ht="15.75" hidden="1" customHeight="1" x14ac:dyDescent="0.25">
      <c r="A747" s="72"/>
    </row>
    <row r="748" spans="1:1" ht="15.75" hidden="1" customHeight="1" x14ac:dyDescent="0.25">
      <c r="A748" s="72"/>
    </row>
    <row r="749" spans="1:1" ht="15.75" hidden="1" customHeight="1" x14ac:dyDescent="0.25">
      <c r="A749" s="72"/>
    </row>
    <row r="750" spans="1:1" ht="15.75" hidden="1" customHeight="1" x14ac:dyDescent="0.25">
      <c r="A750" s="72"/>
    </row>
    <row r="751" spans="1:1" ht="15.75" hidden="1" customHeight="1" x14ac:dyDescent="0.25">
      <c r="A751" s="72"/>
    </row>
    <row r="752" spans="1:1" ht="15.75" hidden="1" customHeight="1" x14ac:dyDescent="0.25">
      <c r="A752" s="72"/>
    </row>
    <row r="753" spans="1:1" ht="15.75" hidden="1" customHeight="1" x14ac:dyDescent="0.25">
      <c r="A753" s="72"/>
    </row>
    <row r="754" spans="1:1" ht="15.75" hidden="1" customHeight="1" x14ac:dyDescent="0.25">
      <c r="A754" s="72"/>
    </row>
    <row r="755" spans="1:1" ht="15.75" hidden="1" customHeight="1" x14ac:dyDescent="0.25">
      <c r="A755" s="72"/>
    </row>
    <row r="756" spans="1:1" ht="15.75" hidden="1" customHeight="1" x14ac:dyDescent="0.25">
      <c r="A756" s="72"/>
    </row>
    <row r="757" spans="1:1" ht="15.75" hidden="1" customHeight="1" x14ac:dyDescent="0.25">
      <c r="A757" s="72"/>
    </row>
    <row r="758" spans="1:1" ht="15.75" hidden="1" customHeight="1" x14ac:dyDescent="0.25">
      <c r="A758" s="72"/>
    </row>
    <row r="759" spans="1:1" ht="15.75" hidden="1" customHeight="1" x14ac:dyDescent="0.25">
      <c r="A759" s="72"/>
    </row>
    <row r="760" spans="1:1" ht="15.75" hidden="1" customHeight="1" x14ac:dyDescent="0.25">
      <c r="A760" s="72"/>
    </row>
    <row r="761" spans="1:1" ht="15.75" hidden="1" customHeight="1" x14ac:dyDescent="0.25">
      <c r="A761" s="72"/>
    </row>
    <row r="762" spans="1:1" ht="15.75" hidden="1" customHeight="1" x14ac:dyDescent="0.25">
      <c r="A762" s="72"/>
    </row>
    <row r="763" spans="1:1" ht="15.75" hidden="1" customHeight="1" x14ac:dyDescent="0.25">
      <c r="A763" s="72"/>
    </row>
    <row r="764" spans="1:1" ht="15.75" hidden="1" customHeight="1" x14ac:dyDescent="0.25">
      <c r="A764" s="72"/>
    </row>
    <row r="765" spans="1:1" ht="15.75" hidden="1" customHeight="1" x14ac:dyDescent="0.25">
      <c r="A765" s="72"/>
    </row>
    <row r="766" spans="1:1" ht="15.75" hidden="1" customHeight="1" x14ac:dyDescent="0.25">
      <c r="A766" s="72"/>
    </row>
    <row r="767" spans="1:1" ht="15.75" hidden="1" customHeight="1" x14ac:dyDescent="0.25">
      <c r="A767" s="72"/>
    </row>
    <row r="768" spans="1:1" ht="15.75" hidden="1" customHeight="1" x14ac:dyDescent="0.25">
      <c r="A768" s="72"/>
    </row>
    <row r="769" spans="1:1" ht="15.75" hidden="1" customHeight="1" x14ac:dyDescent="0.25">
      <c r="A769" s="72"/>
    </row>
    <row r="770" spans="1:1" ht="15.75" hidden="1" customHeight="1" x14ac:dyDescent="0.25">
      <c r="A770" s="72"/>
    </row>
    <row r="771" spans="1:1" ht="15.75" hidden="1" customHeight="1" x14ac:dyDescent="0.25">
      <c r="A771" s="72"/>
    </row>
    <row r="772" spans="1:1" ht="15.75" hidden="1" customHeight="1" x14ac:dyDescent="0.25">
      <c r="A772" s="72"/>
    </row>
    <row r="773" spans="1:1" ht="15.75" hidden="1" customHeight="1" x14ac:dyDescent="0.25">
      <c r="A773" s="72"/>
    </row>
    <row r="774" spans="1:1" ht="15.75" hidden="1" customHeight="1" x14ac:dyDescent="0.25">
      <c r="A774" s="72"/>
    </row>
    <row r="775" spans="1:1" ht="15.75" hidden="1" customHeight="1" x14ac:dyDescent="0.25">
      <c r="A775" s="72"/>
    </row>
    <row r="776" spans="1:1" ht="15.75" hidden="1" customHeight="1" x14ac:dyDescent="0.25">
      <c r="A776" s="72"/>
    </row>
    <row r="777" spans="1:1" ht="15.75" hidden="1" customHeight="1" x14ac:dyDescent="0.25">
      <c r="A777" s="72"/>
    </row>
    <row r="778" spans="1:1" ht="15.75" hidden="1" customHeight="1" x14ac:dyDescent="0.25">
      <c r="A778" s="72"/>
    </row>
    <row r="779" spans="1:1" ht="15.75" hidden="1" customHeight="1" x14ac:dyDescent="0.25">
      <c r="A779" s="72"/>
    </row>
    <row r="780" spans="1:1" ht="15.75" hidden="1" customHeight="1" x14ac:dyDescent="0.25">
      <c r="A780" s="72"/>
    </row>
    <row r="781" spans="1:1" ht="15.75" hidden="1" customHeight="1" x14ac:dyDescent="0.25">
      <c r="A781" s="72"/>
    </row>
    <row r="782" spans="1:1" ht="15.75" hidden="1" customHeight="1" x14ac:dyDescent="0.25">
      <c r="A782" s="72"/>
    </row>
    <row r="783" spans="1:1" ht="15.75" hidden="1" customHeight="1" x14ac:dyDescent="0.25">
      <c r="A783" s="72"/>
    </row>
    <row r="784" spans="1:1" ht="15.75" hidden="1" customHeight="1" x14ac:dyDescent="0.25">
      <c r="A784" s="72"/>
    </row>
    <row r="785" spans="1:1" ht="15.75" hidden="1" customHeight="1" x14ac:dyDescent="0.25">
      <c r="A785" s="72"/>
    </row>
    <row r="786" spans="1:1" ht="15.75" hidden="1" customHeight="1" x14ac:dyDescent="0.25">
      <c r="A786" s="72"/>
    </row>
    <row r="787" spans="1:1" ht="15.75" hidden="1" customHeight="1" x14ac:dyDescent="0.25">
      <c r="A787" s="72"/>
    </row>
    <row r="788" spans="1:1" ht="15.75" hidden="1" customHeight="1" x14ac:dyDescent="0.25">
      <c r="A788" s="72"/>
    </row>
    <row r="789" spans="1:1" ht="15.75" hidden="1" customHeight="1" x14ac:dyDescent="0.25">
      <c r="A789" s="72"/>
    </row>
    <row r="790" spans="1:1" ht="15.75" hidden="1" customHeight="1" x14ac:dyDescent="0.25">
      <c r="A790" s="72"/>
    </row>
    <row r="791" spans="1:1" ht="15.75" hidden="1" customHeight="1" x14ac:dyDescent="0.25">
      <c r="A791" s="72"/>
    </row>
    <row r="792" spans="1:1" ht="15.75" hidden="1" customHeight="1" x14ac:dyDescent="0.25">
      <c r="A792" s="72"/>
    </row>
    <row r="793" spans="1:1" ht="15.75" hidden="1" customHeight="1" x14ac:dyDescent="0.25">
      <c r="A793" s="72"/>
    </row>
    <row r="794" spans="1:1" ht="15.75" hidden="1" customHeight="1" x14ac:dyDescent="0.25">
      <c r="A794" s="72"/>
    </row>
    <row r="795" spans="1:1" ht="15.75" hidden="1" customHeight="1" x14ac:dyDescent="0.25">
      <c r="A795" s="72"/>
    </row>
    <row r="796" spans="1:1" ht="15.75" hidden="1" customHeight="1" x14ac:dyDescent="0.25">
      <c r="A796" s="72"/>
    </row>
    <row r="797" spans="1:1" ht="15.75" hidden="1" customHeight="1" x14ac:dyDescent="0.25">
      <c r="A797" s="72"/>
    </row>
    <row r="798" spans="1:1" ht="15.75" hidden="1" customHeight="1" x14ac:dyDescent="0.25">
      <c r="A798" s="72"/>
    </row>
    <row r="799" spans="1:1" ht="15.75" hidden="1" customHeight="1" x14ac:dyDescent="0.25">
      <c r="A799" s="72"/>
    </row>
    <row r="800" spans="1:1" ht="15.75" hidden="1" customHeight="1" x14ac:dyDescent="0.25">
      <c r="A800" s="72"/>
    </row>
    <row r="801" spans="1:1" ht="15.75" hidden="1" customHeight="1" x14ac:dyDescent="0.25">
      <c r="A801" s="72"/>
    </row>
    <row r="802" spans="1:1" ht="15.75" hidden="1" customHeight="1" x14ac:dyDescent="0.25">
      <c r="A802" s="72"/>
    </row>
    <row r="803" spans="1:1" ht="15.75" hidden="1" customHeight="1" x14ac:dyDescent="0.25">
      <c r="A803" s="72"/>
    </row>
    <row r="804" spans="1:1" ht="15.75" hidden="1" customHeight="1" x14ac:dyDescent="0.25">
      <c r="A804" s="72"/>
    </row>
    <row r="805" spans="1:1" ht="15.75" hidden="1" customHeight="1" x14ac:dyDescent="0.25">
      <c r="A805" s="72"/>
    </row>
    <row r="806" spans="1:1" ht="15.75" hidden="1" customHeight="1" x14ac:dyDescent="0.25">
      <c r="A806" s="72"/>
    </row>
    <row r="807" spans="1:1" ht="15.75" hidden="1" customHeight="1" x14ac:dyDescent="0.25">
      <c r="A807" s="72"/>
    </row>
    <row r="808" spans="1:1" ht="15.75" hidden="1" customHeight="1" x14ac:dyDescent="0.25">
      <c r="A808" s="72"/>
    </row>
    <row r="809" spans="1:1" ht="15.75" hidden="1" customHeight="1" x14ac:dyDescent="0.25">
      <c r="A809" s="72"/>
    </row>
    <row r="810" spans="1:1" ht="15.75" hidden="1" customHeight="1" x14ac:dyDescent="0.25">
      <c r="A810" s="72"/>
    </row>
    <row r="811" spans="1:1" ht="15.75" hidden="1" customHeight="1" x14ac:dyDescent="0.25">
      <c r="A811" s="72"/>
    </row>
    <row r="812" spans="1:1" ht="15.75" hidden="1" customHeight="1" x14ac:dyDescent="0.25">
      <c r="A812" s="72"/>
    </row>
    <row r="813" spans="1:1" ht="15.75" hidden="1" customHeight="1" x14ac:dyDescent="0.25">
      <c r="A813" s="72"/>
    </row>
    <row r="814" spans="1:1" ht="15.75" hidden="1" customHeight="1" x14ac:dyDescent="0.25">
      <c r="A814" s="72"/>
    </row>
    <row r="815" spans="1:1" ht="15.75" hidden="1" customHeight="1" x14ac:dyDescent="0.25">
      <c r="A815" s="72"/>
    </row>
    <row r="816" spans="1:1" ht="15.75" hidden="1" customHeight="1" x14ac:dyDescent="0.25">
      <c r="A816" s="72"/>
    </row>
    <row r="817" spans="1:1" ht="15.75" hidden="1" customHeight="1" x14ac:dyDescent="0.25">
      <c r="A817" s="72"/>
    </row>
    <row r="818" spans="1:1" ht="15.75" hidden="1" customHeight="1" x14ac:dyDescent="0.25">
      <c r="A818" s="72"/>
    </row>
    <row r="819" spans="1:1" ht="15.75" hidden="1" customHeight="1" x14ac:dyDescent="0.25">
      <c r="A819" s="72"/>
    </row>
    <row r="820" spans="1:1" ht="15.75" hidden="1" customHeight="1" x14ac:dyDescent="0.25">
      <c r="A820" s="72"/>
    </row>
    <row r="821" spans="1:1" ht="15.75" hidden="1" customHeight="1" x14ac:dyDescent="0.25">
      <c r="A821" s="72"/>
    </row>
    <row r="822" spans="1:1" ht="15.75" hidden="1" customHeight="1" x14ac:dyDescent="0.25">
      <c r="A822" s="72"/>
    </row>
    <row r="823" spans="1:1" ht="15.75" hidden="1" customHeight="1" x14ac:dyDescent="0.25">
      <c r="A823" s="72"/>
    </row>
    <row r="824" spans="1:1" ht="15.75" hidden="1" customHeight="1" x14ac:dyDescent="0.25">
      <c r="A824" s="72"/>
    </row>
    <row r="825" spans="1:1" ht="15.75" hidden="1" customHeight="1" x14ac:dyDescent="0.25">
      <c r="A825" s="72"/>
    </row>
    <row r="826" spans="1:1" ht="15.75" hidden="1" customHeight="1" x14ac:dyDescent="0.25">
      <c r="A826" s="72"/>
    </row>
    <row r="827" spans="1:1" ht="15.75" hidden="1" customHeight="1" x14ac:dyDescent="0.25">
      <c r="A827" s="72"/>
    </row>
    <row r="828" spans="1:1" ht="15.75" hidden="1" customHeight="1" x14ac:dyDescent="0.25">
      <c r="A828" s="72"/>
    </row>
    <row r="829" spans="1:1" ht="15.75" hidden="1" customHeight="1" x14ac:dyDescent="0.25">
      <c r="A829" s="72"/>
    </row>
    <row r="830" spans="1:1" ht="15.75" hidden="1" customHeight="1" x14ac:dyDescent="0.25">
      <c r="A830" s="72"/>
    </row>
    <row r="831" spans="1:1" ht="15.75" hidden="1" customHeight="1" x14ac:dyDescent="0.25">
      <c r="A831" s="72"/>
    </row>
    <row r="832" spans="1:1" ht="15.75" hidden="1" customHeight="1" x14ac:dyDescent="0.25">
      <c r="A832" s="72"/>
    </row>
    <row r="833" spans="1:1" ht="15.75" hidden="1" customHeight="1" x14ac:dyDescent="0.25">
      <c r="A833" s="72"/>
    </row>
    <row r="834" spans="1:1" ht="15.75" hidden="1" customHeight="1" x14ac:dyDescent="0.25">
      <c r="A834" s="72"/>
    </row>
    <row r="835" spans="1:1" ht="15.75" hidden="1" customHeight="1" x14ac:dyDescent="0.25">
      <c r="A835" s="72"/>
    </row>
    <row r="836" spans="1:1" ht="15.75" hidden="1" customHeight="1" x14ac:dyDescent="0.25">
      <c r="A836" s="72"/>
    </row>
    <row r="837" spans="1:1" ht="15.75" hidden="1" customHeight="1" x14ac:dyDescent="0.25">
      <c r="A837" s="72"/>
    </row>
    <row r="838" spans="1:1" ht="15.75" hidden="1" customHeight="1" x14ac:dyDescent="0.25">
      <c r="A838" s="72"/>
    </row>
    <row r="839" spans="1:1" ht="15.75" hidden="1" customHeight="1" x14ac:dyDescent="0.25">
      <c r="A839" s="72"/>
    </row>
    <row r="840" spans="1:1" ht="15.75" hidden="1" customHeight="1" x14ac:dyDescent="0.25">
      <c r="A840" s="72"/>
    </row>
    <row r="841" spans="1:1" ht="15.75" hidden="1" customHeight="1" x14ac:dyDescent="0.25">
      <c r="A841" s="72"/>
    </row>
    <row r="842" spans="1:1" ht="15.75" hidden="1" customHeight="1" x14ac:dyDescent="0.25">
      <c r="A842" s="72"/>
    </row>
    <row r="843" spans="1:1" ht="15.75" hidden="1" customHeight="1" x14ac:dyDescent="0.25">
      <c r="A843" s="72"/>
    </row>
    <row r="844" spans="1:1" ht="15.75" hidden="1" customHeight="1" x14ac:dyDescent="0.25">
      <c r="A844" s="72"/>
    </row>
    <row r="845" spans="1:1" ht="15.75" hidden="1" customHeight="1" x14ac:dyDescent="0.25">
      <c r="A845" s="72"/>
    </row>
    <row r="846" spans="1:1" ht="15.75" hidden="1" customHeight="1" x14ac:dyDescent="0.25">
      <c r="A846" s="72"/>
    </row>
    <row r="847" spans="1:1" ht="15.75" hidden="1" customHeight="1" x14ac:dyDescent="0.25">
      <c r="A847" s="72"/>
    </row>
    <row r="848" spans="1:1" ht="15.75" hidden="1" customHeight="1" x14ac:dyDescent="0.25">
      <c r="A848" s="72"/>
    </row>
    <row r="849" spans="1:1" ht="15.75" hidden="1" customHeight="1" x14ac:dyDescent="0.25">
      <c r="A849" s="72"/>
    </row>
    <row r="850" spans="1:1" ht="15.75" hidden="1" customHeight="1" x14ac:dyDescent="0.25">
      <c r="A850" s="72"/>
    </row>
    <row r="851" spans="1:1" ht="15.75" hidden="1" customHeight="1" x14ac:dyDescent="0.25">
      <c r="A851" s="72"/>
    </row>
    <row r="852" spans="1:1" ht="15.75" hidden="1" customHeight="1" x14ac:dyDescent="0.25">
      <c r="A852" s="72"/>
    </row>
    <row r="853" spans="1:1" ht="15.75" hidden="1" customHeight="1" x14ac:dyDescent="0.25">
      <c r="A853" s="72"/>
    </row>
    <row r="854" spans="1:1" ht="15.75" hidden="1" customHeight="1" x14ac:dyDescent="0.25">
      <c r="A854" s="72"/>
    </row>
    <row r="855" spans="1:1" ht="15.75" hidden="1" customHeight="1" x14ac:dyDescent="0.25">
      <c r="A855" s="72"/>
    </row>
    <row r="856" spans="1:1" ht="15.75" hidden="1" customHeight="1" x14ac:dyDescent="0.25">
      <c r="A856" s="72"/>
    </row>
    <row r="857" spans="1:1" ht="15.75" hidden="1" customHeight="1" x14ac:dyDescent="0.25">
      <c r="A857" s="72"/>
    </row>
    <row r="858" spans="1:1" ht="15.75" hidden="1" customHeight="1" x14ac:dyDescent="0.25">
      <c r="A858" s="72"/>
    </row>
    <row r="859" spans="1:1" ht="15.75" hidden="1" customHeight="1" x14ac:dyDescent="0.25">
      <c r="A859" s="72"/>
    </row>
    <row r="860" spans="1:1" ht="15.75" hidden="1" customHeight="1" x14ac:dyDescent="0.25">
      <c r="A860" s="72"/>
    </row>
    <row r="861" spans="1:1" ht="15.75" hidden="1" customHeight="1" x14ac:dyDescent="0.25">
      <c r="A861" s="72"/>
    </row>
    <row r="862" spans="1:1" ht="15.75" hidden="1" customHeight="1" x14ac:dyDescent="0.25">
      <c r="A862" s="72"/>
    </row>
    <row r="863" spans="1:1" ht="15.75" hidden="1" customHeight="1" x14ac:dyDescent="0.25">
      <c r="A863" s="72"/>
    </row>
    <row r="864" spans="1:1" ht="15.75" hidden="1" customHeight="1" x14ac:dyDescent="0.25">
      <c r="A864" s="72"/>
    </row>
    <row r="865" spans="1:1" ht="15.75" hidden="1" customHeight="1" x14ac:dyDescent="0.25">
      <c r="A865" s="72"/>
    </row>
    <row r="866" spans="1:1" ht="15.75" hidden="1" customHeight="1" x14ac:dyDescent="0.25">
      <c r="A866" s="72"/>
    </row>
    <row r="867" spans="1:1" ht="15.75" hidden="1" customHeight="1" x14ac:dyDescent="0.25">
      <c r="A867" s="72"/>
    </row>
    <row r="868" spans="1:1" ht="15.75" hidden="1" customHeight="1" x14ac:dyDescent="0.25">
      <c r="A868" s="72"/>
    </row>
    <row r="869" spans="1:1" ht="15.75" hidden="1" customHeight="1" x14ac:dyDescent="0.25">
      <c r="A869" s="72"/>
    </row>
    <row r="870" spans="1:1" ht="15.75" hidden="1" customHeight="1" x14ac:dyDescent="0.25">
      <c r="A870" s="72"/>
    </row>
    <row r="871" spans="1:1" ht="15.75" hidden="1" customHeight="1" x14ac:dyDescent="0.25">
      <c r="A871" s="72"/>
    </row>
    <row r="872" spans="1:1" ht="15.75" hidden="1" customHeight="1" x14ac:dyDescent="0.25">
      <c r="A872" s="72"/>
    </row>
    <row r="873" spans="1:1" ht="15.75" hidden="1" customHeight="1" x14ac:dyDescent="0.25">
      <c r="A873" s="72"/>
    </row>
    <row r="874" spans="1:1" ht="15.75" hidden="1" customHeight="1" x14ac:dyDescent="0.25">
      <c r="A874" s="72"/>
    </row>
    <row r="875" spans="1:1" ht="15.75" hidden="1" customHeight="1" x14ac:dyDescent="0.25">
      <c r="A875" s="72"/>
    </row>
    <row r="876" spans="1:1" ht="15.75" hidden="1" customHeight="1" x14ac:dyDescent="0.25">
      <c r="A876" s="72"/>
    </row>
    <row r="877" spans="1:1" ht="15.75" hidden="1" customHeight="1" x14ac:dyDescent="0.25">
      <c r="A877" s="72"/>
    </row>
    <row r="878" spans="1:1" ht="15.75" hidden="1" customHeight="1" x14ac:dyDescent="0.25">
      <c r="A878" s="72"/>
    </row>
    <row r="879" spans="1:1" ht="15.75" hidden="1" customHeight="1" x14ac:dyDescent="0.25">
      <c r="A879" s="72"/>
    </row>
    <row r="880" spans="1:1" ht="15.75" hidden="1" customHeight="1" x14ac:dyDescent="0.25">
      <c r="A880" s="72"/>
    </row>
    <row r="881" spans="1:1" ht="15.75" hidden="1" customHeight="1" x14ac:dyDescent="0.25">
      <c r="A881" s="72"/>
    </row>
    <row r="882" spans="1:1" ht="15.75" hidden="1" customHeight="1" x14ac:dyDescent="0.25">
      <c r="A882" s="72"/>
    </row>
    <row r="883" spans="1:1" ht="15.75" hidden="1" customHeight="1" x14ac:dyDescent="0.25">
      <c r="A883" s="72"/>
    </row>
    <row r="884" spans="1:1" ht="15.75" hidden="1" customHeight="1" x14ac:dyDescent="0.25">
      <c r="A884" s="72"/>
    </row>
    <row r="885" spans="1:1" ht="15.75" hidden="1" customHeight="1" x14ac:dyDescent="0.25">
      <c r="A885" s="72"/>
    </row>
    <row r="886" spans="1:1" ht="15.75" hidden="1" customHeight="1" x14ac:dyDescent="0.25">
      <c r="A886" s="72"/>
    </row>
    <row r="887" spans="1:1" ht="15.75" hidden="1" customHeight="1" x14ac:dyDescent="0.25">
      <c r="A887" s="72"/>
    </row>
    <row r="888" spans="1:1" ht="15.75" hidden="1" customHeight="1" x14ac:dyDescent="0.25">
      <c r="A888" s="72"/>
    </row>
    <row r="889" spans="1:1" ht="15.75" hidden="1" customHeight="1" x14ac:dyDescent="0.25">
      <c r="A889" s="72"/>
    </row>
    <row r="890" spans="1:1" ht="15.75" hidden="1" customHeight="1" x14ac:dyDescent="0.25">
      <c r="A890" s="72"/>
    </row>
    <row r="891" spans="1:1" ht="15.75" hidden="1" customHeight="1" x14ac:dyDescent="0.25">
      <c r="A891" s="72"/>
    </row>
    <row r="892" spans="1:1" ht="15.75" hidden="1" customHeight="1" x14ac:dyDescent="0.25">
      <c r="A892" s="72"/>
    </row>
    <row r="893" spans="1:1" ht="15.75" hidden="1" customHeight="1" x14ac:dyDescent="0.25">
      <c r="A893" s="72"/>
    </row>
    <row r="894" spans="1:1" ht="15.75" hidden="1" customHeight="1" x14ac:dyDescent="0.25">
      <c r="A894" s="72"/>
    </row>
    <row r="895" spans="1:1" ht="15.75" hidden="1" customHeight="1" x14ac:dyDescent="0.25">
      <c r="A895" s="72"/>
    </row>
    <row r="896" spans="1:1" ht="15.75" hidden="1" customHeight="1" x14ac:dyDescent="0.25">
      <c r="A896" s="72"/>
    </row>
    <row r="897" spans="1:1" ht="15.75" hidden="1" customHeight="1" x14ac:dyDescent="0.25">
      <c r="A897" s="72"/>
    </row>
    <row r="898" spans="1:1" ht="15.75" hidden="1" customHeight="1" x14ac:dyDescent="0.25">
      <c r="A898" s="72"/>
    </row>
    <row r="899" spans="1:1" ht="15.75" hidden="1" customHeight="1" x14ac:dyDescent="0.25">
      <c r="A899" s="72"/>
    </row>
    <row r="900" spans="1:1" ht="15.75" hidden="1" customHeight="1" x14ac:dyDescent="0.25">
      <c r="A900" s="72"/>
    </row>
    <row r="901" spans="1:1" ht="15.75" hidden="1" customHeight="1" x14ac:dyDescent="0.25">
      <c r="A901" s="72"/>
    </row>
    <row r="902" spans="1:1" ht="15.75" hidden="1" customHeight="1" x14ac:dyDescent="0.25">
      <c r="A902" s="72"/>
    </row>
    <row r="903" spans="1:1" ht="15.75" hidden="1" customHeight="1" x14ac:dyDescent="0.25">
      <c r="A903" s="72"/>
    </row>
    <row r="904" spans="1:1" ht="15.75" hidden="1" customHeight="1" x14ac:dyDescent="0.25">
      <c r="A904" s="72"/>
    </row>
    <row r="905" spans="1:1" ht="15.75" hidden="1" customHeight="1" x14ac:dyDescent="0.25">
      <c r="A905" s="72"/>
    </row>
    <row r="906" spans="1:1" ht="15.75" hidden="1" customHeight="1" x14ac:dyDescent="0.25">
      <c r="A906" s="72"/>
    </row>
    <row r="907" spans="1:1" ht="15.75" hidden="1" customHeight="1" x14ac:dyDescent="0.25">
      <c r="A907" s="72"/>
    </row>
    <row r="908" spans="1:1" ht="15.75" hidden="1" customHeight="1" x14ac:dyDescent="0.25">
      <c r="A908" s="72"/>
    </row>
    <row r="909" spans="1:1" ht="15.75" hidden="1" customHeight="1" x14ac:dyDescent="0.25">
      <c r="A909" s="72"/>
    </row>
    <row r="910" spans="1:1" ht="15.75" hidden="1" customHeight="1" x14ac:dyDescent="0.25">
      <c r="A910" s="72"/>
    </row>
    <row r="911" spans="1:1" ht="15.75" hidden="1" customHeight="1" x14ac:dyDescent="0.25">
      <c r="A911" s="72"/>
    </row>
    <row r="912" spans="1:1" ht="15.75" hidden="1" customHeight="1" x14ac:dyDescent="0.25">
      <c r="A912" s="72"/>
    </row>
    <row r="913" spans="1:1" ht="15.75" hidden="1" customHeight="1" x14ac:dyDescent="0.25">
      <c r="A913" s="72"/>
    </row>
    <row r="914" spans="1:1" ht="15.75" hidden="1" customHeight="1" x14ac:dyDescent="0.25">
      <c r="A914" s="72"/>
    </row>
    <row r="915" spans="1:1" ht="15.75" hidden="1" customHeight="1" x14ac:dyDescent="0.25">
      <c r="A915" s="72"/>
    </row>
    <row r="916" spans="1:1" ht="15.75" hidden="1" customHeight="1" x14ac:dyDescent="0.25">
      <c r="A916" s="72"/>
    </row>
    <row r="917" spans="1:1" ht="15.75" hidden="1" customHeight="1" x14ac:dyDescent="0.25">
      <c r="A917" s="72"/>
    </row>
    <row r="918" spans="1:1" ht="15.75" hidden="1" customHeight="1" x14ac:dyDescent="0.25">
      <c r="A918" s="72"/>
    </row>
    <row r="919" spans="1:1" ht="15.75" hidden="1" customHeight="1" x14ac:dyDescent="0.25">
      <c r="A919" s="72"/>
    </row>
    <row r="920" spans="1:1" ht="15.75" hidden="1" customHeight="1" x14ac:dyDescent="0.25">
      <c r="A920" s="72"/>
    </row>
    <row r="921" spans="1:1" ht="15.75" hidden="1" customHeight="1" x14ac:dyDescent="0.25">
      <c r="A921" s="72"/>
    </row>
    <row r="922" spans="1:1" ht="15.75" hidden="1" customHeight="1" x14ac:dyDescent="0.25">
      <c r="A922" s="72"/>
    </row>
    <row r="923" spans="1:1" ht="15.75" hidden="1" customHeight="1" x14ac:dyDescent="0.25">
      <c r="A923" s="72"/>
    </row>
    <row r="924" spans="1:1" ht="15.75" hidden="1" customHeight="1" x14ac:dyDescent="0.25">
      <c r="A924" s="72"/>
    </row>
    <row r="925" spans="1:1" ht="15.75" hidden="1" customHeight="1" x14ac:dyDescent="0.25">
      <c r="A925" s="72"/>
    </row>
    <row r="926" spans="1:1" ht="15.75" hidden="1" customHeight="1" x14ac:dyDescent="0.25">
      <c r="A926" s="72"/>
    </row>
    <row r="927" spans="1:1" ht="15.75" hidden="1" customHeight="1" x14ac:dyDescent="0.25">
      <c r="A927" s="72"/>
    </row>
    <row r="928" spans="1:1" ht="15.75" hidden="1" customHeight="1" x14ac:dyDescent="0.25">
      <c r="A928" s="72"/>
    </row>
    <row r="929" spans="1:1" ht="15.75" hidden="1" customHeight="1" x14ac:dyDescent="0.25">
      <c r="A929" s="72"/>
    </row>
    <row r="930" spans="1:1" ht="15.75" hidden="1" customHeight="1" x14ac:dyDescent="0.25">
      <c r="A930" s="72"/>
    </row>
    <row r="931" spans="1:1" ht="15.75" hidden="1" customHeight="1" x14ac:dyDescent="0.25">
      <c r="A931" s="72"/>
    </row>
    <row r="932" spans="1:1" ht="15.75" hidden="1" customHeight="1" x14ac:dyDescent="0.25">
      <c r="A932" s="72"/>
    </row>
    <row r="933" spans="1:1" ht="15.75" hidden="1" customHeight="1" x14ac:dyDescent="0.25">
      <c r="A933" s="72"/>
    </row>
    <row r="934" spans="1:1" ht="15.75" hidden="1" customHeight="1" x14ac:dyDescent="0.25">
      <c r="A934" s="72"/>
    </row>
    <row r="935" spans="1:1" ht="15.75" hidden="1" customHeight="1" x14ac:dyDescent="0.25">
      <c r="A935" s="72"/>
    </row>
    <row r="936" spans="1:1" ht="15.75" hidden="1" customHeight="1" x14ac:dyDescent="0.25">
      <c r="A936" s="72"/>
    </row>
    <row r="937" spans="1:1" ht="15.75" hidden="1" customHeight="1" x14ac:dyDescent="0.25">
      <c r="A937" s="72"/>
    </row>
    <row r="938" spans="1:1" ht="15.75" hidden="1" customHeight="1" x14ac:dyDescent="0.25">
      <c r="A938" s="72"/>
    </row>
    <row r="939" spans="1:1" ht="15.75" hidden="1" customHeight="1" x14ac:dyDescent="0.25">
      <c r="A939" s="72"/>
    </row>
    <row r="940" spans="1:1" ht="15.75" hidden="1" customHeight="1" x14ac:dyDescent="0.25">
      <c r="A940" s="72"/>
    </row>
    <row r="941" spans="1:1" ht="15.75" hidden="1" customHeight="1" x14ac:dyDescent="0.25">
      <c r="A941" s="72"/>
    </row>
    <row r="942" spans="1:1" ht="15.75" hidden="1" customHeight="1" x14ac:dyDescent="0.25">
      <c r="A942" s="72"/>
    </row>
    <row r="943" spans="1:1" ht="15.75" hidden="1" customHeight="1" x14ac:dyDescent="0.25">
      <c r="A943" s="72"/>
    </row>
    <row r="944" spans="1:1" ht="15.75" hidden="1" customHeight="1" x14ac:dyDescent="0.25">
      <c r="A944" s="72"/>
    </row>
    <row r="945" spans="1:1" ht="15.75" hidden="1" customHeight="1" x14ac:dyDescent="0.25">
      <c r="A945" s="72"/>
    </row>
    <row r="946" spans="1:1" ht="15.75" hidden="1" customHeight="1" x14ac:dyDescent="0.25">
      <c r="A946" s="72"/>
    </row>
    <row r="947" spans="1:1" ht="15.75" hidden="1" customHeight="1" x14ac:dyDescent="0.25">
      <c r="A947" s="72"/>
    </row>
    <row r="948" spans="1:1" ht="15.75" hidden="1" customHeight="1" x14ac:dyDescent="0.25">
      <c r="A948" s="72"/>
    </row>
    <row r="949" spans="1:1" ht="15.75" hidden="1" customHeight="1" x14ac:dyDescent="0.25">
      <c r="A949" s="72"/>
    </row>
    <row r="950" spans="1:1" ht="15.75" hidden="1" customHeight="1" x14ac:dyDescent="0.25">
      <c r="A950" s="72"/>
    </row>
    <row r="951" spans="1:1" ht="15.75" hidden="1" customHeight="1" x14ac:dyDescent="0.25">
      <c r="A951" s="72"/>
    </row>
    <row r="952" spans="1:1" ht="15.75" hidden="1" customHeight="1" x14ac:dyDescent="0.25">
      <c r="A952" s="72"/>
    </row>
    <row r="953" spans="1:1" ht="15.75" hidden="1" customHeight="1" x14ac:dyDescent="0.25">
      <c r="A953" s="72"/>
    </row>
    <row r="954" spans="1:1" ht="15.75" hidden="1" customHeight="1" x14ac:dyDescent="0.25">
      <c r="A954" s="72"/>
    </row>
    <row r="955" spans="1:1" ht="15.75" hidden="1" customHeight="1" x14ac:dyDescent="0.25">
      <c r="A955" s="72"/>
    </row>
    <row r="956" spans="1:1" ht="15.75" hidden="1" customHeight="1" x14ac:dyDescent="0.25">
      <c r="A956" s="72"/>
    </row>
    <row r="957" spans="1:1" ht="15.75" hidden="1" customHeight="1" x14ac:dyDescent="0.25">
      <c r="A957" s="72"/>
    </row>
    <row r="958" spans="1:1" ht="15.75" hidden="1" customHeight="1" x14ac:dyDescent="0.25">
      <c r="A958" s="72"/>
    </row>
    <row r="959" spans="1:1" ht="15.75" hidden="1" customHeight="1" x14ac:dyDescent="0.25">
      <c r="A959" s="72"/>
    </row>
    <row r="960" spans="1:1" ht="15.75" hidden="1" customHeight="1" x14ac:dyDescent="0.25">
      <c r="A960" s="72"/>
    </row>
    <row r="961" spans="1:1" ht="15.75" hidden="1" customHeight="1" x14ac:dyDescent="0.25">
      <c r="A961" s="72"/>
    </row>
    <row r="962" spans="1:1" ht="15.75" hidden="1" customHeight="1" x14ac:dyDescent="0.25">
      <c r="A962" s="72"/>
    </row>
    <row r="963" spans="1:1" ht="15.75" hidden="1" customHeight="1" x14ac:dyDescent="0.25">
      <c r="A963" s="72"/>
    </row>
    <row r="964" spans="1:1" ht="15.75" hidden="1" customHeight="1" x14ac:dyDescent="0.25">
      <c r="A964" s="72"/>
    </row>
    <row r="965" spans="1:1" ht="15.75" hidden="1" customHeight="1" x14ac:dyDescent="0.25">
      <c r="A965" s="72"/>
    </row>
    <row r="966" spans="1:1" ht="15.75" hidden="1" customHeight="1" x14ac:dyDescent="0.25">
      <c r="A966" s="72"/>
    </row>
    <row r="967" spans="1:1" ht="15.75" hidden="1" customHeight="1" x14ac:dyDescent="0.25">
      <c r="A967" s="72"/>
    </row>
    <row r="968" spans="1:1" ht="15.75" hidden="1" customHeight="1" x14ac:dyDescent="0.25">
      <c r="A968" s="72"/>
    </row>
    <row r="969" spans="1:1" ht="15.75" hidden="1" customHeight="1" x14ac:dyDescent="0.25">
      <c r="A969" s="72"/>
    </row>
    <row r="970" spans="1:1" ht="15.75" hidden="1" customHeight="1" x14ac:dyDescent="0.25">
      <c r="A970" s="72"/>
    </row>
    <row r="971" spans="1:1" ht="15.75" hidden="1" customHeight="1" x14ac:dyDescent="0.25">
      <c r="A971" s="72"/>
    </row>
    <row r="972" spans="1:1" ht="15.75" hidden="1" customHeight="1" x14ac:dyDescent="0.25">
      <c r="A972" s="72"/>
    </row>
    <row r="973" spans="1:1" ht="15.75" hidden="1" customHeight="1" x14ac:dyDescent="0.25">
      <c r="A973" s="72"/>
    </row>
    <row r="974" spans="1:1" ht="15.75" hidden="1" customHeight="1" x14ac:dyDescent="0.25">
      <c r="A974" s="72"/>
    </row>
    <row r="975" spans="1:1" ht="15.75" hidden="1" customHeight="1" x14ac:dyDescent="0.25">
      <c r="A975" s="72"/>
    </row>
    <row r="976" spans="1:1" ht="15.75" hidden="1" customHeight="1" x14ac:dyDescent="0.25">
      <c r="A976" s="72"/>
    </row>
    <row r="977" spans="1:1" ht="15.75" hidden="1" customHeight="1" x14ac:dyDescent="0.25">
      <c r="A977" s="72"/>
    </row>
    <row r="978" spans="1:1" ht="15.75" hidden="1" customHeight="1" x14ac:dyDescent="0.25">
      <c r="A978" s="72"/>
    </row>
    <row r="979" spans="1:1" ht="15.75" hidden="1" customHeight="1" x14ac:dyDescent="0.25">
      <c r="A979" s="72"/>
    </row>
    <row r="980" spans="1:1" ht="15.75" hidden="1" customHeight="1" x14ac:dyDescent="0.25">
      <c r="A980" s="72"/>
    </row>
    <row r="981" spans="1:1" ht="15.75" hidden="1" customHeight="1" x14ac:dyDescent="0.25">
      <c r="A981" s="72"/>
    </row>
    <row r="982" spans="1:1" ht="15.75" hidden="1" customHeight="1" x14ac:dyDescent="0.25">
      <c r="A982" s="72"/>
    </row>
    <row r="983" spans="1:1" ht="15.75" hidden="1" customHeight="1" x14ac:dyDescent="0.25">
      <c r="A983" s="72"/>
    </row>
    <row r="984" spans="1:1" ht="15.75" hidden="1" customHeight="1" x14ac:dyDescent="0.25">
      <c r="A984" s="72"/>
    </row>
    <row r="985" spans="1:1" ht="15.75" hidden="1" customHeight="1" x14ac:dyDescent="0.25">
      <c r="A985" s="72"/>
    </row>
    <row r="986" spans="1:1" ht="15.75" hidden="1" customHeight="1" x14ac:dyDescent="0.25">
      <c r="A986" s="72"/>
    </row>
    <row r="987" spans="1:1" ht="15.75" hidden="1" customHeight="1" x14ac:dyDescent="0.25">
      <c r="A987" s="72"/>
    </row>
    <row r="988" spans="1:1" ht="15.75" hidden="1" customHeight="1" x14ac:dyDescent="0.25">
      <c r="A988" s="72"/>
    </row>
    <row r="989" spans="1:1" ht="15.75" hidden="1" customHeight="1" x14ac:dyDescent="0.25">
      <c r="A989" s="72"/>
    </row>
    <row r="990" spans="1:1" ht="15.75" hidden="1" customHeight="1" x14ac:dyDescent="0.25">
      <c r="A990" s="72"/>
    </row>
    <row r="991" spans="1:1" ht="15.75" hidden="1" customHeight="1" x14ac:dyDescent="0.25">
      <c r="A991" s="72"/>
    </row>
    <row r="992" spans="1:1" ht="15.75" hidden="1" customHeight="1" x14ac:dyDescent="0.25">
      <c r="A992" s="72"/>
    </row>
    <row r="993" spans="1:1" ht="15.75" hidden="1" customHeight="1" x14ac:dyDescent="0.25">
      <c r="A993" s="72"/>
    </row>
    <row r="994" spans="1:1" ht="15.75" hidden="1" customHeight="1" x14ac:dyDescent="0.25">
      <c r="A994" s="72"/>
    </row>
    <row r="995" spans="1:1" ht="15.75" hidden="1" customHeight="1" x14ac:dyDescent="0.25">
      <c r="A995" s="72"/>
    </row>
    <row r="996" spans="1:1" ht="15.75" hidden="1" customHeight="1" x14ac:dyDescent="0.25">
      <c r="A996" s="72"/>
    </row>
    <row r="997" spans="1:1" ht="15.75" hidden="1" customHeight="1" x14ac:dyDescent="0.25">
      <c r="A997" s="72"/>
    </row>
    <row r="998" spans="1:1" ht="15.75" hidden="1" customHeight="1" x14ac:dyDescent="0.25">
      <c r="A998" s="72"/>
    </row>
    <row r="999" spans="1:1" ht="15.75" hidden="1" customHeight="1" x14ac:dyDescent="0.25">
      <c r="A999" s="72"/>
    </row>
    <row r="1000" spans="1:1" ht="15.75" hidden="1" customHeight="1" x14ac:dyDescent="0.25">
      <c r="A1000" s="72"/>
    </row>
  </sheetData>
  <autoFilter ref="A1:AL70" xr:uid="{00000000-0009-0000-0000-000009000000}"/>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BD_Traductor</vt:lpstr>
      <vt:lpstr>BD_Calendario</vt:lpstr>
      <vt:lpstr>Indicadores</vt:lpstr>
      <vt:lpstr>BD_Proyectos</vt:lpstr>
      <vt:lpstr>BD_Indicadores</vt:lpstr>
      <vt:lpstr>BD_Reporte_Ind</vt:lpstr>
      <vt:lpstr>BD_Entregables</vt:lpstr>
      <vt:lpstr>BD_Reporte_Entregables</vt:lpstr>
      <vt:lpstr>BD_Reporte_Cualitativo</vt:lpstr>
      <vt:lpstr>Reporte_Presupuesto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2022-11-26T00:17:00Z</dcterms:modified>
</cp:coreProperties>
</file>